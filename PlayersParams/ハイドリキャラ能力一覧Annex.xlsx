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Tables/pivotTable1.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queryTables/queryTable6.xml" ContentType="application/vnd.openxmlformats-officedocument.spreadsheetml.queryTable+xml"/>
  <Override PartName="/xl/tables/table9.xml" ContentType="application/vnd.openxmlformats-officedocument.spreadsheetml.table+xml"/>
  <Override PartName="/xl/queryTables/queryTable7.xml" ContentType="application/vnd.openxmlformats-officedocument.spreadsheetml.queryTable+xml"/>
  <Override PartName="/xl/tables/table10.xml" ContentType="application/vnd.openxmlformats-officedocument.spreadsheetml.table+xml"/>
  <Override PartName="/xl/queryTables/queryTable8.xml" ContentType="application/vnd.openxmlformats-officedocument.spreadsheetml.query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tables/table14.xml" ContentType="application/vnd.openxmlformats-officedocument.spreadsheetml.table+xml"/>
  <Override PartName="/xl/queryTables/queryTable12.xml" ContentType="application/vnd.openxmlformats-officedocument.spreadsheetml.queryTable+xml"/>
  <Override PartName="/xl/tables/table15.xml" ContentType="application/vnd.openxmlformats-officedocument.spreadsheetml.table+xml"/>
  <Override PartName="/xl/queryTables/queryTable13.xml" ContentType="application/vnd.openxmlformats-officedocument.spreadsheetml.queryTable+xml"/>
  <Override PartName="/xl/tables/table16.xml" ContentType="application/vnd.openxmlformats-officedocument.spreadsheetml.table+xml"/>
  <Override PartName="/xl/queryTables/queryTable14.xml" ContentType="application/vnd.openxmlformats-officedocument.spreadsheetml.queryTable+xml"/>
  <Override PartName="/xl/tables/table17.xml" ContentType="application/vnd.openxmlformats-officedocument.spreadsheetml.table+xml"/>
  <Override PartName="/xl/queryTables/queryTable15.xml" ContentType="application/vnd.openxmlformats-officedocument.spreadsheetml.queryTable+xml"/>
  <Override PartName="/xl/tables/table18.xml" ContentType="application/vnd.openxmlformats-officedocument.spreadsheetml.table+xml"/>
  <Override PartName="/xl/queryTables/queryTable16.xml" ContentType="application/vnd.openxmlformats-officedocument.spreadsheetml.queryTable+xml"/>
  <Override PartName="/xl/tables/table19.xml" ContentType="application/vnd.openxmlformats-officedocument.spreadsheetml.table+xml"/>
  <Override PartName="/xl/queryTables/queryTable17.xml" ContentType="application/vnd.openxmlformats-officedocument.spreadsheetml.queryTable+xml"/>
  <Override PartName="/xl/tables/table20.xml" ContentType="application/vnd.openxmlformats-officedocument.spreadsheetml.table+xml"/>
  <Override PartName="/xl/queryTables/queryTable18.xml" ContentType="application/vnd.openxmlformats-officedocument.spreadsheetml.queryTable+xml"/>
  <Override PartName="/xl/tables/table21.xml" ContentType="application/vnd.openxmlformats-officedocument.spreadsheetml.table+xml"/>
  <Override PartName="/xl/queryTables/queryTable19.xml" ContentType="application/vnd.openxmlformats-officedocument.spreadsheetml.queryTable+xml"/>
  <Override PartName="/xl/tables/table22.xml" ContentType="application/vnd.openxmlformats-officedocument.spreadsheetml.table+xml"/>
  <Override PartName="/xl/queryTables/queryTable20.xml" ContentType="application/vnd.openxmlformats-officedocument.spreadsheetml.query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xr:revisionPtr revIDLastSave="0" documentId="13_ncr:1_{E31D0986-22F6-41F1-AE27-34A0D5D19011}" xr6:coauthVersionLast="47" xr6:coauthVersionMax="47" xr10:uidLastSave="{00000000-0000-0000-0000-000000000000}"/>
  <bookViews>
    <workbookView xWindow="2490" yWindow="690" windowWidth="36000" windowHeight="19935" tabRatio="819" xr2:uid="{18FC0877-C782-4E78-9F82-2A43469C99E4}"/>
  </bookViews>
  <sheets>
    <sheet name="Stat散布図" sheetId="1" r:id="rId1"/>
    <sheet name="PivotStat" sheetId="2" r:id="rId2"/>
    <sheet name="ChtStat" sheetId="3" r:id="rId3"/>
    <sheet name="Growth" sheetId="30" r:id="rId4"/>
    <sheet name="Q_Stat" sheetId="5" r:id="rId5"/>
    <sheet name="烏野" sheetId="12" r:id="rId6"/>
    <sheet name="音駒" sheetId="11" r:id="rId7"/>
    <sheet name="伊達工" sheetId="10" r:id="rId8"/>
    <sheet name="青城" sheetId="13" r:id="rId9"/>
    <sheet name="常波" sheetId="14" r:id="rId10"/>
    <sheet name="扇南" sheetId="17" r:id="rId11"/>
    <sheet name="角川" sheetId="16" r:id="rId12"/>
    <sheet name="条善寺" sheetId="15" r:id="rId13"/>
    <sheet name="和久南" sheetId="23" r:id="rId14"/>
    <sheet name="白鳥沢" sheetId="18" r:id="rId15"/>
    <sheet name="生川" sheetId="25" r:id="rId16"/>
    <sheet name="森然" sheetId="28" r:id="rId17"/>
    <sheet name="稲荷崎" sheetId="21" r:id="rId18"/>
    <sheet name="梟谷" sheetId="19" r:id="rId19"/>
    <sheet name="椿原" sheetId="24" r:id="rId20"/>
    <sheet name="鴎台" sheetId="22" r:id="rId21"/>
    <sheet name="井闥山" sheetId="9" r:id="rId22"/>
    <sheet name="戸美" sheetId="20" r:id="rId23"/>
    <sheet name="早流川" sheetId="29" r:id="rId24"/>
    <sheet name="服装順" sheetId="26" r:id="rId25"/>
  </sheets>
  <definedNames>
    <definedName name="_xlcn.WorksheetConnection_ハイドリキャラ能力一覧Annex.xlsxQ_Stat" hidden="1">Q_Stat[]</definedName>
    <definedName name="ExternalData_1" localSheetId="4" hidden="1">Q_Stat!$A$1:$Z$431</definedName>
    <definedName name="ExternalData_1" localSheetId="21" hidden="1">井闥山!$A$1:$K$8</definedName>
    <definedName name="ExternalData_1" localSheetId="15" hidden="1">生川!$A$1:$K$8</definedName>
    <definedName name="ExternalData_1" localSheetId="23" hidden="1">早流川!$A$1:$K$8</definedName>
    <definedName name="ExternalData_1" localSheetId="13" hidden="1">和久南!$A$1:$K$11</definedName>
    <definedName name="ExternalData_10" localSheetId="14" hidden="1">白鳥沢!$A$1:$K$43</definedName>
    <definedName name="ExternalData_11" localSheetId="18" hidden="1">梟谷!$A$1:$K$31</definedName>
    <definedName name="ExternalData_12" localSheetId="22" hidden="1">戸美!$A$1:$K$16</definedName>
    <definedName name="ExternalData_13" localSheetId="17" hidden="1">稲荷崎!$A$1:$K$44</definedName>
    <definedName name="ExternalData_14" localSheetId="20" hidden="1">鴎台!$A$1:$K$11</definedName>
    <definedName name="ExternalData_2" localSheetId="7" hidden="1">伊達工!$A$1:$K$33</definedName>
    <definedName name="ExternalData_2" localSheetId="19" hidden="1">椿原!$A$1:$K$9</definedName>
    <definedName name="ExternalData_3" localSheetId="6" hidden="1">音駒!$A$1:$K$46</definedName>
    <definedName name="ExternalData_4" localSheetId="5" hidden="1">烏野!$A$1:$K$80</definedName>
    <definedName name="ExternalData_5" localSheetId="16" hidden="1">森然!$A$1:$K$8</definedName>
    <definedName name="ExternalData_5" localSheetId="8" hidden="1">青城!$A$1:$K$46</definedName>
    <definedName name="ExternalData_6" localSheetId="9" hidden="1">常波!$A$1:$K$10</definedName>
    <definedName name="ExternalData_7" localSheetId="12" hidden="1">条善寺!$A$1:$K$15</definedName>
    <definedName name="ExternalData_8" localSheetId="11" hidden="1">角川!$A$1:$K$10</definedName>
    <definedName name="ExternalData_9" localSheetId="10" hidden="1">扇南!$A$1:$K$10</definedName>
    <definedName name="へ">ChtStat!#REF!</definedName>
    <definedName name="伊達工へ">ChtStat!$B$137</definedName>
    <definedName name="井闥山へ">ChtStat!$B$607</definedName>
    <definedName name="稲荷崎へ">ChtStat!$B$573</definedName>
    <definedName name="烏野へ">ChtStat!$B$45</definedName>
    <definedName name="鴎台へ">ChtStat!$B$643</definedName>
    <definedName name="音駒へ">ChtStat!$B$92</definedName>
    <definedName name="角川へ">ChtStat!$B$285</definedName>
    <definedName name="戸美へ">ChtStat!$B$676</definedName>
    <definedName name="常波へ">ChtStat!$B$215</definedName>
    <definedName name="条善寺へ">ChtStat!$B$318</definedName>
    <definedName name="森然へ">ChtStat!$B$464</definedName>
    <definedName name="生川へ">ChtStat!$B$431</definedName>
    <definedName name="青城へ">ChtStat!$B$179</definedName>
    <definedName name="設定用">ChtStat!#REF!</definedName>
    <definedName name="設定用へ">ChtStat!$B$818</definedName>
    <definedName name="扇南へ">ChtStat!$B$250</definedName>
    <definedName name="早流川へ">ChtStat!$B$711</definedName>
    <definedName name="椿原へ">ChtStat!$B$532</definedName>
    <definedName name="白鳥沢へ">ChtStat!$B$396</definedName>
    <definedName name="和久南へ">ChtStat!$B$353</definedName>
    <definedName name="梟谷へ">ChtStat!$B$499</definedName>
  </definedNames>
  <calcPr calcId="191029"/>
  <pivotCaches>
    <pivotCache cacheId="12" r:id="rId26"/>
  </pivotCaches>
  <extLst>
    <ext xmlns:x15="http://schemas.microsoft.com/office/spreadsheetml/2010/11/main" uri="{841E416B-1EF1-43b6-AB56-02D37102CBD5}">
      <x15:pivotCaches>
        <pivotCache cacheId="4" r:id="rId27"/>
      </x15:pivotCaches>
    </ext>
    <ext xmlns:x15="http://schemas.microsoft.com/office/spreadsheetml/2010/11/main" uri="{983426D0-5260-488c-9760-48F4B6AC55F4}">
      <x15:pivotTableReferences>
        <x15:pivotTableReference r:id="rId28"/>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_Stat" name="Q_Stat" connection="WorksheetConnection_ハイドリキャラ能力一覧Annex.xlsx!Q_Sta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4" i="26" l="1"/>
  <c r="B53" i="26"/>
  <c r="B52" i="26"/>
  <c r="B51" i="26"/>
  <c r="B50" i="26"/>
  <c r="B2" i="26"/>
  <c r="B3" i="26"/>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L152" i="30"/>
  <c r="L153" i="30"/>
  <c r="L154" i="30"/>
  <c r="L155" i="30"/>
  <c r="L156" i="30"/>
  <c r="L157" i="30"/>
  <c r="L158" i="30"/>
  <c r="L159" i="30"/>
  <c r="L160" i="30"/>
  <c r="L161" i="30"/>
  <c r="M152" i="30"/>
  <c r="M153" i="30"/>
  <c r="M154" i="30"/>
  <c r="M155" i="30"/>
  <c r="M156" i="30"/>
  <c r="M157" i="30"/>
  <c r="M158" i="30"/>
  <c r="M159" i="30"/>
  <c r="M160" i="30"/>
  <c r="M161" i="30"/>
  <c r="J151" i="30"/>
  <c r="I151" i="30"/>
  <c r="H151" i="30"/>
  <c r="G151" i="30"/>
  <c r="M151" i="30" s="1"/>
  <c r="E151" i="30"/>
  <c r="D151" i="30"/>
  <c r="C151" i="30"/>
  <c r="B151" i="30"/>
  <c r="L151" i="30" s="1"/>
  <c r="M150" i="30"/>
  <c r="L150" i="30"/>
  <c r="M149" i="30"/>
  <c r="L149" i="30"/>
  <c r="M148" i="30"/>
  <c r="L148" i="30"/>
  <c r="M147" i="30"/>
  <c r="L147" i="30"/>
  <c r="M146" i="30"/>
  <c r="L146" i="30"/>
  <c r="M145" i="30"/>
  <c r="L145" i="30"/>
  <c r="M144" i="30"/>
  <c r="L144" i="30"/>
  <c r="M143" i="30"/>
  <c r="L143" i="30"/>
  <c r="M142" i="30"/>
  <c r="L142" i="30"/>
  <c r="M141" i="30"/>
  <c r="L141" i="30"/>
  <c r="M140" i="30"/>
  <c r="L140" i="30"/>
  <c r="M139" i="30"/>
  <c r="L139" i="30"/>
  <c r="M138" i="30"/>
  <c r="L138" i="30"/>
  <c r="M137" i="30"/>
  <c r="L137" i="30"/>
  <c r="M136" i="30"/>
  <c r="L136" i="30"/>
  <c r="M135" i="30"/>
  <c r="L135" i="30"/>
  <c r="M134" i="30"/>
  <c r="L134" i="30"/>
  <c r="M133" i="30"/>
  <c r="L133" i="30"/>
  <c r="M132" i="30"/>
  <c r="L132" i="30"/>
  <c r="M131" i="30"/>
  <c r="L131" i="30"/>
  <c r="M130" i="30"/>
  <c r="L130" i="30"/>
  <c r="M129" i="30"/>
  <c r="L129" i="30"/>
  <c r="M128" i="30"/>
  <c r="L128" i="30"/>
  <c r="M127" i="30"/>
  <c r="L127" i="30"/>
  <c r="M126" i="30"/>
  <c r="L126" i="30"/>
  <c r="M125" i="30"/>
  <c r="L125" i="30"/>
  <c r="M124" i="30"/>
  <c r="L124" i="30"/>
  <c r="M123" i="30"/>
  <c r="L123" i="30"/>
  <c r="M122" i="30"/>
  <c r="L122" i="30"/>
  <c r="M121" i="30"/>
  <c r="L121" i="30"/>
  <c r="M120" i="30"/>
  <c r="L120" i="30"/>
  <c r="M119" i="30"/>
  <c r="L119" i="30"/>
  <c r="M118" i="30"/>
  <c r="L118" i="30"/>
  <c r="M117" i="30"/>
  <c r="L117" i="30"/>
  <c r="M116" i="30"/>
  <c r="L116" i="30"/>
  <c r="M115" i="30"/>
  <c r="L115" i="30"/>
  <c r="M114" i="30"/>
  <c r="L114" i="30"/>
  <c r="M113" i="30"/>
  <c r="L113" i="30"/>
  <c r="M112" i="30"/>
  <c r="L112" i="30"/>
  <c r="M111" i="30"/>
  <c r="L111" i="30"/>
  <c r="M110" i="30"/>
  <c r="L110" i="30"/>
  <c r="M109" i="30"/>
  <c r="L109" i="30"/>
  <c r="M108" i="30"/>
  <c r="L108" i="30"/>
  <c r="M107" i="30"/>
  <c r="L107" i="30"/>
  <c r="M106" i="30"/>
  <c r="L106" i="30"/>
  <c r="M105" i="30"/>
  <c r="L105" i="30"/>
  <c r="M104" i="30"/>
  <c r="L104" i="30"/>
  <c r="M103" i="30"/>
  <c r="L103" i="30"/>
  <c r="M102" i="30"/>
  <c r="L102" i="30"/>
  <c r="M101" i="30"/>
  <c r="L101" i="30"/>
  <c r="M100" i="30"/>
  <c r="L100" i="30"/>
  <c r="M99" i="30"/>
  <c r="L99" i="30"/>
  <c r="M98" i="30"/>
  <c r="L98" i="30"/>
  <c r="M97" i="30"/>
  <c r="L97" i="30"/>
  <c r="M96" i="30"/>
  <c r="L96" i="30"/>
  <c r="M95" i="30"/>
  <c r="L95" i="30"/>
  <c r="M94" i="30"/>
  <c r="L94" i="30"/>
  <c r="M93" i="30"/>
  <c r="L93" i="30"/>
  <c r="M92" i="30"/>
  <c r="L92" i="30"/>
  <c r="M91" i="30"/>
  <c r="L91" i="30"/>
  <c r="M90" i="30"/>
  <c r="L90" i="30"/>
  <c r="M89" i="30"/>
  <c r="L89" i="30"/>
  <c r="M88" i="30"/>
  <c r="L88" i="30"/>
  <c r="M87" i="30"/>
  <c r="L87" i="30"/>
  <c r="M86" i="30"/>
  <c r="L86" i="30"/>
  <c r="M85" i="30"/>
  <c r="L85" i="30"/>
  <c r="M84" i="30"/>
  <c r="L84" i="30"/>
  <c r="M83" i="30"/>
  <c r="L83" i="30"/>
  <c r="M82" i="30"/>
  <c r="L82" i="30"/>
  <c r="M81" i="30"/>
  <c r="L81" i="30"/>
  <c r="M80" i="30"/>
  <c r="L80" i="30"/>
  <c r="M79" i="30"/>
  <c r="L79" i="30"/>
  <c r="M78" i="30"/>
  <c r="L78" i="30"/>
  <c r="M77" i="30"/>
  <c r="L77" i="30"/>
  <c r="M76" i="30"/>
  <c r="L76" i="30"/>
  <c r="M75" i="30"/>
  <c r="L75" i="30"/>
  <c r="M74" i="30"/>
  <c r="L74" i="30"/>
  <c r="M73" i="30"/>
  <c r="L73" i="30"/>
  <c r="M72" i="30"/>
  <c r="L72" i="30"/>
  <c r="M71" i="30"/>
  <c r="L71" i="30"/>
  <c r="M70" i="30"/>
  <c r="L70" i="30"/>
  <c r="M69" i="30"/>
  <c r="L69" i="30"/>
  <c r="M68" i="30"/>
  <c r="L68" i="30"/>
  <c r="M67" i="30"/>
  <c r="L67" i="30"/>
  <c r="M66" i="30"/>
  <c r="L66" i="30"/>
  <c r="M65" i="30"/>
  <c r="L65" i="30"/>
  <c r="M64" i="30"/>
  <c r="L64" i="30"/>
  <c r="M63" i="30"/>
  <c r="L63" i="30"/>
  <c r="M62" i="30"/>
  <c r="L62" i="30"/>
  <c r="M61" i="30"/>
  <c r="L61" i="30"/>
  <c r="M60" i="30"/>
  <c r="L60" i="30"/>
  <c r="M59" i="30"/>
  <c r="L59" i="30"/>
  <c r="M58" i="30"/>
  <c r="L58" i="30"/>
  <c r="M57" i="30"/>
  <c r="L57" i="30"/>
  <c r="M56" i="30"/>
  <c r="L56" i="30"/>
  <c r="M55" i="30"/>
  <c r="L55" i="30"/>
  <c r="M54" i="30"/>
  <c r="L54" i="30"/>
  <c r="M53" i="30"/>
  <c r="L53" i="30"/>
  <c r="M52" i="30"/>
  <c r="L52" i="30"/>
  <c r="M51" i="30"/>
  <c r="L51" i="30"/>
  <c r="M50" i="30"/>
  <c r="L50" i="30"/>
  <c r="M49" i="30"/>
  <c r="L49" i="30"/>
  <c r="M48" i="30"/>
  <c r="L48" i="30"/>
  <c r="M47" i="30"/>
  <c r="L47" i="30"/>
  <c r="M46" i="30"/>
  <c r="L46" i="30"/>
  <c r="M45" i="30"/>
  <c r="L45" i="30"/>
  <c r="M44" i="30"/>
  <c r="L44" i="30"/>
  <c r="M43" i="30"/>
  <c r="L43" i="30"/>
  <c r="M42" i="30"/>
  <c r="L42" i="30"/>
  <c r="M41" i="30"/>
  <c r="L41" i="30"/>
  <c r="M40" i="30"/>
  <c r="L40" i="30"/>
  <c r="M39" i="30"/>
  <c r="L39" i="30"/>
  <c r="M38" i="30"/>
  <c r="L38" i="30"/>
  <c r="M37" i="30"/>
  <c r="L37" i="30"/>
  <c r="M36" i="30"/>
  <c r="L36" i="30"/>
  <c r="M35" i="30"/>
  <c r="L35" i="30"/>
  <c r="M34" i="30"/>
  <c r="L34" i="30"/>
  <c r="M33" i="30"/>
  <c r="L33" i="30"/>
  <c r="M32" i="30"/>
  <c r="L32" i="30"/>
  <c r="M31" i="30"/>
  <c r="L31" i="30"/>
  <c r="M30" i="30"/>
  <c r="L30" i="30"/>
  <c r="M29" i="30"/>
  <c r="L29" i="30"/>
  <c r="M28" i="30"/>
  <c r="L28" i="30"/>
  <c r="M27" i="30"/>
  <c r="L27" i="30"/>
  <c r="M26" i="30"/>
  <c r="L26" i="30"/>
  <c r="M25" i="30"/>
  <c r="L25" i="30"/>
  <c r="M24" i="30"/>
  <c r="L24" i="30"/>
  <c r="M23" i="30"/>
  <c r="L23" i="30"/>
  <c r="M22" i="30"/>
  <c r="L22" i="30"/>
  <c r="M21" i="30"/>
  <c r="L21" i="30"/>
  <c r="M20" i="30"/>
  <c r="L20" i="30"/>
  <c r="M19" i="30"/>
  <c r="L19" i="30"/>
  <c r="M18" i="30"/>
  <c r="L18" i="30"/>
  <c r="M17" i="30"/>
  <c r="L17" i="30"/>
  <c r="M16" i="30"/>
  <c r="L16" i="30"/>
  <c r="M15" i="30"/>
  <c r="L15" i="30"/>
  <c r="M14" i="30"/>
  <c r="L14" i="30"/>
  <c r="M13" i="30"/>
  <c r="L13" i="30"/>
  <c r="M12" i="30"/>
  <c r="L12" i="30"/>
  <c r="M11" i="30"/>
  <c r="L11" i="30"/>
  <c r="M10" i="30"/>
  <c r="L10" i="30"/>
  <c r="M9" i="30"/>
  <c r="L9" i="30"/>
  <c r="M8" i="30"/>
  <c r="L8" i="30"/>
  <c r="M7" i="30"/>
  <c r="L7" i="30"/>
  <c r="AB6" i="30"/>
  <c r="AA6" i="30"/>
  <c r="M6" i="30"/>
  <c r="L6" i="30"/>
  <c r="AB5" i="30"/>
  <c r="AA5" i="30"/>
  <c r="M5" i="30"/>
  <c r="L5" i="30"/>
  <c r="AB4" i="30"/>
  <c r="AA4" i="30"/>
  <c r="M4" i="30"/>
  <c r="L4" i="30"/>
  <c r="AB3" i="30"/>
  <c r="AA3" i="30"/>
  <c r="M3" i="30"/>
  <c r="L3" i="30"/>
  <c r="AB2" i="30"/>
  <c r="AA2" i="30"/>
  <c r="M2" i="30"/>
  <c r="L2" i="30"/>
  <c r="F3" i="26" a="1"/>
  <c r="F3" i="26" s="1"/>
  <c r="F2" i="2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49AFBE-5E46-4AED-B6C3-261E5F77D4B2}" keepAlive="1" name="ThisWorkbookDataModel" description="データ モデル"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1CCA788A-6190-4BB9-87C1-741A9EDE8FDB}" name="WorksheetConnection_ハイドリキャラ能力一覧Annex.xlsx!Q_Stat" type="102" refreshedVersion="8" minRefreshableVersion="5">
    <extLst>
      <ext xmlns:x15="http://schemas.microsoft.com/office/spreadsheetml/2010/11/main" uri="{DE250136-89BD-433C-8126-D09CA5730AF9}">
        <x15:connection id="Q_Stat">
          <x15:rangePr sourceName="_xlcn.WorksheetConnection_ハイドリキャラ能力一覧Annex.xlsxQ_Stat"/>
        </x15:connection>
      </ext>
    </extLst>
  </connection>
  <connection id="3" xr16:uid="{E9391DBA-C60F-4EA2-80DA-E4A3BF30ED71}" keepAlive="1" name="クエリ - currentFilePath" description="ブック内の 'currentFilePath' クエリへの接続です。" type="5" refreshedVersion="0" background="1">
    <dbPr connection="Provider=Microsoft.Mashup.OleDb.1;Data Source=$Workbook$;Location=currentFilePath;Extended Properties=&quot;&quot;" command="SELECT * FROM [currentFilePath]"/>
  </connection>
  <connection id="4" xr16:uid="{485931B7-D0AF-41E7-A107-5A5C79B9687D}" keepAlive="1" name="クエリ - myExcelFile" description="ブック内の 'myExcelFile' クエリへの接続です。" type="5" refreshedVersion="0" background="1">
    <dbPr connection="Provider=Microsoft.Mashup.OleDb.1;Data Source=$Workbook$;Location=myExcelFile;Extended Properties=&quot;&quot;" command="SELECT * FROM [myExcelFile]"/>
  </connection>
  <connection id="5" xr16:uid="{6B3F8E78-AF8F-41F1-8E94-C17CD3839382}" keepAlive="1" name="クエリ - myPath" description="ブック内の 'myPath' クエリへの接続です。" type="5" refreshedVersion="0" background="1">
    <dbPr connection="Provider=Microsoft.Mashup.OleDb.1;Data Source=$Workbook$;Location=myPath;Extended Properties=&quot;&quot;" command="SELECT * FROM [myPath]"/>
  </connection>
  <connection id="6" xr16:uid="{91791CEF-7F01-4568-ACB5-6C2E45F58B92}" keepAlive="1" name="クエリ - Q_RZS" description="ブック内の 'Q_RZS' クエリへの接続です。" type="5" refreshedVersion="0" saveData="1">
    <dbPr connection="Provider=Microsoft.Mashup.OleDb.1;Data Source=$Workbook$;Location=Q_RZS;Extended Properties=&quot;&quot;" command="SELECT * FROM [Q_RZS]"/>
    <extLst>
      <ext xmlns:x15="http://schemas.microsoft.com/office/spreadsheetml/2010/11/main" uri="{DE250136-89BD-433C-8126-D09CA5730AF9}">
        <x15:connection id="" excludeFromRefreshAll="1"/>
      </ext>
    </extLst>
  </connection>
  <connection id="7" xr16:uid="{C830C5BC-3BE8-429C-A24D-A54F2CBBF75C}" keepAlive="1" name="クエリ - Q_Stat" description="ブック内の 'Q_Stat' クエリへの接続です。" type="5" refreshedVersion="8" saveData="1">
    <dbPr connection="Provider=Microsoft.Mashup.OleDb.1;Data Source=$Workbook$;Location=Q_Stat;Extended Properties=&quot;&quot;" command="SELECT * FROM [Q_Stat]"/>
  </connection>
  <connection id="8" xr16:uid="{7A0B8F50-6E8E-4607-B12E-3E3975426524}" keepAlive="1" name="クエリ - からすの" description="ブック内の 'からすの' クエリへの接続です。" type="5" refreshedVersion="8" saveData="1">
    <dbPr connection="Provider=Microsoft.Mashup.OleDb.1;Data Source=$Workbook$;Location=からすの;Extended Properties=&quot;&quot;" command="SELECT * FROM [からすの]"/>
    <extLst>
      <ext xmlns:x15="http://schemas.microsoft.com/office/spreadsheetml/2010/11/main" uri="{DE250136-89BD-433C-8126-D09CA5730AF9}">
        <x15:connection id="" excludeFromRefreshAll="1"/>
      </ext>
    </extLst>
  </connection>
  <connection id="9" xr16:uid="{2387E57B-00E8-4268-B157-D7A98E60635D}" keepAlive="1" name="クエリ - 伊達工" description="ブック内の '伊達工' クエリへの接続です。" type="5" refreshedVersion="8" saveData="1">
    <dbPr connection="Provider=Microsoft.Mashup.OleDb.1;Data Source=$Workbook$;Location=伊達工;Extended Properties=&quot;&quot;" command="SELECT * FROM [伊達工]"/>
  </connection>
  <connection id="10" xr16:uid="{21C8471D-FE97-4082-911A-2DA178ECE169}" keepAlive="1" name="クエリ - 井闥山" description="ブック内の '井闥山' クエリへの接続です。" type="5" refreshedVersion="8" saveData="1">
    <dbPr connection="Provider=Microsoft.Mashup.OleDb.1;Data Source=$Workbook$;Location=井闥山;Extended Properties=&quot;&quot;" command="SELECT * FROM [井闥山]"/>
  </connection>
  <connection id="11" xr16:uid="{50C47540-2253-4B84-BAA7-C5D764C6399C}" keepAlive="1" name="クエリ - 稲荷崎" description="ブック内の '稲荷崎' クエリへの接続です。" type="5" refreshedVersion="8" saveData="1">
    <dbPr connection="Provider=Microsoft.Mashup.OleDb.1;Data Source=$Workbook$;Location=稲荷崎;Extended Properties=&quot;&quot;" command="SELECT * FROM [稲荷崎]"/>
  </connection>
  <connection id="12" xr16:uid="{47AEE6A1-4508-4C88-A123-363C58A5B3E5}" keepAlive="1" name="クエリ - 烏野" description="ブック内の '烏野' クエリへの接続です。" type="5" refreshedVersion="8" saveData="1">
    <dbPr connection="Provider=Microsoft.Mashup.OleDb.1;Data Source=$Workbook$;Location=烏野;Extended Properties=&quot;&quot;" command="SELECT * FROM [烏野]"/>
  </connection>
  <connection id="13" xr16:uid="{CCEF5F4E-5B00-4C6E-B25A-2266310EC32F}" keepAlive="1" name="クエリ - 烏野 (2)" description="ブック内の '烏野 (2)' クエリへの接続です。" type="5" refreshedVersion="0" saveData="1">
    <dbPr connection="Provider=Microsoft.Mashup.OleDb.1;Data Source=$Workbook$;Location=&quot;烏野 (2)&quot;;Extended Properties=&quot;&quot;" command="SELECT * FROM [烏野 (2)]"/>
    <extLst>
      <ext xmlns:x15="http://schemas.microsoft.com/office/spreadsheetml/2010/11/main" uri="{DE250136-89BD-433C-8126-D09CA5730AF9}">
        <x15:connection id="" excludeFromRefreshAll="1"/>
      </ext>
    </extLst>
  </connection>
  <connection id="14" xr16:uid="{CA354E70-A4D4-449D-9647-51359B7C1A32}" keepAlive="1" name="クエリ - 鴎台" description="ブック内の '鴎台' クエリへの接続です。" type="5" refreshedVersion="8" saveData="1">
    <dbPr connection="Provider=Microsoft.Mashup.OleDb.1;Data Source=$Workbook$;Location=鴎台;Extended Properties=&quot;&quot;" command="SELECT * FROM [鴎台]"/>
  </connection>
  <connection id="15" xr16:uid="{BC5E71C7-95FA-45F4-ACD5-A2E0F84AC594}" keepAlive="1" name="クエリ - 音駒" description="ブック内の '音駒' クエリへの接続です。" type="5" refreshedVersion="8" saveData="1">
    <dbPr connection="Provider=Microsoft.Mashup.OleDb.1;Data Source=$Workbook$;Location=音駒;Extended Properties=&quot;&quot;" command="SELECT * FROM [音駒]"/>
  </connection>
  <connection id="16" xr16:uid="{5B3C8DBB-6679-4EB0-8834-52DA61DBA69E}" keepAlive="1" name="クエリ - 角川" description="ブック内の '角川' クエリへの接続です。" type="5" refreshedVersion="8" saveData="1">
    <dbPr connection="Provider=Microsoft.Mashup.OleDb.1;Data Source=$Workbook$;Location=角川;Extended Properties=&quot;&quot;" command="SELECT * FROM [角川]"/>
  </connection>
  <connection id="17" xr16:uid="{405F6A42-CC52-48DC-8DC2-95A616DB07CF}" keepAlive="1" name="クエリ - 戸美" description="ブック内の '戸美' クエリへの接続です。" type="5" refreshedVersion="8" saveData="1">
    <dbPr connection="Provider=Microsoft.Mashup.OleDb.1;Data Source=$Workbook$;Location=戸美;Extended Properties=&quot;&quot;" command="SELECT * FROM [戸美]"/>
  </connection>
  <connection id="18" xr16:uid="{85C46557-7361-4F8B-91BF-876EE9CD91BF}" keepAlive="1" name="クエリ - 常波" description="ブック内の '常波' クエリへの接続です。" type="5" refreshedVersion="8" saveData="1">
    <dbPr connection="Provider=Microsoft.Mashup.OleDb.1;Data Source=$Workbook$;Location=常波;Extended Properties=&quot;&quot;" command="SELECT * FROM [常波]"/>
  </connection>
  <connection id="19" xr16:uid="{EB8867B6-81E8-463D-9F6A-1F01F9CBD004}" keepAlive="1" name="クエリ - 条善寺" description="ブック内の '条善寺' クエリへの接続です。" type="5" refreshedVersion="8" saveData="1">
    <dbPr connection="Provider=Microsoft.Mashup.OleDb.1;Data Source=$Workbook$;Location=条善寺;Extended Properties=&quot;&quot;" command="SELECT * FROM [条善寺]"/>
  </connection>
  <connection id="20" xr16:uid="{D7701E4C-5928-4CE8-AD18-0C7E6A113C3C}" keepAlive="1" name="クエリ - 森然" description="ブック内の '森然' クエリへの接続です。" type="5" refreshedVersion="8" background="1" saveData="1">
    <dbPr connection="Provider=Microsoft.Mashup.OleDb.1;Data Source=$Workbook$;Location=森然;Extended Properties=&quot;&quot;" command="SELECT * FROM [森然]"/>
  </connection>
  <connection id="21" xr16:uid="{5811B4A7-1CA3-4BAB-B9CB-7AE9850136EC}" keepAlive="1" name="クエリ - 生川" description="ブック内の '生川' クエリへの接続です。" type="5" refreshedVersion="8" background="1" saveData="1">
    <dbPr connection="Provider=Microsoft.Mashup.OleDb.1;Data Source=$Workbook$;Location=生川;Extended Properties=&quot;&quot;" command="SELECT * FROM [生川]"/>
  </connection>
  <connection id="22" xr16:uid="{D901E4D5-35EA-44F5-A80D-F3565D94A2B4}" keepAlive="1" name="クエリ - 青城" description="ブック内の '青城' クエリへの接続です。" type="5" refreshedVersion="8" saveData="1">
    <dbPr connection="Provider=Microsoft.Mashup.OleDb.1;Data Source=$Workbook$;Location=青城;Extended Properties=&quot;&quot;" command="SELECT * FROM [青城]"/>
  </connection>
  <connection id="23" xr16:uid="{7F40A278-E6C1-47C8-87FC-D7D070B508AF}" keepAlive="1" name="クエリ - 扇南" description="ブック内の '扇南' クエリへの接続です。" type="5" refreshedVersion="8" saveData="1">
    <dbPr connection="Provider=Microsoft.Mashup.OleDb.1;Data Source=$Workbook$;Location=扇南;Extended Properties=&quot;&quot;" command="SELECT * FROM [扇南]"/>
  </connection>
  <connection id="24" xr16:uid="{7FB74416-B3F6-41C9-9FE5-C4E281006EC6}" keepAlive="1" name="クエリ - 早流川" description="ブック内の '早流川' クエリへの接続です。" type="5" refreshedVersion="8" background="1" saveData="1">
    <dbPr connection="Provider=Microsoft.Mashup.OleDb.1;Data Source=$Workbook$;Location=早流川;Extended Properties=&quot;&quot;" command="SELECT * FROM [早流川]"/>
  </connection>
  <connection id="25" xr16:uid="{1A5E467E-C871-4605-B82F-4341A9F10A8C}" keepAlive="1" name="クエリ - 椿原" description="ブック内の '椿原' クエリへの接続です。" type="5" refreshedVersion="8" saveData="1">
    <dbPr connection="Provider=Microsoft.Mashup.OleDb.1;Data Source=$Workbook$;Location=椿原;Extended Properties=&quot;&quot;" command="SELECT * FROM [椿原]"/>
  </connection>
  <connection id="26" xr16:uid="{8F0508C9-0B61-4E53-AA8C-894F43C2CAEC}" keepAlive="1" name="クエリ - 白鳥沢" description="ブック内の '白鳥沢' クエリへの接続です。" type="5" refreshedVersion="8" saveData="1">
    <dbPr connection="Provider=Microsoft.Mashup.OleDb.1;Data Source=$Workbook$;Location=白鳥沢;Extended Properties=&quot;&quot;" command="SELECT * FROM [白鳥沢]"/>
  </connection>
  <connection id="27" xr16:uid="{A0851538-BE20-48CF-9E44-FB401256D9FA}" keepAlive="1" name="クエリ - 服装順" description="ブック内の '服装順' クエリへの接続です。" type="5" refreshedVersion="0" background="1">
    <dbPr connection="Provider=Microsoft.Mashup.OleDb.1;Data Source=$Workbook$;Location=服装順;Extended Properties=&quot;&quot;" command="SELECT * FROM [服装順]"/>
  </connection>
  <connection id="28" xr16:uid="{923FB4B2-4364-4272-8219-771F6654E18A}" keepAlive="1" name="クエリ - 服装並べ替え" description="ブック内の '服装並べ替え' クエリへの接続です。" type="5" refreshedVersion="0" background="1">
    <dbPr connection="Provider=Microsoft.Mashup.OleDb.1;Data Source=$Workbook$;Location=服装並べ替え;Extended Properties=&quot;&quot;" command="SELECT * FROM [服装並べ替え]"/>
  </connection>
  <connection id="29" xr16:uid="{A7C43BA3-EDC7-43B0-AAD3-E21FC5019A81}" keepAlive="1" name="クエリ - 和久南" description="ブック内の '和久南' クエリへの接続です。" type="5" refreshedVersion="8" saveData="1">
    <dbPr connection="Provider=Microsoft.Mashup.OleDb.1;Data Source=$Workbook$;Location=和久南;Extended Properties=&quot;&quot;" command="SELECT * FROM [和久南]"/>
  </connection>
  <connection id="30" xr16:uid="{82FA26EC-4188-45F1-A79A-0EEA353529C6}" keepAlive="1" name="クエリ - 梟谷" description="ブック内の '梟谷' クエリへの接続です。" type="5" refreshedVersion="8" saveData="1">
    <dbPr connection="Provider=Microsoft.Mashup.OleDb.1;Data Source=$Workbook$;Location=梟谷;Extended Properties=&quot;&quot;" command="SELECT * FROM [梟谷]"/>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<sst xmlns="http://schemas.openxmlformats.org/spreadsheetml/2006/main" count="4729" uniqueCount="987">
  <si>
    <t>総計</t>
  </si>
  <si>
    <t>常波</t>
  </si>
  <si>
    <t>扇南</t>
  </si>
  <si>
    <t>角川</t>
  </si>
  <si>
    <t>青城</t>
  </si>
  <si>
    <t>和久南</t>
  </si>
  <si>
    <t>音駒</t>
  </si>
  <si>
    <t>条善寺</t>
  </si>
  <si>
    <t>烏野</t>
  </si>
  <si>
    <t>戸美</t>
  </si>
  <si>
    <t>伊達工</t>
  </si>
  <si>
    <t>稲荷崎</t>
  </si>
  <si>
    <t>梟谷</t>
  </si>
  <si>
    <t>白鳥沢</t>
  </si>
  <si>
    <t>井闥山</t>
  </si>
  <si>
    <t>鴎台</t>
  </si>
  <si>
    <t>平均 / メンタル</t>
  </si>
  <si>
    <t>平均 / スピード</t>
  </si>
  <si>
    <t>平均 / レシーブ</t>
  </si>
  <si>
    <t>平均 / バネ</t>
  </si>
  <si>
    <t>平均 / ブロック</t>
  </si>
  <si>
    <t>平均 / 幸運</t>
  </si>
  <si>
    <t>平均 / 頭脳</t>
  </si>
  <si>
    <t>平均 / セッティング</t>
  </si>
  <si>
    <t>平均 / サーブ</t>
  </si>
  <si>
    <t>平均 / スパイク</t>
  </si>
  <si>
    <t>行ラベル</t>
  </si>
  <si>
    <t>ICONIC</t>
  </si>
  <si>
    <t>レアリティ</t>
  </si>
  <si>
    <t>(すべて)</t>
  </si>
  <si>
    <t>ポジション</t>
  </si>
  <si>
    <t>じゃんけん</t>
  </si>
  <si>
    <t>ユニフォーム</t>
  </si>
  <si>
    <t>服装</t>
  </si>
  <si>
    <t>平均 / 合計</t>
  </si>
  <si>
    <t>No.</t>
  </si>
  <si>
    <t>名前</t>
  </si>
  <si>
    <t>高校</t>
  </si>
  <si>
    <t>スパイク</t>
  </si>
  <si>
    <t>サーブ</t>
  </si>
  <si>
    <t>セッティング</t>
  </si>
  <si>
    <t>頭脳</t>
  </si>
  <si>
    <t>幸運</t>
  </si>
  <si>
    <t>ブロック</t>
  </si>
  <si>
    <t>レシーブ</t>
  </si>
  <si>
    <t>バネ</t>
  </si>
  <si>
    <t>スピード</t>
  </si>
  <si>
    <t>メンタル</t>
  </si>
  <si>
    <t>攻撃力</t>
  </si>
  <si>
    <t>守備力</t>
  </si>
  <si>
    <t>よみがな</t>
  </si>
  <si>
    <t>TotalStat</t>
  </si>
  <si>
    <t>AttackVal</t>
  </si>
  <si>
    <t>ServeVal</t>
  </si>
  <si>
    <t>TossVal</t>
  </si>
  <si>
    <t>ReceiveVal</t>
  </si>
  <si>
    <t>BlockVal</t>
  </si>
  <si>
    <t>日向翔陽</t>
  </si>
  <si>
    <t>チョキ</t>
  </si>
  <si>
    <t>MB</t>
  </si>
  <si>
    <t>ひなたしょうよう</t>
  </si>
  <si>
    <t>制服</t>
  </si>
  <si>
    <t>夏祭り</t>
  </si>
  <si>
    <t>グー</t>
  </si>
  <si>
    <t>1周年</t>
  </si>
  <si>
    <t>パー</t>
  </si>
  <si>
    <t>影山飛雄</t>
  </si>
  <si>
    <t>S</t>
  </si>
  <si>
    <t>かげやまとびお</t>
  </si>
  <si>
    <t>Xmas</t>
  </si>
  <si>
    <t>月島蛍</t>
  </si>
  <si>
    <t>つきしまけい</t>
  </si>
  <si>
    <t>水着</t>
  </si>
  <si>
    <t>職業体験</t>
  </si>
  <si>
    <t>山口忠</t>
  </si>
  <si>
    <t>やまぐちだだし</t>
  </si>
  <si>
    <t>雪遊び</t>
  </si>
  <si>
    <t>西谷夕</t>
  </si>
  <si>
    <t>Li</t>
  </si>
  <si>
    <t>にしのやゆう</t>
  </si>
  <si>
    <t>田中龍之介</t>
  </si>
  <si>
    <t>WS</t>
  </si>
  <si>
    <t>たなかりゅうのすけ</t>
  </si>
  <si>
    <t>新年</t>
  </si>
  <si>
    <t>澤村大地</t>
  </si>
  <si>
    <t>さわむらだいち</t>
  </si>
  <si>
    <t>プール掃除</t>
  </si>
  <si>
    <t>文化祭</t>
  </si>
  <si>
    <t>菅原考支</t>
  </si>
  <si>
    <t>すがわらこうし</t>
  </si>
  <si>
    <t>東峰旭</t>
  </si>
  <si>
    <t>あずまねあさひ</t>
  </si>
  <si>
    <t>YELL</t>
  </si>
  <si>
    <t>縁下力</t>
  </si>
  <si>
    <t>えんのしたちから</t>
  </si>
  <si>
    <t>探偵</t>
  </si>
  <si>
    <t>木下久志</t>
  </si>
  <si>
    <t>きのしたひさし</t>
  </si>
  <si>
    <t>成田一仁</t>
  </si>
  <si>
    <t>なりたかずひと</t>
  </si>
  <si>
    <t>孤爪研磨</t>
  </si>
  <si>
    <t>こづめけんま</t>
  </si>
  <si>
    <t>黒尾鉄朗</t>
  </si>
  <si>
    <t>くろおてつろう</t>
  </si>
  <si>
    <t>灰羽リエーフ</t>
  </si>
  <si>
    <t>はいばりえーふ</t>
  </si>
  <si>
    <t>夜久衛輔</t>
  </si>
  <si>
    <t>やくもりすけ</t>
  </si>
  <si>
    <t>福永招平</t>
  </si>
  <si>
    <t>ふくながしょうへい</t>
  </si>
  <si>
    <t>犬岡走</t>
  </si>
  <si>
    <t>いぬおかそう</t>
  </si>
  <si>
    <t>山本猛虎</t>
  </si>
  <si>
    <t>やまもとたけとら</t>
  </si>
  <si>
    <t>芝山優生</t>
  </si>
  <si>
    <t>しばやまゆうき</t>
  </si>
  <si>
    <t>海信之</t>
  </si>
  <si>
    <t>かいのぶゆき</t>
  </si>
  <si>
    <t>青根高伸</t>
  </si>
  <si>
    <t>あおねたかのぶ</t>
  </si>
  <si>
    <t>二口堅治</t>
  </si>
  <si>
    <t>ふたくちけんじ</t>
  </si>
  <si>
    <t>黄金川貫至</t>
  </si>
  <si>
    <t>こがねがわかんじ</t>
  </si>
  <si>
    <t>小原豊</t>
  </si>
  <si>
    <t>おばらゆたか</t>
  </si>
  <si>
    <t>女川太郎</t>
  </si>
  <si>
    <t>おながわたろう</t>
  </si>
  <si>
    <t>作並浩輔</t>
  </si>
  <si>
    <t>さくなみこうすけ</t>
  </si>
  <si>
    <t>吹上仁悟</t>
  </si>
  <si>
    <t>ふきあげじんご</t>
  </si>
  <si>
    <t>茂庭要</t>
  </si>
  <si>
    <t>もにわかなめ</t>
  </si>
  <si>
    <t>鎌先靖志</t>
  </si>
  <si>
    <t>かまさきやすし</t>
  </si>
  <si>
    <t>笹谷武仁</t>
  </si>
  <si>
    <t>ささやたけひと</t>
  </si>
  <si>
    <t>及川徹</t>
  </si>
  <si>
    <t>おいかわとおる</t>
  </si>
  <si>
    <t>岩泉一</t>
  </si>
  <si>
    <t>いわいずみはじめ</t>
  </si>
  <si>
    <t>サバゲ</t>
  </si>
  <si>
    <t>金田一勇太郎</t>
  </si>
  <si>
    <t>きんだいちゆうたろう</t>
  </si>
  <si>
    <t>京谷賢太郎</t>
  </si>
  <si>
    <t>きょうたにけんたろう</t>
  </si>
  <si>
    <t>国見英</t>
  </si>
  <si>
    <t>くにみあきら</t>
  </si>
  <si>
    <t>渡親治</t>
  </si>
  <si>
    <t>わたりしんじ</t>
  </si>
  <si>
    <t>松川一静</t>
  </si>
  <si>
    <t>まつかわいっせい</t>
  </si>
  <si>
    <t>アート</t>
  </si>
  <si>
    <t>花巻貴大</t>
  </si>
  <si>
    <t>はなまきたかひろ</t>
  </si>
  <si>
    <t>矢巾秀</t>
  </si>
  <si>
    <t>やはばしげる</t>
  </si>
  <si>
    <t>駒木輝</t>
  </si>
  <si>
    <t>こまきひかる</t>
  </si>
  <si>
    <t>茶屋和馬</t>
  </si>
  <si>
    <t>ちゃやかずま</t>
  </si>
  <si>
    <t>玉川弘樹</t>
  </si>
  <si>
    <t>たまがわひろき</t>
  </si>
  <si>
    <t>桜井大河</t>
  </si>
  <si>
    <t>さくらいたいが</t>
  </si>
  <si>
    <t>芳賀良治</t>
  </si>
  <si>
    <t>はがよしはる</t>
  </si>
  <si>
    <t>渋谷陸斗</t>
  </si>
  <si>
    <t>しぶやりくと</t>
  </si>
  <si>
    <t>池尻隼人</t>
  </si>
  <si>
    <t>いけじりはやと</t>
  </si>
  <si>
    <t>十和田良樹</t>
  </si>
  <si>
    <t>とわだよしき</t>
  </si>
  <si>
    <t>森岳歩</t>
  </si>
  <si>
    <t>もりたけあゆむ</t>
  </si>
  <si>
    <t>唐松拓巳</t>
  </si>
  <si>
    <t>からまつたくみ</t>
  </si>
  <si>
    <t>田沢裕樹</t>
  </si>
  <si>
    <t>たざわゆうき</t>
  </si>
  <si>
    <t>子安颯真</t>
  </si>
  <si>
    <t>おやすそうま</t>
  </si>
  <si>
    <t>横手駿</t>
  </si>
  <si>
    <t>よこてしゅん</t>
  </si>
  <si>
    <t>夏瀬伊吹</t>
  </si>
  <si>
    <t>なつせいぶき</t>
  </si>
  <si>
    <t>古牧譲</t>
  </si>
  <si>
    <t>こまきゆずる</t>
  </si>
  <si>
    <t>浅虫快人</t>
  </si>
  <si>
    <t>あさむしかいと</t>
  </si>
  <si>
    <t>南田大志</t>
  </si>
  <si>
    <t>みなみだたいし</t>
  </si>
  <si>
    <t>湯川良明</t>
  </si>
  <si>
    <t>ぬるかわよしあき</t>
  </si>
  <si>
    <t>稲垣功</t>
  </si>
  <si>
    <t>いながきいさお</t>
  </si>
  <si>
    <t>馬門英治</t>
  </si>
  <si>
    <t>まかどえいじ</t>
  </si>
  <si>
    <t>百沢雄大</t>
  </si>
  <si>
    <t>ひゃくざわゆうだい</t>
  </si>
  <si>
    <t>照島游児</t>
  </si>
  <si>
    <t>てるしまゆうじ</t>
  </si>
  <si>
    <t>母畑和馬</t>
  </si>
  <si>
    <t>ぼばたかずま</t>
  </si>
  <si>
    <t>二岐丈晴</t>
  </si>
  <si>
    <t>ふたまたたけはる</t>
  </si>
  <si>
    <t>沼尻凛太郎</t>
  </si>
  <si>
    <t>ぬまじりりんたろう</t>
  </si>
  <si>
    <t>飯坂信義</t>
  </si>
  <si>
    <t>いいざかのぶよし</t>
  </si>
  <si>
    <t>東山勝道</t>
  </si>
  <si>
    <t>ひがしやまかつみち</t>
  </si>
  <si>
    <t>土湯新</t>
  </si>
  <si>
    <t>つちゆあらた</t>
  </si>
  <si>
    <t>中島猛</t>
  </si>
  <si>
    <t>なかじまたける</t>
  </si>
  <si>
    <t>白石優希</t>
  </si>
  <si>
    <t>しろいしゆうき</t>
  </si>
  <si>
    <t>花山一雅</t>
  </si>
  <si>
    <t>はなやまかずまさ</t>
  </si>
  <si>
    <t>鳴子哲平</t>
  </si>
  <si>
    <t>なるこてっぺい</t>
  </si>
  <si>
    <t>秋保和光</t>
  </si>
  <si>
    <t>あきうかずてる</t>
  </si>
  <si>
    <t>松島剛</t>
  </si>
  <si>
    <t>まつしまつよし</t>
  </si>
  <si>
    <t>川渡瞬己</t>
  </si>
  <si>
    <t>かわたびしゅんき</t>
  </si>
  <si>
    <t>牛島若利</t>
  </si>
  <si>
    <t>うしじまわかとし</t>
  </si>
  <si>
    <t>天童覚</t>
  </si>
  <si>
    <t>てんどうさとり</t>
  </si>
  <si>
    <t>五色工</t>
  </si>
  <si>
    <t>ごしきつとむ</t>
  </si>
  <si>
    <t>白布賢二郎</t>
  </si>
  <si>
    <t>しらぶけんじろう</t>
  </si>
  <si>
    <t>大平獅音</t>
  </si>
  <si>
    <t>おおひられおん</t>
  </si>
  <si>
    <t>川西太一</t>
  </si>
  <si>
    <t>かわにしたいち</t>
  </si>
  <si>
    <t>瀬見英太</t>
  </si>
  <si>
    <t>せみえいた</t>
  </si>
  <si>
    <t>山形隼人</t>
  </si>
  <si>
    <t>やまがたはやと</t>
  </si>
  <si>
    <t>宮侑</t>
  </si>
  <si>
    <t>みやあつむ</t>
  </si>
  <si>
    <t>宮治</t>
  </si>
  <si>
    <t>みやおさむ</t>
  </si>
  <si>
    <t>角名倫太郎</t>
  </si>
  <si>
    <t>すなりんたろう</t>
  </si>
  <si>
    <t>北信介</t>
  </si>
  <si>
    <t>きたしんすけ</t>
  </si>
  <si>
    <t>尾白アラン</t>
  </si>
  <si>
    <t>おじろあらん</t>
  </si>
  <si>
    <t>赤木路成</t>
  </si>
  <si>
    <t>あかぎみちなり</t>
  </si>
  <si>
    <t>大耳練</t>
  </si>
  <si>
    <t>おおみみれん</t>
  </si>
  <si>
    <t>理石平介</t>
  </si>
  <si>
    <t>りせきへいすけ</t>
  </si>
  <si>
    <t>木兎光太郎</t>
  </si>
  <si>
    <t>ぼくとこうたろう</t>
  </si>
  <si>
    <t>木葉秋紀</t>
  </si>
  <si>
    <t>このはあきのり</t>
  </si>
  <si>
    <t>猿杙大和</t>
  </si>
  <si>
    <t>さるくいやまと</t>
  </si>
  <si>
    <t>小見春樹</t>
  </si>
  <si>
    <t>こみはるき</t>
  </si>
  <si>
    <t>尾長渉</t>
  </si>
  <si>
    <t>おながわたる</t>
  </si>
  <si>
    <t>鷲尾辰生</t>
  </si>
  <si>
    <t>わしおたつき</t>
  </si>
  <si>
    <t>赤葦京治</t>
  </si>
  <si>
    <t>あかあしけいじ</t>
  </si>
  <si>
    <t>星海光来</t>
  </si>
  <si>
    <t>ほしうみこうらい</t>
  </si>
  <si>
    <t>昼神幸郎</t>
  </si>
  <si>
    <t>ひるがみさちろう</t>
  </si>
  <si>
    <t>佐久早聖臣</t>
  </si>
  <si>
    <t>さくさきよおみ</t>
  </si>
  <si>
    <t>小森元也</t>
  </si>
  <si>
    <t>こもりもとや</t>
  </si>
  <si>
    <t>大将優</t>
  </si>
  <si>
    <t>だいしょうすぐる</t>
  </si>
  <si>
    <t>沼井和馬</t>
  </si>
  <si>
    <t>ぬまいかずま</t>
  </si>
  <si>
    <t>潜尚保</t>
  </si>
  <si>
    <t>くぐりなおやす</t>
  </si>
  <si>
    <t>高千穂恵也</t>
  </si>
  <si>
    <t>たかちほよしや</t>
  </si>
  <si>
    <t>広尾倖児</t>
  </si>
  <si>
    <t>ひろおこうじ</t>
  </si>
  <si>
    <t>先島伊澄</t>
  </si>
  <si>
    <t>さきしまいすみ</t>
  </si>
  <si>
    <t>背黒晃彦</t>
  </si>
  <si>
    <t>せぐろあきひこ</t>
  </si>
  <si>
    <t>赤間颯</t>
  </si>
  <si>
    <t>あかまそう</t>
  </si>
  <si>
    <t>RPG</t>
  </si>
  <si>
    <t>Q_RZS.AttackVal</t>
  </si>
  <si>
    <t>Q_RZS.ServeVal</t>
  </si>
  <si>
    <t>Q_RZS.TossVal</t>
  </si>
  <si>
    <t>Q_RZS.ReceiveVal</t>
  </si>
  <si>
    <t>Q_RZS.BlockVal</t>
  </si>
  <si>
    <t>▲</t>
  </si>
  <si>
    <t>烏野</t>
    <rPh sb="0" eb="1">
      <t>カラス</t>
    </rPh>
    <rPh sb="1" eb="2">
      <t>ノ</t>
    </rPh>
    <phoneticPr fontId="1"/>
  </si>
  <si>
    <t>音駒</t>
    <rPh sb="0" eb="2">
      <t>ネコマ</t>
    </rPh>
    <phoneticPr fontId="1"/>
  </si>
  <si>
    <t>伊達工</t>
    <rPh sb="0" eb="2">
      <t>ダテ</t>
    </rPh>
    <rPh sb="2" eb="3">
      <t>コウ</t>
    </rPh>
    <phoneticPr fontId="1"/>
  </si>
  <si>
    <t>青城</t>
    <rPh sb="0" eb="1">
      <t>セイ</t>
    </rPh>
    <rPh sb="1" eb="2">
      <t>ジョウ</t>
    </rPh>
    <phoneticPr fontId="1"/>
  </si>
  <si>
    <t>常波</t>
    <rPh sb="0" eb="1">
      <t>トコ</t>
    </rPh>
    <rPh sb="1" eb="2">
      <t>ナミ</t>
    </rPh>
    <phoneticPr fontId="1"/>
  </si>
  <si>
    <t>扇南</t>
    <rPh sb="0" eb="1">
      <t>オウギ</t>
    </rPh>
    <rPh sb="1" eb="2">
      <t>ミナミ</t>
    </rPh>
    <phoneticPr fontId="1"/>
  </si>
  <si>
    <t>角川</t>
    <rPh sb="0" eb="1">
      <t>カク</t>
    </rPh>
    <rPh sb="1" eb="2">
      <t>カワ</t>
    </rPh>
    <phoneticPr fontId="1"/>
  </si>
  <si>
    <t>条善寺</t>
    <rPh sb="0" eb="1">
      <t>ジョウ</t>
    </rPh>
    <rPh sb="1" eb="2">
      <t>ゼン</t>
    </rPh>
    <rPh sb="2" eb="3">
      <t>ジ</t>
    </rPh>
    <phoneticPr fontId="1"/>
  </si>
  <si>
    <t>和久南</t>
    <rPh sb="0" eb="2">
      <t>ワク</t>
    </rPh>
    <rPh sb="2" eb="3">
      <t>ナン</t>
    </rPh>
    <phoneticPr fontId="1"/>
  </si>
  <si>
    <t>白鳥沢</t>
    <rPh sb="0" eb="3">
      <t>シラトリザワ</t>
    </rPh>
    <phoneticPr fontId="1"/>
  </si>
  <si>
    <t>梟谷</t>
    <rPh sb="0" eb="1">
      <t>フクロウ</t>
    </rPh>
    <rPh sb="1" eb="2">
      <t>タニ</t>
    </rPh>
    <phoneticPr fontId="1"/>
  </si>
  <si>
    <t>稲荷崎</t>
    <rPh sb="0" eb="2">
      <t>イナリ</t>
    </rPh>
    <rPh sb="2" eb="3">
      <t>ザキ</t>
    </rPh>
    <phoneticPr fontId="1"/>
  </si>
  <si>
    <t>井闥山</t>
    <rPh sb="0" eb="1">
      <t>イ</t>
    </rPh>
    <rPh sb="1" eb="2">
      <t>タツ</t>
    </rPh>
    <rPh sb="2" eb="3">
      <t>ヤマ</t>
    </rPh>
    <phoneticPr fontId="1"/>
  </si>
  <si>
    <t>鴎台</t>
    <rPh sb="0" eb="1">
      <t>カモメ</t>
    </rPh>
    <rPh sb="1" eb="2">
      <t>ダイ</t>
    </rPh>
    <phoneticPr fontId="1"/>
  </si>
  <si>
    <t>戸美</t>
    <rPh sb="0" eb="1">
      <t>ト</t>
    </rPh>
    <rPh sb="1" eb="2">
      <t>ビ</t>
    </rPh>
    <phoneticPr fontId="1"/>
  </si>
  <si>
    <t>椿原</t>
  </si>
  <si>
    <t>越後栄</t>
  </si>
  <si>
    <t>えちごさかえ</t>
  </si>
  <si>
    <t>椿原</t>
    <rPh sb="0" eb="2">
      <t>ツバハラ</t>
    </rPh>
    <phoneticPr fontId="1"/>
  </si>
  <si>
    <t>寺泊基希</t>
  </si>
  <si>
    <t>てらどまりもとき</t>
  </si>
  <si>
    <t>姫川葵</t>
  </si>
  <si>
    <t>ひめかわあおい</t>
  </si>
  <si>
    <t>烏野</t>
    <rPh sb="0" eb="1">
      <t>カラス</t>
    </rPh>
    <rPh sb="1" eb="2">
      <t>ノ</t>
    </rPh>
    <phoneticPr fontId="1"/>
  </si>
  <si>
    <t>路地裏</t>
  </si>
  <si>
    <t>当間義友</t>
  </si>
  <si>
    <t>あてまよしとも</t>
  </si>
  <si>
    <t>貝掛亮文</t>
  </si>
  <si>
    <t>かいかけあきふみ</t>
  </si>
  <si>
    <t>丸山一喜</t>
  </si>
  <si>
    <t>まるやまかずき</t>
  </si>
  <si>
    <t>舞子侑志</t>
  </si>
  <si>
    <t>まいこゆうし</t>
  </si>
  <si>
    <t>秋宮昇</t>
  </si>
  <si>
    <t>あきみやのぼる</t>
  </si>
  <si>
    <t>バーガー</t>
  </si>
  <si>
    <t>条善寺</t>
    <phoneticPr fontId="1"/>
  </si>
  <si>
    <t>Top</t>
    <phoneticPr fontId="1"/>
  </si>
  <si>
    <t>↑</t>
    <phoneticPr fontId="1"/>
  </si>
  <si>
    <t>銀島結</t>
  </si>
  <si>
    <t>ぎんじまひとし</t>
  </si>
  <si>
    <t>DispName</t>
  </si>
  <si>
    <t>日向翔陽ICO</t>
  </si>
  <si>
    <t>制服日向翔陽ICO</t>
  </si>
  <si>
    <t>夏祭り日向翔陽ICO</t>
  </si>
  <si>
    <t>1周年日向翔陽ICO</t>
  </si>
  <si>
    <t>影山飛雄ICO</t>
  </si>
  <si>
    <t>制服影山飛雄ICO</t>
  </si>
  <si>
    <t>夏祭り影山飛雄ICO</t>
  </si>
  <si>
    <t>Xmas影山飛雄ICO</t>
  </si>
  <si>
    <t>1周年影山飛雄ICO</t>
  </si>
  <si>
    <t>月島蛍ICO</t>
  </si>
  <si>
    <t>水着月島蛍ICO</t>
  </si>
  <si>
    <t>職業体験月島蛍ICO</t>
  </si>
  <si>
    <t>1周年月島蛍ICO</t>
  </si>
  <si>
    <t>山口忠ICO</t>
  </si>
  <si>
    <t>水着山口忠ICO</t>
  </si>
  <si>
    <t>雪遊び山口忠ICO</t>
  </si>
  <si>
    <t>西谷夕ICO</t>
  </si>
  <si>
    <t>制服西谷夕ICO</t>
  </si>
  <si>
    <t>Xmas西谷夕ICO</t>
  </si>
  <si>
    <t>バーガー西谷夕ICO</t>
  </si>
  <si>
    <t>田中龍之介ICO</t>
  </si>
  <si>
    <t>制服田中龍之介ICO</t>
  </si>
  <si>
    <t>新年田中龍之介ICO</t>
  </si>
  <si>
    <t>RPG田中龍之介ICO</t>
  </si>
  <si>
    <t>澤村大地ICO</t>
  </si>
  <si>
    <t>プール掃除澤村大地ICO</t>
  </si>
  <si>
    <t>文化祭澤村大地ICO</t>
  </si>
  <si>
    <t>RPG澤村大地ICO</t>
  </si>
  <si>
    <t>菅原考支ICO</t>
  </si>
  <si>
    <t>プール掃除菅原考支ICO</t>
  </si>
  <si>
    <t>文化祭菅原考支ICO</t>
  </si>
  <si>
    <t>東峰旭ICO</t>
  </si>
  <si>
    <t>プール掃除東峰旭ICO</t>
  </si>
  <si>
    <t>サバゲ東峰旭ICO</t>
  </si>
  <si>
    <t>縁下力ICO</t>
  </si>
  <si>
    <t>探偵縁下力ICO</t>
  </si>
  <si>
    <t>RPG縁下力ICO</t>
  </si>
  <si>
    <t>木下久志ICO</t>
  </si>
  <si>
    <t>成田一仁ICO</t>
  </si>
  <si>
    <t>孤爪研磨ICO</t>
  </si>
  <si>
    <t>制服孤爪研磨ICO</t>
  </si>
  <si>
    <t>夏祭り孤爪研磨ICO</t>
  </si>
  <si>
    <t>1周年孤爪研磨ICO</t>
  </si>
  <si>
    <t>黒尾鉄朗ICO</t>
  </si>
  <si>
    <t>制服黒尾鉄朗ICO</t>
  </si>
  <si>
    <t>夏祭り黒尾鉄朗ICO</t>
  </si>
  <si>
    <t>1周年黒尾鉄朗ICO</t>
  </si>
  <si>
    <t>灰羽リエーフICO</t>
  </si>
  <si>
    <t>探偵灰羽リエーフICO</t>
  </si>
  <si>
    <t>路地裏灰羽リエーフICO</t>
  </si>
  <si>
    <t>夜久衛輔ICO</t>
  </si>
  <si>
    <t>1周年夜久衛輔ICO</t>
  </si>
  <si>
    <t>福永招平ICO</t>
  </si>
  <si>
    <t>バーガー福永招平ICO</t>
  </si>
  <si>
    <t>犬岡走ICO</t>
  </si>
  <si>
    <t>新年犬岡走ICO</t>
  </si>
  <si>
    <t>山本猛虎ICO</t>
  </si>
  <si>
    <t>新年山本猛虎ICO</t>
  </si>
  <si>
    <t>芝山優生ICO</t>
  </si>
  <si>
    <t>海信之ICO</t>
  </si>
  <si>
    <t>青根高伸ICO</t>
  </si>
  <si>
    <t>制服青根高伸ICO</t>
  </si>
  <si>
    <t>プール掃除青根高伸ICO</t>
  </si>
  <si>
    <t>二口堅治ICO</t>
  </si>
  <si>
    <t>制服二口堅治ICO</t>
  </si>
  <si>
    <t>プール掃除二口堅治ICO</t>
  </si>
  <si>
    <t>路地裏二口堅治ICO</t>
  </si>
  <si>
    <t>黄金川貫至ICO</t>
  </si>
  <si>
    <t>制服黄金川貫至ICO</t>
  </si>
  <si>
    <t>職業体験黄金川貫至ICO</t>
  </si>
  <si>
    <t>小原豊ICO</t>
  </si>
  <si>
    <t>女川太郎ICO</t>
  </si>
  <si>
    <t>作並浩輔ICO</t>
  </si>
  <si>
    <t>吹上仁悟ICO</t>
  </si>
  <si>
    <t>茂庭要ICO</t>
  </si>
  <si>
    <t>鎌先靖志ICO</t>
  </si>
  <si>
    <t>笹谷武仁ICO</t>
  </si>
  <si>
    <t>及川徹ICO</t>
  </si>
  <si>
    <t>プール掃除及川徹ICO</t>
  </si>
  <si>
    <t>Xmas及川徹ICO</t>
  </si>
  <si>
    <t>制服及川徹ICO</t>
  </si>
  <si>
    <t>路地裏及川徹ICO</t>
  </si>
  <si>
    <t>岩泉一ICO</t>
  </si>
  <si>
    <t>プール掃除岩泉一ICO</t>
  </si>
  <si>
    <t>制服岩泉一ICO</t>
  </si>
  <si>
    <t>サバゲ岩泉一ICO</t>
  </si>
  <si>
    <t>金田一勇太郎ICO</t>
  </si>
  <si>
    <t>雪遊び金田一勇太郎ICO</t>
  </si>
  <si>
    <t>京谷賢太郎ICO</t>
  </si>
  <si>
    <t>国見英ICO</t>
  </si>
  <si>
    <t>職業体験国見英ICO</t>
  </si>
  <si>
    <t>路地裏国見英ICO</t>
  </si>
  <si>
    <t>渡親治ICO</t>
  </si>
  <si>
    <t>松川一静ICO</t>
  </si>
  <si>
    <t>アート松川一静ICO</t>
  </si>
  <si>
    <t>花巻貴大ICO</t>
  </si>
  <si>
    <t>アート花巻貴大ICO</t>
  </si>
  <si>
    <t>バーガー花巻貴大ICO</t>
  </si>
  <si>
    <t>矢巾秀ICO</t>
  </si>
  <si>
    <t>駒木輝ICO</t>
  </si>
  <si>
    <t>茶屋和馬ICO</t>
  </si>
  <si>
    <t>玉川弘樹ICO</t>
  </si>
  <si>
    <t>桜井大河ICO</t>
  </si>
  <si>
    <t>芳賀良治ICO</t>
  </si>
  <si>
    <t>渋谷陸斗ICO</t>
  </si>
  <si>
    <t>池尻隼人ICO</t>
  </si>
  <si>
    <t>十和田良樹ICO</t>
  </si>
  <si>
    <t>森岳歩ICO</t>
  </si>
  <si>
    <t>唐松拓巳ICO</t>
  </si>
  <si>
    <t>田沢裕樹ICO</t>
  </si>
  <si>
    <t>子安颯真ICO</t>
  </si>
  <si>
    <t>横手駿ICO</t>
  </si>
  <si>
    <t>夏瀬伊吹ICO</t>
  </si>
  <si>
    <t>秋宮昇ICO</t>
  </si>
  <si>
    <t>古牧譲ICO</t>
  </si>
  <si>
    <t>雪遊び古牧譲ICO</t>
  </si>
  <si>
    <t>浅虫快人ICO</t>
  </si>
  <si>
    <t>南田大志ICO</t>
  </si>
  <si>
    <t>湯川良明ICO</t>
  </si>
  <si>
    <t>稲垣功ICO</t>
  </si>
  <si>
    <t>馬門英治ICO</t>
  </si>
  <si>
    <t>百沢雄大ICO</t>
  </si>
  <si>
    <t>職業体験百沢雄大ICO</t>
  </si>
  <si>
    <t>照島游児ICO</t>
  </si>
  <si>
    <t>制服照島游児ICO</t>
  </si>
  <si>
    <t>雪遊び照島游児ICO</t>
  </si>
  <si>
    <t>母畑和馬ICO</t>
  </si>
  <si>
    <t>二岐丈晴ICO</t>
  </si>
  <si>
    <t>制服二岐丈晴ICO</t>
  </si>
  <si>
    <t>沼尻凛太郎ICO</t>
  </si>
  <si>
    <t>飯坂信義ICO</t>
  </si>
  <si>
    <t>東山勝道ICO</t>
  </si>
  <si>
    <t>土湯新ICO</t>
  </si>
  <si>
    <t>中島猛ICO</t>
  </si>
  <si>
    <t>白石優希ICO</t>
  </si>
  <si>
    <t>花山一雅ICO</t>
  </si>
  <si>
    <t>鳴子哲平ICO</t>
  </si>
  <si>
    <t>秋保和光ICO</t>
  </si>
  <si>
    <t>松島剛ICO</t>
  </si>
  <si>
    <t>川渡瞬己ICO</t>
  </si>
  <si>
    <t>牛島若利ICO</t>
  </si>
  <si>
    <t>水着牛島若利ICO</t>
  </si>
  <si>
    <t>新年牛島若利ICO</t>
  </si>
  <si>
    <t>天童覚ICO</t>
  </si>
  <si>
    <t>水着天童覚ICO</t>
  </si>
  <si>
    <t>文化祭天童覚ICO</t>
  </si>
  <si>
    <t>五色工ICO</t>
  </si>
  <si>
    <t>職業体験五色工ICO</t>
  </si>
  <si>
    <t>白布賢二郎ICO</t>
  </si>
  <si>
    <t>探偵白布賢二郎ICO</t>
  </si>
  <si>
    <t>大平獅音ICO</t>
  </si>
  <si>
    <t>川西太一ICO</t>
  </si>
  <si>
    <t>路地裏川西太一ICO</t>
  </si>
  <si>
    <t>瀬見英太ICO</t>
  </si>
  <si>
    <t>雪遊び瀬見英太ICO</t>
  </si>
  <si>
    <t>山形隼人ICO</t>
  </si>
  <si>
    <t>宮侑ICO</t>
  </si>
  <si>
    <t>文化祭宮侑ICO</t>
  </si>
  <si>
    <t>RPG宮侑ICO</t>
  </si>
  <si>
    <t>宮治ICO</t>
  </si>
  <si>
    <t>RPG宮治ICO</t>
  </si>
  <si>
    <t>角名倫太郎ICO</t>
  </si>
  <si>
    <t>サバゲ角名倫太郎ICO</t>
  </si>
  <si>
    <t>北信介ICO</t>
  </si>
  <si>
    <t>Xmas北信介ICO</t>
  </si>
  <si>
    <t>尾白アランICO</t>
  </si>
  <si>
    <t>雪遊び尾白アランICO</t>
  </si>
  <si>
    <t>赤木路成ICO</t>
  </si>
  <si>
    <t>大耳練ICO</t>
  </si>
  <si>
    <t>理石平介ICO</t>
  </si>
  <si>
    <t>銀島結ICO</t>
  </si>
  <si>
    <t>木兎光太郎ICO</t>
  </si>
  <si>
    <t>夏祭り木兎光太郎ICO</t>
  </si>
  <si>
    <t>Xmas木兎光太郎ICO</t>
  </si>
  <si>
    <t>制服木兎光太郎ICO</t>
  </si>
  <si>
    <t>木葉秋紀ICO</t>
  </si>
  <si>
    <t>探偵木葉秋紀ICO</t>
  </si>
  <si>
    <t>猿杙大和ICO</t>
  </si>
  <si>
    <t>小見春樹ICO</t>
  </si>
  <si>
    <t>尾長渉ICO</t>
  </si>
  <si>
    <t>鷲尾辰生ICO</t>
  </si>
  <si>
    <t>赤葦京治ICO</t>
  </si>
  <si>
    <t>夏祭り赤葦京治ICO</t>
  </si>
  <si>
    <t>制服赤葦京治ICO</t>
  </si>
  <si>
    <t>バーガー赤葦京治ICO</t>
  </si>
  <si>
    <t>姫川葵ICO</t>
  </si>
  <si>
    <t>当間義友ICO</t>
  </si>
  <si>
    <t>越後栄ICO</t>
  </si>
  <si>
    <t>貝掛亮文ICO</t>
  </si>
  <si>
    <t>丸山一喜ICO</t>
  </si>
  <si>
    <t>舞子侑志ICO</t>
  </si>
  <si>
    <t>寺泊基希ICO</t>
  </si>
  <si>
    <t>星海光来ICO</t>
  </si>
  <si>
    <t>文化祭星海光来ICO</t>
  </si>
  <si>
    <t>サバゲ星海光来ICO</t>
  </si>
  <si>
    <t>昼神幸郎ICO</t>
  </si>
  <si>
    <t>Xmas昼神幸郎ICO</t>
  </si>
  <si>
    <t>佐久早聖臣ICO</t>
  </si>
  <si>
    <t>サバゲ佐久早聖臣ICO</t>
  </si>
  <si>
    <t>小森元也ICO</t>
  </si>
  <si>
    <t>大将優ICO</t>
  </si>
  <si>
    <t>新年大将優ICO</t>
  </si>
  <si>
    <t>沼井和馬ICO</t>
  </si>
  <si>
    <t>潜尚保ICO</t>
  </si>
  <si>
    <t>バーガー潜尚保ICO</t>
  </si>
  <si>
    <t>高千穂恵也ICO</t>
  </si>
  <si>
    <t>広尾倖児ICO</t>
  </si>
  <si>
    <t>先島伊澄ICO</t>
  </si>
  <si>
    <t>背黒晃彦ICO</t>
  </si>
  <si>
    <t>赤間颯ICO</t>
  </si>
  <si>
    <t>梅雨</t>
  </si>
  <si>
    <t>梅雨木葉秋紀ICO</t>
  </si>
  <si>
    <t>梅雨京谷賢太郎ICO</t>
  </si>
  <si>
    <t>梅雨菅原考支ICO</t>
  </si>
  <si>
    <t>制服五色工ICO</t>
  </si>
  <si>
    <t>制服白布賢二郎ICO</t>
  </si>
  <si>
    <t>制服牛島若利ICO</t>
  </si>
  <si>
    <t>制服天童覚ICO</t>
  </si>
  <si>
    <t>キャンプ</t>
  </si>
  <si>
    <t>キャンプ矢巾秀ICO</t>
  </si>
  <si>
    <t>キャンプ小森元也ICO</t>
  </si>
  <si>
    <t>キャンプ青根高伸ICO</t>
  </si>
  <si>
    <t>キャンプ木兎光太郎ICO</t>
  </si>
  <si>
    <t>キャンプ黒尾鉄朗ICO</t>
  </si>
  <si>
    <t>手白球彦</t>
  </si>
  <si>
    <t>てしろたまひこ</t>
  </si>
  <si>
    <t>手白球彦ICO</t>
  </si>
  <si>
    <t>花火</t>
  </si>
  <si>
    <t>花火縁下力ICO</t>
  </si>
  <si>
    <t>王冠</t>
  </si>
  <si>
    <t>王冠日向翔陽ICO</t>
  </si>
  <si>
    <t>王冠影山飛雄ICO</t>
  </si>
  <si>
    <t>バカンス</t>
  </si>
  <si>
    <t>バカンス岩泉一ICO</t>
  </si>
  <si>
    <t>バカンス白布賢二郎ICO</t>
  </si>
  <si>
    <t>花火夜久衛輔ICO</t>
  </si>
  <si>
    <t>花火角名倫太郎ICO</t>
  </si>
  <si>
    <t>バカンス及川徹ICO</t>
  </si>
  <si>
    <t>設定用</t>
    <rPh sb="0" eb="3">
      <t>セッテイヨウ</t>
    </rPh>
    <phoneticPr fontId="1"/>
  </si>
  <si>
    <t>[[DispName]:[Q_RZS.BlockVal]]</t>
  </si>
  <si>
    <t>範囲</t>
    <rPh sb="0" eb="2">
      <t>ハンイ</t>
    </rPh>
    <phoneticPr fontId="1"/>
  </si>
  <si>
    <t>見出し</t>
    <rPh sb="0" eb="2">
      <t>ミダ</t>
    </rPh>
    <phoneticPr fontId="1"/>
  </si>
  <si>
    <t>学校名</t>
    <rPh sb="0" eb="3">
      <t>ガッコウメイ</t>
    </rPh>
    <phoneticPr fontId="1"/>
  </si>
  <si>
    <t>ラベル用</t>
    <rPh sb="3" eb="4">
      <t>ヨウ</t>
    </rPh>
    <phoneticPr fontId="1"/>
  </si>
  <si>
    <t>学校名</t>
    <rPh sb="0" eb="3">
      <t>ガッコウメイ</t>
    </rPh>
    <phoneticPr fontId="1"/>
  </si>
  <si>
    <t>!$M$2:$M$99</t>
  </si>
  <si>
    <t>花火姫川葵ICO</t>
  </si>
  <si>
    <t>花火星海光来ICO</t>
  </si>
  <si>
    <t>花火月島蛍ICO</t>
  </si>
  <si>
    <t>バカンス松川一静ICO</t>
  </si>
  <si>
    <t>強羅昌己</t>
  </si>
  <si>
    <t>生川</t>
  </si>
  <si>
    <t>ごうらまさき</t>
  </si>
  <si>
    <t>強羅昌己ICO</t>
  </si>
  <si>
    <t>生川</t>
    <rPh sb="0" eb="2">
      <t>ウブカワ</t>
    </rPh>
    <phoneticPr fontId="1"/>
  </si>
  <si>
    <t>芦谷洋平</t>
  </si>
  <si>
    <t>あしやようへい</t>
  </si>
  <si>
    <t>芦谷洋平ICO</t>
  </si>
  <si>
    <t>バカンス五色工ICO</t>
  </si>
  <si>
    <t>バカンス瀬見英太ICO</t>
  </si>
  <si>
    <t>仙石伸吾</t>
  </si>
  <si>
    <t>せんごくしんご</t>
  </si>
  <si>
    <t>仙石伸吾ICO</t>
  </si>
  <si>
    <t>服装</t>
    <rPh sb="0" eb="2">
      <t>フクソウ</t>
    </rPh>
    <phoneticPr fontId="1"/>
  </si>
  <si>
    <t>ID</t>
    <phoneticPr fontId="1"/>
  </si>
  <si>
    <t>ユニフォーム</t>
    <phoneticPr fontId="1"/>
  </si>
  <si>
    <t>制服</t>
    <rPh sb="0" eb="2">
      <t>セイフク</t>
    </rPh>
    <phoneticPr fontId="1"/>
  </si>
  <si>
    <t>プール掃除</t>
    <rPh sb="3" eb="5">
      <t>ソウジ</t>
    </rPh>
    <phoneticPr fontId="1"/>
  </si>
  <si>
    <t>水着</t>
    <rPh sb="0" eb="2">
      <t>ミズギ</t>
    </rPh>
    <phoneticPr fontId="1"/>
  </si>
  <si>
    <t>夏祭り</t>
    <rPh sb="0" eb="2">
      <t>ナツマツリ</t>
    </rPh>
    <phoneticPr fontId="1"/>
  </si>
  <si>
    <t>探偵</t>
    <rPh sb="0" eb="2">
      <t>タンテイ</t>
    </rPh>
    <phoneticPr fontId="1"/>
  </si>
  <si>
    <t>職業体験</t>
    <rPh sb="0" eb="2">
      <t>ショクギョウ</t>
    </rPh>
    <rPh sb="2" eb="4">
      <t>タイケン</t>
    </rPh>
    <phoneticPr fontId="1"/>
  </si>
  <si>
    <t>文化祭</t>
    <rPh sb="0" eb="3">
      <t>ブンカサイ</t>
    </rPh>
    <phoneticPr fontId="1"/>
  </si>
  <si>
    <t>アート</t>
    <phoneticPr fontId="1"/>
  </si>
  <si>
    <t>Xmas</t>
    <phoneticPr fontId="1"/>
  </si>
  <si>
    <t>新年</t>
    <rPh sb="0" eb="2">
      <t>シンネン</t>
    </rPh>
    <phoneticPr fontId="1"/>
  </si>
  <si>
    <t>雪遊び</t>
    <rPh sb="0" eb="1">
      <t>ユキ</t>
    </rPh>
    <rPh sb="1" eb="2">
      <t>アソ</t>
    </rPh>
    <phoneticPr fontId="1"/>
  </si>
  <si>
    <t>サバゲ</t>
    <phoneticPr fontId="1"/>
  </si>
  <si>
    <t>路地裏</t>
    <rPh sb="0" eb="3">
      <t>ロジウラ</t>
    </rPh>
    <phoneticPr fontId="1"/>
  </si>
  <si>
    <t>バーガー</t>
    <phoneticPr fontId="1"/>
  </si>
  <si>
    <t>RPG</t>
    <phoneticPr fontId="1"/>
  </si>
  <si>
    <t>梅雨</t>
    <rPh sb="0" eb="2">
      <t>ツユ</t>
    </rPh>
    <phoneticPr fontId="1"/>
  </si>
  <si>
    <t>キャンプ</t>
    <phoneticPr fontId="1"/>
  </si>
  <si>
    <t>花火</t>
    <rPh sb="0" eb="2">
      <t>ハナビ</t>
    </rPh>
    <phoneticPr fontId="1"/>
  </si>
  <si>
    <t>バカンス</t>
    <phoneticPr fontId="1"/>
  </si>
  <si>
    <t>1周年</t>
    <rPh sb="1" eb="3">
      <t>シュウネン</t>
    </rPh>
    <phoneticPr fontId="1"/>
  </si>
  <si>
    <t>王冠</t>
    <rPh sb="0" eb="2">
      <t>オウカン</t>
    </rPh>
    <phoneticPr fontId="1"/>
  </si>
  <si>
    <t>服装順.ID</t>
  </si>
  <si>
    <t>スパイ</t>
  </si>
  <si>
    <t>スパイ照島游児ICO</t>
  </si>
  <si>
    <t>スパイ</t>
    <phoneticPr fontId="1"/>
  </si>
  <si>
    <t>スパイ中島猛ICO</t>
  </si>
  <si>
    <t>スパイ孤爪研磨ICO</t>
  </si>
  <si>
    <t>スパイ山口忠ICO</t>
  </si>
  <si>
    <t>スパイ北信介ICO</t>
  </si>
  <si>
    <t>スパイ黄金川貫至ICO</t>
  </si>
  <si>
    <t>カンフー</t>
  </si>
  <si>
    <t>カンフー広尾倖児ICO</t>
  </si>
  <si>
    <t>カンフー</t>
    <phoneticPr fontId="1"/>
  </si>
  <si>
    <t>カンフー大将優ICO</t>
  </si>
  <si>
    <t>カンフー金田一勇太郎ICO</t>
  </si>
  <si>
    <t>カンフー国見英ICO</t>
  </si>
  <si>
    <t>カンフー宮侑ICO</t>
  </si>
  <si>
    <t>カンフー宮治ICO</t>
  </si>
  <si>
    <t>仮装</t>
  </si>
  <si>
    <t>仮装赤葦京治ICO</t>
  </si>
  <si>
    <t>仮装</t>
    <rPh sb="0" eb="2">
      <t>カソウ</t>
    </rPh>
    <phoneticPr fontId="1"/>
  </si>
  <si>
    <t>中川俊美</t>
  </si>
  <si>
    <t>なかがわとしみ</t>
  </si>
  <si>
    <t>中川俊美ICO</t>
  </si>
  <si>
    <t>七沢健吾</t>
  </si>
  <si>
    <t>ななさわけんご</t>
  </si>
  <si>
    <t>七沢健吾ICO</t>
  </si>
  <si>
    <t>myPath</t>
  </si>
  <si>
    <t>仮装天童覚ICO</t>
  </si>
  <si>
    <t>仮装田中龍之介ICO</t>
  </si>
  <si>
    <t>伊勢原裕次</t>
  </si>
  <si>
    <t>いせはらゆうじ</t>
  </si>
  <si>
    <t>伊勢原裕次ICO</t>
  </si>
  <si>
    <t>湯河浩二</t>
  </si>
  <si>
    <t>ゆかわこうじ</t>
  </si>
  <si>
    <t>湯河浩二ICO</t>
  </si>
  <si>
    <t>甲冑</t>
  </si>
  <si>
    <t>甲冑二口堅治ICO</t>
  </si>
  <si>
    <t>甲冑</t>
    <rPh sb="0" eb="2">
      <t>カッチュウ</t>
    </rPh>
    <phoneticPr fontId="1"/>
  </si>
  <si>
    <t>甲冑鎌先靖志ICO</t>
  </si>
  <si>
    <t>文化祭2</t>
    <rPh sb="0" eb="3">
      <t>ブンカサイ</t>
    </rPh>
    <phoneticPr fontId="1"/>
  </si>
  <si>
    <t>文化祭2</t>
  </si>
  <si>
    <t>文化祭2灰羽リエーフICO</t>
  </si>
  <si>
    <t>甲冑青根高伸ICO</t>
  </si>
  <si>
    <t>文化祭2黒尾鉄朗ICO</t>
  </si>
  <si>
    <t>文化祭2池尻隼人ICO</t>
  </si>
  <si>
    <t>文化祭2西谷夕ICO</t>
  </si>
  <si>
    <t>文化祭2牛島若利ICO</t>
  </si>
  <si>
    <t>ジャージ</t>
  </si>
  <si>
    <t>ジャージ日向翔陽ICO</t>
  </si>
  <si>
    <t>千鹿谷栄吉</t>
  </si>
  <si>
    <t>森然</t>
  </si>
  <si>
    <t>ちがやえいきち</t>
  </si>
  <si>
    <t>千鹿谷栄吉ICO</t>
  </si>
  <si>
    <t>ジャージ</t>
    <phoneticPr fontId="1"/>
  </si>
  <si>
    <t>ジャージ影山飛雄ICO</t>
  </si>
  <si>
    <t>小鹿野大樹</t>
  </si>
  <si>
    <t>おがのだいき</t>
  </si>
  <si>
    <t>小鹿野大樹ICO</t>
  </si>
  <si>
    <t>森然</t>
    <rPh sb="0" eb="2">
      <t>シンゼン</t>
    </rPh>
    <phoneticPr fontId="1"/>
  </si>
  <si>
    <t>Xmas2</t>
  </si>
  <si>
    <t>Xmas2菅原考支ICO</t>
  </si>
  <si>
    <t>Xmas2</t>
    <phoneticPr fontId="1"/>
  </si>
  <si>
    <t>Xmas2赤木路成ICO</t>
  </si>
  <si>
    <t>Xmas2五色工ICO</t>
  </si>
  <si>
    <t>Xmas2銀島結ICO</t>
  </si>
  <si>
    <t>赤谷勇</t>
  </si>
  <si>
    <t>あかたにゆう</t>
  </si>
  <si>
    <t>赤谷勇ICO</t>
  </si>
  <si>
    <t>Xmas2孤爪研磨ICO</t>
  </si>
  <si>
    <t>ジャージ山口忠ICO</t>
  </si>
  <si>
    <t>児玉勝</t>
  </si>
  <si>
    <t>こだままさる</t>
  </si>
  <si>
    <t>児玉勝ICO</t>
  </si>
  <si>
    <t>ジャージ月島蛍ICO</t>
  </si>
  <si>
    <t>名栗翔太</t>
  </si>
  <si>
    <t>なぐりしょうた</t>
  </si>
  <si>
    <t>名栗翔太ICO</t>
  </si>
  <si>
    <t>島府典明</t>
  </si>
  <si>
    <t>しまふのりあき</t>
  </si>
  <si>
    <t>島府典明ICO</t>
  </si>
  <si>
    <t>新年2</t>
  </si>
  <si>
    <t>新年2北信介ICO</t>
  </si>
  <si>
    <t>新年2</t>
    <rPh sb="0" eb="2">
      <t>シンネン</t>
    </rPh>
    <phoneticPr fontId="1"/>
  </si>
  <si>
    <t>吉川和孝</t>
  </si>
  <si>
    <t>よしかわかずたか</t>
  </si>
  <si>
    <t>吉川和孝ICO</t>
  </si>
  <si>
    <t>新年2澤村大地ICO</t>
  </si>
  <si>
    <t>新年2星海光来ICO</t>
  </si>
  <si>
    <t>新年2佐久早聖臣ICO</t>
  </si>
  <si>
    <t>新年2宮侑ICO</t>
  </si>
  <si>
    <t>路地裏2</t>
  </si>
  <si>
    <t>路地裏2角名倫太郎ICO</t>
  </si>
  <si>
    <t>路地裏2木葉秋紀ICO</t>
  </si>
  <si>
    <t>路地裏2小見春樹ICO</t>
  </si>
  <si>
    <t>路地裏2</t>
    <rPh sb="0" eb="3">
      <t>ロジウラ</t>
    </rPh>
    <phoneticPr fontId="1"/>
  </si>
  <si>
    <t>路地裏2岩泉一ICO</t>
  </si>
  <si>
    <t>路地裏2白布賢二郎ICO</t>
  </si>
  <si>
    <t>2周年</t>
  </si>
  <si>
    <t>2周年及川徹ICO</t>
  </si>
  <si>
    <t>2周年</t>
    <rPh sb="1" eb="3">
      <t>シュウネン</t>
    </rPh>
    <phoneticPr fontId="1"/>
  </si>
  <si>
    <t>2周年影山飛雄ICO</t>
  </si>
  <si>
    <t>2周年西谷夕ICO</t>
  </si>
  <si>
    <t>2周年二口堅治ICO</t>
  </si>
  <si>
    <t>2周年木兎光太郎ICO</t>
  </si>
  <si>
    <t>2周年夜久衛輔ICO</t>
  </si>
  <si>
    <t>2周年月島蛍ICO</t>
  </si>
  <si>
    <t>遊園地</t>
    <rPh sb="0" eb="3">
      <t>ユウエンチ</t>
    </rPh>
    <phoneticPr fontId="1"/>
  </si>
  <si>
    <t>遊園地</t>
  </si>
  <si>
    <t>遊園地海信之ICO</t>
  </si>
  <si>
    <t>妖</t>
    <rPh sb="0" eb="1">
      <t>アヤカシ</t>
    </rPh>
    <phoneticPr fontId="1"/>
  </si>
  <si>
    <t>遊園地池尻隼人ICO</t>
  </si>
  <si>
    <t>遊園地天童覚ICO</t>
  </si>
  <si>
    <t>遊園地日向翔陽ICO</t>
  </si>
  <si>
    <t>遊園地宮治ICO</t>
  </si>
  <si>
    <t>妖</t>
  </si>
  <si>
    <t>妖大将優ICO</t>
  </si>
  <si>
    <t>妖松島剛ICO</t>
  </si>
  <si>
    <t>妖牛島若利ICO</t>
  </si>
  <si>
    <t>妖木下久志ICO</t>
  </si>
  <si>
    <t>妖照島游児ICO</t>
  </si>
  <si>
    <t>妖花巻貴大ICO</t>
  </si>
  <si>
    <t>妖赤葦京治ICO</t>
  </si>
  <si>
    <t>中学生</t>
  </si>
  <si>
    <t>中学生</t>
    <rPh sb="0" eb="3">
      <t>チュウガクセイ</t>
    </rPh>
    <phoneticPr fontId="1"/>
  </si>
  <si>
    <t>中学生黒尾鉄朗ICO</t>
  </si>
  <si>
    <t>中学生孤爪研磨ICO</t>
  </si>
  <si>
    <t>中学生国見英ICO</t>
  </si>
  <si>
    <t>中学生金田一勇太郎ICO</t>
  </si>
  <si>
    <t>中学生影山飛雄ICO</t>
  </si>
  <si>
    <t>職業体験2</t>
  </si>
  <si>
    <t>職業体験2</t>
    <rPh sb="0" eb="2">
      <t>ショクギョウ</t>
    </rPh>
    <rPh sb="2" eb="4">
      <t>タイケン</t>
    </rPh>
    <phoneticPr fontId="1"/>
  </si>
  <si>
    <t>職業体験2昼神幸郎ICO</t>
  </si>
  <si>
    <t>職業体験2作並浩輔ICO</t>
  </si>
  <si>
    <t>職業体験2北信介ICO</t>
  </si>
  <si>
    <t>アート2</t>
    <phoneticPr fontId="1"/>
  </si>
  <si>
    <t>アート2</t>
  </si>
  <si>
    <t>アート2二口堅治ICO</t>
  </si>
  <si>
    <t>アート2母畑和馬ICO</t>
  </si>
  <si>
    <t>アート2瀬見英太ICO</t>
  </si>
  <si>
    <t>アート2月島蛍ICO</t>
  </si>
  <si>
    <t>アート2福永招平ICO</t>
  </si>
  <si>
    <t>サバゲ2</t>
    <phoneticPr fontId="1"/>
  </si>
  <si>
    <t>サバゲ2</t>
  </si>
  <si>
    <t>サバゲ2川渡瞬己ICO</t>
  </si>
  <si>
    <t>1</t>
  </si>
  <si>
    <t>2</t>
  </si>
  <si>
    <t>サバゲ2灰羽リエーフICO</t>
  </si>
  <si>
    <t>サバゲ2子安颯真ICO</t>
  </si>
  <si>
    <t>サバゲ2宮侑ICO</t>
  </si>
  <si>
    <t>サバゲ2五色工ICO</t>
  </si>
  <si>
    <t>水着2</t>
    <rPh sb="0" eb="2">
      <t>ミズギ</t>
    </rPh>
    <phoneticPr fontId="1"/>
  </si>
  <si>
    <t>水着2</t>
  </si>
  <si>
    <t>水着2木葉秋紀ICO</t>
  </si>
  <si>
    <t>!$G$1:$K$1</t>
    <phoneticPr fontId="1"/>
  </si>
  <si>
    <t>水着2京谷賢太郎ICO</t>
  </si>
  <si>
    <t>水着2角名倫太郎ICO</t>
  </si>
  <si>
    <t>水着2女川太郎ICO</t>
  </si>
  <si>
    <t>水着2夜久衛輔ICO</t>
  </si>
  <si>
    <t>夏祭り2</t>
    <rPh sb="0" eb="2">
      <t>ナツマツリ</t>
    </rPh>
    <phoneticPr fontId="1"/>
  </si>
  <si>
    <t>夏祭り2</t>
  </si>
  <si>
    <t>夏祭り2菅原考支ICO</t>
  </si>
  <si>
    <t>夏祭り2東峰旭ICO</t>
  </si>
  <si>
    <t>夏祭り2岩泉一ICO</t>
  </si>
  <si>
    <t>夏祭り2及川徹ICO</t>
  </si>
  <si>
    <t>夏祭り2尾白アランICO</t>
  </si>
  <si>
    <t>夏祭り2宮治ICO</t>
  </si>
  <si>
    <t>焼き芋</t>
    <rPh sb="0" eb="1">
      <t>ヤ</t>
    </rPh>
    <rPh sb="2" eb="3">
      <t>イモ</t>
    </rPh>
    <phoneticPr fontId="1"/>
  </si>
  <si>
    <t>焼き芋</t>
  </si>
  <si>
    <t>焼き芋木兎光太郎ICO</t>
  </si>
  <si>
    <t>焼き芋松川一静ICO</t>
  </si>
  <si>
    <t>焼き芋月島蛍ICO</t>
  </si>
  <si>
    <t>焼き芋赤葦京治ICO</t>
  </si>
  <si>
    <t>焼き芋山口忠ICO</t>
  </si>
  <si>
    <t>焼き芋芝山優生ICO</t>
  </si>
  <si>
    <t>焼き芋花巻貴大ICO</t>
  </si>
  <si>
    <t>焼き芋黄金川貫至ICO</t>
  </si>
  <si>
    <t>ハロウィン</t>
    <phoneticPr fontId="1"/>
  </si>
  <si>
    <t>ハロウィン</t>
  </si>
  <si>
    <t>ハロウィン孤爪研磨ICO</t>
  </si>
  <si>
    <t>白峰周</t>
  </si>
  <si>
    <t>早流川</t>
  </si>
  <si>
    <t>しらみねいたる</t>
  </si>
  <si>
    <t>白峰周ICO</t>
  </si>
  <si>
    <t>早流川</t>
    <rPh sb="0" eb="1">
      <t>ハヤ</t>
    </rPh>
    <rPh sb="1" eb="3">
      <t>ルカワ</t>
    </rPh>
    <phoneticPr fontId="1"/>
  </si>
  <si>
    <t>ハロウィン西谷夕ICO</t>
  </si>
  <si>
    <t>和倉久彦</t>
  </si>
  <si>
    <t>わくらひさひこ</t>
  </si>
  <si>
    <t>和倉久彦ICO</t>
  </si>
  <si>
    <t>金沢伊織</t>
  </si>
  <si>
    <t>かなざわいおり</t>
  </si>
  <si>
    <t>金沢伊織ICO</t>
  </si>
  <si>
    <t>ハロウィン猿杙大和ICO</t>
  </si>
  <si>
    <t>志賀智也</t>
  </si>
  <si>
    <t>しがともなり</t>
  </si>
  <si>
    <t>ハロウィン黒尾鉄朗ICO</t>
  </si>
  <si>
    <t>志賀智也ICO</t>
  </si>
  <si>
    <t>輪島友和</t>
  </si>
  <si>
    <t>わじまともかず</t>
  </si>
  <si>
    <t>輪島友和ICO</t>
  </si>
  <si>
    <t>ハロウィン日向翔陽ICO</t>
  </si>
  <si>
    <t>深谷謙朗</t>
  </si>
  <si>
    <t>ふかたにけんろう</t>
  </si>
  <si>
    <t>深谷謙朗ICO</t>
  </si>
  <si>
    <t>文化祭3</t>
    <rPh sb="0" eb="3">
      <t>ブンカサイ</t>
    </rPh>
    <phoneticPr fontId="1"/>
  </si>
  <si>
    <t>ｓ</t>
    <phoneticPr fontId="1"/>
  </si>
  <si>
    <t>ハロウィン鷲尾辰生ICO</t>
  </si>
  <si>
    <t>山代総司</t>
  </si>
  <si>
    <t>やましろそうじ</t>
  </si>
  <si>
    <t>ハロウィン牛島若利ICO</t>
  </si>
  <si>
    <t>山代総司ICO</t>
  </si>
  <si>
    <t>ハロウィン小森元也ICO</t>
  </si>
  <si>
    <t>文化祭3</t>
  </si>
  <si>
    <t>文化祭3瀬見英太ICO</t>
  </si>
  <si>
    <t>文化祭3影山飛雄ICO</t>
  </si>
  <si>
    <t>文化祭3白布賢二郎ICO</t>
  </si>
  <si>
    <t>制服北信介ICO</t>
  </si>
  <si>
    <t>制服角名倫太郎ICO</t>
  </si>
  <si>
    <t>制服宮侑ICO</t>
  </si>
  <si>
    <t>制服宮治ICO</t>
  </si>
  <si>
    <t>Xmas3</t>
    <phoneticPr fontId="1"/>
  </si>
  <si>
    <t>Xmas3</t>
  </si>
  <si>
    <t>Xmas3赤葦京治ICO</t>
  </si>
  <si>
    <t>Xmas3田中龍之介ICO</t>
  </si>
  <si>
    <t>Xmas3澤村大地ICO</t>
  </si>
  <si>
    <t>Xmas3青根高伸ICO</t>
  </si>
  <si>
    <t>Xmas3岩泉一ICO</t>
  </si>
  <si>
    <t>Xmas3二口堅治ICO</t>
  </si>
  <si>
    <t>Xmas3牛島若利ICO</t>
  </si>
  <si>
    <t>Xmas3天童覚ICO</t>
  </si>
  <si>
    <t>Xmas3夜久衛輔ICO</t>
  </si>
  <si>
    <t>寝正月</t>
    <rPh sb="0" eb="3">
      <t>ネショウガツ</t>
    </rPh>
    <phoneticPr fontId="1"/>
  </si>
  <si>
    <t>寝正月</t>
  </si>
  <si>
    <t>寝正月孤爪研磨ICO</t>
  </si>
  <si>
    <t>寝正月潜尚保ICO</t>
  </si>
  <si>
    <t>寝正月国見英ICO</t>
  </si>
  <si>
    <t>寝正月月島蛍ICO</t>
  </si>
  <si>
    <t>寝正月川西太一ICO</t>
  </si>
  <si>
    <t>寝正月昼神幸郎ICO</t>
  </si>
  <si>
    <t>寝正月茂庭要ICO</t>
  </si>
  <si>
    <t>和装体験</t>
    <rPh sb="0" eb="2">
      <t>ワソウ</t>
    </rPh>
    <rPh sb="2" eb="4">
      <t>タイケン</t>
    </rPh>
    <phoneticPr fontId="1"/>
  </si>
  <si>
    <t>寝正月角名倫太郎ICO</t>
  </si>
  <si>
    <t>和装体験</t>
  </si>
  <si>
    <t>和装体験東峰旭ICO</t>
  </si>
  <si>
    <t>和装体験黒尾鉄朗ICO</t>
  </si>
  <si>
    <t>LV</t>
  </si>
  <si>
    <t>☆</t>
    <phoneticPr fontId="1"/>
  </si>
  <si>
    <t>SIC日向バニラ</t>
    <rPh sb="3" eb="5">
      <t>ヒナタ</t>
    </rPh>
    <phoneticPr fontId="1"/>
  </si>
  <si>
    <t>☆☆</t>
    <phoneticPr fontId="1"/>
  </si>
  <si>
    <t>SiC影山バニラ</t>
    <rPh sb="3" eb="5">
      <t>カゲヤマ</t>
    </rPh>
    <phoneticPr fontId="1"/>
  </si>
  <si>
    <t>☆☆☆</t>
    <phoneticPr fontId="1"/>
  </si>
  <si>
    <t>☆☆☆☆</t>
    <phoneticPr fontId="1"/>
  </si>
  <si>
    <t>☆☆☆☆☆</t>
    <phoneticPr fontId="1"/>
  </si>
  <si>
    <t>和装体験山本猛虎ICO</t>
  </si>
  <si>
    <t>和装体験佐久早聖臣ICO</t>
  </si>
  <si>
    <t>3周年</t>
    <rPh sb="1" eb="3">
      <t>シュウネン</t>
    </rPh>
    <phoneticPr fontId="1"/>
  </si>
  <si>
    <t>和装体験日向翔陽ICO</t>
  </si>
  <si>
    <t>和装体験及川徹ICO</t>
  </si>
  <si>
    <t>和装体験大耳練ICO</t>
  </si>
  <si>
    <t>和装体験北信介ICO</t>
  </si>
  <si>
    <t>3周年</t>
  </si>
  <si>
    <t>3周年木兎光太郎ICO</t>
  </si>
  <si>
    <t>3周年赤葦京治ICO</t>
  </si>
  <si>
    <t>3周年牛島若利ICO</t>
  </si>
  <si>
    <t>3周年白布賢二郎ICO</t>
  </si>
  <si>
    <t>3周年瀬見英太ICO</t>
  </si>
  <si>
    <t>3周年宮侑ICO</t>
  </si>
  <si>
    <t>3周年宮治ICO</t>
  </si>
  <si>
    <t>格ゲー</t>
    <rPh sb="0" eb="1">
      <t>カク</t>
    </rPh>
    <phoneticPr fontId="1"/>
  </si>
  <si>
    <t>3周年角名倫太郎ICO</t>
  </si>
  <si>
    <t>格ゲー</t>
  </si>
  <si>
    <t>格ゲー日向翔陽ICO</t>
  </si>
  <si>
    <t>清水潔子</t>
  </si>
  <si>
    <t>しみずきよこ</t>
  </si>
  <si>
    <t>格ゲー清水潔子ICO</t>
  </si>
  <si>
    <t>谷地仁花</t>
  </si>
  <si>
    <t>やちひとか</t>
  </si>
  <si>
    <t>格ゲー谷地仁花ICO</t>
  </si>
  <si>
    <t>格ゲー影山飛雄ICO</t>
  </si>
  <si>
    <t>10</t>
  </si>
  <si>
    <t>11</t>
  </si>
  <si>
    <t>12</t>
  </si>
  <si>
    <t>13</t>
  </si>
  <si>
    <t>14</t>
  </si>
  <si>
    <t>16</t>
  </si>
  <si>
    <t>17</t>
  </si>
  <si>
    <t>18</t>
  </si>
  <si>
    <t>20</t>
  </si>
  <si>
    <t>21</t>
  </si>
  <si>
    <t>23</t>
  </si>
  <si>
    <t>25</t>
  </si>
  <si>
    <t>27</t>
  </si>
  <si>
    <t>28</t>
  </si>
  <si>
    <t>29</t>
  </si>
  <si>
    <t>3</t>
  </si>
  <si>
    <t>30</t>
  </si>
  <si>
    <t>32</t>
  </si>
  <si>
    <t>33</t>
  </si>
  <si>
    <t>34</t>
  </si>
  <si>
    <t>35</t>
  </si>
  <si>
    <t>37</t>
  </si>
  <si>
    <t>4</t>
  </si>
  <si>
    <t>40</t>
  </si>
  <si>
    <t>41</t>
  </si>
  <si>
    <t>42</t>
  </si>
  <si>
    <t>43</t>
  </si>
  <si>
    <t>44</t>
  </si>
  <si>
    <t>45</t>
  </si>
  <si>
    <t>46</t>
  </si>
  <si>
    <t>48</t>
  </si>
  <si>
    <t>5</t>
  </si>
  <si>
    <t>6</t>
  </si>
  <si>
    <t>7</t>
  </si>
  <si>
    <t>8</t>
  </si>
  <si>
    <t>15</t>
  </si>
  <si>
    <t>19</t>
  </si>
  <si>
    <t>38</t>
  </si>
  <si>
    <t>39</t>
  </si>
  <si>
    <t>26</t>
  </si>
  <si>
    <t>36</t>
  </si>
  <si>
    <t>格ゲー黄金川貫至ICO</t>
  </si>
  <si>
    <t>22</t>
  </si>
  <si>
    <t>24</t>
  </si>
  <si>
    <t>31</t>
  </si>
  <si>
    <t>9</t>
  </si>
  <si>
    <t>47</t>
  </si>
  <si>
    <t>格ゲー星海光来ICO</t>
  </si>
  <si>
    <t>格ゲー照島游児ICO</t>
  </si>
  <si>
    <t>格ゲー大平獅音ICO</t>
  </si>
  <si>
    <t>格ゲー及川徹ICO</t>
  </si>
  <si>
    <t>思い出</t>
    <rPh sb="0" eb="1">
      <t>オモ</t>
    </rPh>
    <rPh sb="2" eb="3">
      <t>デ</t>
    </rPh>
    <phoneticPr fontId="1"/>
  </si>
  <si>
    <t>思い出</t>
  </si>
  <si>
    <t>49</t>
  </si>
  <si>
    <t>思い出黒尾鉄朗ICO</t>
  </si>
  <si>
    <t>思い出孤爪研磨ICO</t>
  </si>
  <si>
    <t>思い出月島蛍ICO</t>
  </si>
  <si>
    <t>思い出北信介ICO</t>
  </si>
  <si>
    <t>思い出山口忠ICO</t>
  </si>
  <si>
    <t>梅雨2</t>
    <rPh sb="0" eb="2">
      <t>ツユ</t>
    </rPh>
    <phoneticPr fontId="1"/>
  </si>
  <si>
    <t>勉強会</t>
    <rPh sb="0" eb="3">
      <t>ベンキョウカイ</t>
    </rPh>
    <phoneticPr fontId="1"/>
  </si>
  <si>
    <t>思い出西谷夕ICO</t>
  </si>
  <si>
    <t>思い出天童覚ICO</t>
  </si>
  <si>
    <t>思い出宮侑ICO</t>
  </si>
  <si>
    <t>思い出宮治ICO</t>
  </si>
  <si>
    <t>梅雨2</t>
  </si>
  <si>
    <t>50</t>
  </si>
  <si>
    <t>梅雨2木兎光太郎ICO</t>
  </si>
  <si>
    <t>梅雨2大将優ICO</t>
  </si>
  <si>
    <t>バカンス2</t>
    <phoneticPr fontId="1"/>
  </si>
  <si>
    <t>夏合宿</t>
    <rPh sb="0" eb="3">
      <t>ナツガッシュク</t>
    </rPh>
    <phoneticPr fontId="1"/>
  </si>
  <si>
    <t>梅雨2笹谷武仁ICO</t>
  </si>
  <si>
    <t>梅雨2国見英ICO</t>
  </si>
  <si>
    <t>梅雨2犬岡走ICO</t>
  </si>
  <si>
    <t>梅雨2岩泉一ICO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</si>
</sst>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0"/>
      <color rgb="FF000000"/>
      <name val="メイリオ"/>
      <family val="3"/>
      <charset val="128"/>
      <scheme val="minor"/>
    </font>
    <font>
      <sz val="6"/>
      <name val="メイリオ"/>
      <family val="3"/>
      <charset val="128"/>
      <scheme val="minor"/>
    </font>
    <font>
      <u/>
      <sz val="10"/>
      <color theme="10"/>
      <name val="メイリオ"/>
      <family val="3"/>
      <charset val="128"/>
      <scheme val="minor"/>
    </font>
    <font>
      <sz val="10"/>
      <color rgb="FF000000"/>
      <name val="メイリオ"/>
      <family val="3"/>
      <charset val="128"/>
      <scheme val="minor"/>
    </font>
    <font>
      <b/>
      <sz val="10"/>
      <name val="メイリオ"/>
      <family val="3"/>
      <charset val="128"/>
      <scheme val="minor"/>
    </font>
    <font>
      <b/>
      <sz val="10"/>
      <color theme="8" tint="-0.249977111117893"/>
      <name val="メイリオ"/>
      <family val="3"/>
      <charset val="128"/>
      <scheme val="minor"/>
    </font>
    <font>
      <b/>
      <sz val="10"/>
      <color theme="6" tint="-0.499984740745262"/>
      <name val="メイリオ"/>
      <family val="3"/>
      <charset val="128"/>
      <scheme val="minor"/>
    </font>
    <font>
      <u/>
      <sz val="10"/>
      <color theme="6" tint="-0.499984740745262"/>
      <name val="メイリオ"/>
      <family val="3"/>
      <charset val="128"/>
      <scheme val="minor"/>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hair">
        <color auto="1"/>
      </left>
      <right style="hair">
        <color auto="1"/>
      </right>
      <top/>
      <bottom style="hair">
        <color auto="1"/>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0" fillId="0" borderId="0" xfId="0" applyAlignment="1">
      <alignment horizontal="left"/>
    </xf>
    <xf numFmtId="0" fontId="0" fillId="0" borderId="0" xfId="0" pivotButton="1"/>
    <xf numFmtId="0" fontId="2" fillId="0" borderId="0" xfId="1"/>
    <xf numFmtId="0" fontId="4" fillId="2" borderId="1" xfId="0" applyFont="1" applyFill="1" applyBorder="1"/>
    <xf numFmtId="0" fontId="5" fillId="2" borderId="1" xfId="0" applyFont="1" applyFill="1" applyBorder="1"/>
    <xf numFmtId="0" fontId="6" fillId="2" borderId="1" xfId="0" applyFont="1" applyFill="1" applyBorder="1"/>
    <xf numFmtId="0" fontId="3" fillId="0" borderId="0" xfId="0" applyFont="1"/>
    <xf numFmtId="0" fontId="7" fillId="0" borderId="0" xfId="1" applyFont="1" applyFill="1"/>
    <xf numFmtId="0" fontId="7" fillId="0" borderId="0" xfId="1" applyFont="1"/>
    <xf numFmtId="0" fontId="0" fillId="0" borderId="0" xfId="0" applyNumberFormat="1"/>
  </cellXfs>
  <cellStyles count="2">
    <cellStyle name="ハイパーリンク" xfId="1" builtinId="8"/>
    <cellStyle name="標準" xfId="0" builtinId="0"/>
  </cellStyles>
  <dxfs count="184">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rgb="FF000000"/>
        <name val="メイリオ"/>
        <family val="3"/>
        <charset val="128"/>
        <scheme val="minor"/>
      </font>
    </dxf>
    <dxf>
      <border outline="0">
        <top style="hair">
          <color auto="1"/>
        </top>
      </border>
    </dxf>
    <dxf>
      <border outline="0">
        <bottom style="hair">
          <color auto="1"/>
        </bottom>
      </border>
    </dxf>
    <dxf>
      <font>
        <b/>
        <i val="0"/>
        <strike val="0"/>
        <condense val="0"/>
        <extend val="0"/>
        <outline val="0"/>
        <shadow val="0"/>
        <u val="none"/>
        <vertAlign val="baseline"/>
        <sz val="10"/>
        <color auto="1"/>
        <name val="メイリオ"/>
        <family val="3"/>
        <charset val="128"/>
        <scheme val="minor"/>
      </font>
      <fill>
        <patternFill patternType="solid">
          <fgColor indexed="64"/>
          <bgColor theme="6" tint="0.79998168889431442"/>
        </patternFill>
      </fill>
      <border diagonalUp="0" diagonalDown="0" outline="0">
        <left style="hair">
          <color auto="1"/>
        </left>
        <right style="hair">
          <color auto="1"/>
        </right>
        <top/>
        <bottom/>
      </border>
    </dxf>
    <dxf>
      <border outline="0">
        <top style="hair">
          <color auto="1"/>
        </top>
      </border>
    </dxf>
    <dxf>
      <border outline="0">
        <bottom style="hair">
          <color auto="1"/>
        </bottom>
      </border>
    </dxf>
    <dxf>
      <font>
        <b/>
        <i val="0"/>
        <strike val="0"/>
        <condense val="0"/>
        <extend val="0"/>
        <outline val="0"/>
        <shadow val="0"/>
        <u val="none"/>
        <vertAlign val="baseline"/>
        <sz val="10"/>
        <color auto="1"/>
        <name val="メイリオ"/>
        <family val="3"/>
        <charset val="128"/>
        <scheme val="minor"/>
      </font>
      <fill>
        <patternFill patternType="solid">
          <fgColor indexed="64"/>
          <bgColor theme="6" tint="0.79998168889431442"/>
        </patternFill>
      </fill>
      <border diagonalUp="0" diagonalDown="0" outline="0">
        <left style="hair">
          <color auto="1"/>
        </left>
        <right style="hair">
          <color auto="1"/>
        </right>
        <top/>
        <bottom/>
      </border>
    </dxf>
    <dxf>
      <fill>
        <patternFill patternType="gray125">
          <fgColor theme="6" tint="0.79998168889431442"/>
        </patternFill>
      </fill>
    </dxf>
    <dxf>
      <font>
        <b/>
        <i val="0"/>
        <color auto="1"/>
      </font>
      <fill>
        <patternFill>
          <bgColor theme="6" tint="0.79998168889431442"/>
        </patternFill>
      </fill>
    </dxf>
    <dxf>
      <border diagonalUp="0" diagonalDown="0">
        <left style="hair">
          <color auto="1"/>
        </left>
        <right style="hair">
          <color auto="1"/>
        </right>
        <top style="hair">
          <color auto="1"/>
        </top>
        <bottom style="hair">
          <color auto="1"/>
        </bottom>
        <vertical style="hair">
          <color auto="1"/>
        </vertical>
        <horizontal style="hair">
          <color auto="1"/>
        </horizontal>
      </border>
    </dxf>
  </dxfs>
  <tableStyles count="1" defaultTableStyle="TableStyleMedium2" defaultPivotStyle="PivotStyleLight16">
    <tableStyle name="Stat" pivot="0" count="3" xr9:uid="{214A49E8-0F98-470C-BE43-AC28074D7A01}">
      <tableStyleElement type="wholeTable" dxfId="183"/>
      <tableStyleElement type="headerRow" dxfId="182"/>
      <tableStyleElement type="secondRowStripe" dxfId="181"/>
    </tableStyle>
  </tableStyles>
  <colors>
    <mruColors>
      <color rgb="FF0000FF"/>
      <color rgb="FF003399"/>
      <color rgb="FF0033CC"/>
      <color rgb="FFA3BB97"/>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9" Type="http://schemas.openxmlformats.org/officeDocument/2006/relationships/customXml" Target="../customXml/item4.xml"/><Relationship Id="rId21" Type="http://schemas.openxmlformats.org/officeDocument/2006/relationships/worksheet" Target="worksheets/sheet21.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worksheet" Target="worksheets/sheet20.xml"/><Relationship Id="rId41"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Table" Target="pivotTables/pivotTable1.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攻撃</a:t>
            </a:r>
            <a:r>
              <a:rPr lang="en-US" altLang="ja-JP"/>
              <a:t>/</a:t>
            </a:r>
            <a:r>
              <a:rPr lang="ja-JP" altLang="en-US"/>
              <a:t>守備</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3.818355798041681E-2"/>
          <c:y val="2.6251105061601811E-2"/>
          <c:w val="0.95549703288486276"/>
          <c:h val="0.94230599125611858"/>
        </c:manualLayout>
      </c:layout>
      <c:scatterChart>
        <c:scatterStyle val="lineMarker"/>
        <c:varyColors val="0"/>
        <c:ser>
          <c:idx val="1"/>
          <c:order val="0"/>
          <c:tx>
            <c:v>鴎台高校</c:v>
          </c:tx>
          <c:spPr>
            <a:ln w="25400" cap="rnd">
              <a:noFill/>
              <a:round/>
            </a:ln>
            <a:effectLst/>
          </c:spPr>
          <c:marker>
            <c:symbol val="square"/>
            <c:size val="12"/>
            <c:spPr>
              <a:solidFill>
                <a:schemeClr val="accent3">
                  <a:lumMod val="40000"/>
                  <a:lumOff val="60000"/>
                </a:schemeClr>
              </a:solidFill>
              <a:ln w="9525">
                <a:solidFill>
                  <a:schemeClr val="accent3">
                    <a:lumMod val="50000"/>
                  </a:schemeClr>
                </a:solidFill>
              </a:ln>
              <a:effectLst/>
            </c:spPr>
          </c:marker>
          <c:dLbls>
            <c:dLbl>
              <c:idx val="0"/>
              <c:layout>
                <c:manualLayout>
                  <c:x val="-2.3597447638544891E-2"/>
                  <c:y val="-1.5297774279153898E-2"/>
                </c:manualLayout>
              </c:layout>
              <c:tx>
                <c:rich>
                  <a:bodyPr/>
                  <a:lstStyle/>
                  <a:p>
                    <a:fld id="{E0564309-FBD1-4109-8D57-E1723586421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64C-4F4B-A79B-996E4DDA24D1}"/>
                </c:ext>
              </c:extLst>
            </c:dLbl>
            <c:dLbl>
              <c:idx val="1"/>
              <c:layout>
                <c:manualLayout>
                  <c:x val="2.3783353901551704E-3"/>
                  <c:y val="-1.58016967599987E-3"/>
                </c:manualLayout>
              </c:layout>
              <c:tx>
                <c:rich>
                  <a:bodyPr/>
                  <a:lstStyle/>
                  <a:p>
                    <a:fld id="{4E7C02CE-742E-49B9-AD45-95DA19A8417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64C-4F4B-A79B-996E4DDA24D1}"/>
                </c:ext>
              </c:extLst>
            </c:dLbl>
            <c:dLbl>
              <c:idx val="2"/>
              <c:layout>
                <c:manualLayout>
                  <c:x val="2.0965437483011967E-2"/>
                  <c:y val="-1.68030092886878E-2"/>
                </c:manualLayout>
              </c:layout>
              <c:tx>
                <c:rich>
                  <a:bodyPr/>
                  <a:lstStyle/>
                  <a:p>
                    <a:fld id="{77D2F575-A3C4-4B86-872A-584F525D60C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64C-4F4B-A79B-996E4DDA24D1}"/>
                </c:ext>
              </c:extLst>
            </c:dLbl>
            <c:dLbl>
              <c:idx val="3"/>
              <c:layout>
                <c:manualLayout>
                  <c:x val="9.4864140161157618E-3"/>
                  <c:y val="-2.2368388380788928E-2"/>
                </c:manualLayout>
              </c:layout>
              <c:tx>
                <c:rich>
                  <a:bodyPr/>
                  <a:lstStyle/>
                  <a:p>
                    <a:fld id="{8C0B48A5-D854-4300-A3E6-3E2A9B0C94B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202-4223-BEE5-06E7CE49A952}"/>
                </c:ext>
              </c:extLst>
            </c:dLbl>
            <c:dLbl>
              <c:idx val="4"/>
              <c:layout>
                <c:manualLayout>
                  <c:x val="3.6893817473068998E-3"/>
                  <c:y val="-2.5187366038434866E-3"/>
                </c:manualLayout>
              </c:layout>
              <c:tx>
                <c:rich>
                  <a:bodyPr/>
                  <a:lstStyle/>
                  <a:p>
                    <a:fld id="{A4090BDD-1F9C-40D2-B152-4A06215DD99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B5B-4644-A45B-157C41493102}"/>
                </c:ext>
              </c:extLst>
            </c:dLbl>
            <c:dLbl>
              <c:idx val="5"/>
              <c:layout>
                <c:manualLayout>
                  <c:x val="4.3193852083655428E-2"/>
                  <c:y val="-3.3427506023790119E-3"/>
                </c:manualLayout>
              </c:layout>
              <c:tx>
                <c:rich>
                  <a:bodyPr/>
                  <a:lstStyle/>
                  <a:p>
                    <a:fld id="{F02C4BE7-2C0E-4D30-B1D0-3E7009E5784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65D-4139-BBE3-B1989FA56029}"/>
                </c:ext>
              </c:extLst>
            </c:dLbl>
            <c:dLbl>
              <c:idx val="6"/>
              <c:layout>
                <c:manualLayout>
                  <c:x val="9.5231241897280328E-3"/>
                  <c:y val="1.7018574840508481E-4"/>
                </c:manualLayout>
              </c:layout>
              <c:tx>
                <c:rich>
                  <a:bodyPr/>
                  <a:lstStyle/>
                  <a:p>
                    <a:fld id="{8FBC2175-1D92-4E75-85F6-F6066DB9CC5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02B-4888-9882-D7C1DC92EBD5}"/>
                </c:ext>
              </c:extLst>
            </c:dLbl>
            <c:dLbl>
              <c:idx val="7"/>
              <c:layout>
                <c:manualLayout>
                  <c:x val="3.8819837028211039E-4"/>
                  <c:y val="6.7133439309990314E-3"/>
                </c:manualLayout>
              </c:layout>
              <c:tx>
                <c:rich>
                  <a:bodyPr/>
                  <a:lstStyle/>
                  <a:p>
                    <a:fld id="{A8FC7B1F-FA4A-40F7-B3FB-947DA2D98BB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36F-4C29-B76D-88C6AE85E7C6}"/>
                </c:ext>
              </c:extLst>
            </c:dLbl>
            <c:dLbl>
              <c:idx val="8"/>
              <c:tx>
                <c:rich>
                  <a:bodyPr/>
                  <a:lstStyle/>
                  <a:p>
                    <a:fld id="{2D478EAB-F04A-4E14-9745-47C2F0B9B48D}"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313-41E6-8B9E-C236F7EF0E67}"/>
                </c:ext>
              </c:extLst>
            </c:dLbl>
            <c:dLbl>
              <c:idx val="9"/>
              <c:layout>
                <c:manualLayout>
                  <c:x val="4.2197587064734553E-2"/>
                  <c:y val="-2.7870706118571648E-3"/>
                </c:manualLayout>
              </c:layout>
              <c:tx>
                <c:rich>
                  <a:bodyPr/>
                  <a:lstStyle/>
                  <a:p>
                    <a:fld id="{D18A86CF-015C-40A1-9FF7-57D83CD795E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B29-4B94-B08F-F8B1AFFA86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鴎台!$E$2:$E$11</c:f>
              <c:numCache>
                <c:formatCode>General</c:formatCode>
                <c:ptCount val="10"/>
                <c:pt idx="0">
                  <c:v>483</c:v>
                </c:pt>
                <c:pt idx="1">
                  <c:v>478</c:v>
                </c:pt>
                <c:pt idx="2">
                  <c:v>486</c:v>
                </c:pt>
                <c:pt idx="3">
                  <c:v>489</c:v>
                </c:pt>
                <c:pt idx="4">
                  <c:v>497</c:v>
                </c:pt>
                <c:pt idx="5">
                  <c:v>493</c:v>
                </c:pt>
                <c:pt idx="6">
                  <c:v>491</c:v>
                </c:pt>
                <c:pt idx="7">
                  <c:v>494</c:v>
                </c:pt>
                <c:pt idx="8">
                  <c:v>493</c:v>
                </c:pt>
                <c:pt idx="9">
                  <c:v>489</c:v>
                </c:pt>
              </c:numCache>
            </c:numRef>
          </c:xVal>
          <c:yVal>
            <c:numRef>
              <c:f>鴎台!$D$2:$D$11</c:f>
              <c:numCache>
                <c:formatCode>General</c:formatCode>
                <c:ptCount val="10"/>
                <c:pt idx="0">
                  <c:v>491</c:v>
                </c:pt>
                <c:pt idx="1">
                  <c:v>480</c:v>
                </c:pt>
                <c:pt idx="2">
                  <c:v>486</c:v>
                </c:pt>
                <c:pt idx="3">
                  <c:v>500</c:v>
                </c:pt>
                <c:pt idx="4">
                  <c:v>493</c:v>
                </c:pt>
                <c:pt idx="5">
                  <c:v>498</c:v>
                </c:pt>
                <c:pt idx="6">
                  <c:v>483</c:v>
                </c:pt>
                <c:pt idx="7">
                  <c:v>487</c:v>
                </c:pt>
                <c:pt idx="8">
                  <c:v>506</c:v>
                </c:pt>
                <c:pt idx="9">
                  <c:v>499</c:v>
                </c:pt>
              </c:numCache>
            </c:numRef>
          </c:yVal>
          <c:smooth val="0"/>
          <c:extLst>
            <c:ext xmlns:c15="http://schemas.microsoft.com/office/drawing/2012/chart" uri="{02D57815-91ED-43cb-92C2-25804820EDAC}">
              <c15:datalabelsRange>
                <c15:f>鴎台!$F$2:$F$103</c15:f>
                <c15:dlblRangeCache>
                  <c:ptCount val="102"/>
                  <c:pt idx="0">
                    <c:v>星海光来ICO</c:v>
                  </c:pt>
                  <c:pt idx="1">
                    <c:v>昼神幸郎ICO</c:v>
                  </c:pt>
                  <c:pt idx="2">
                    <c:v>Xmas昼神幸郎ICO</c:v>
                  </c:pt>
                  <c:pt idx="3">
                    <c:v>サバゲ星海光来ICO</c:v>
                  </c:pt>
                  <c:pt idx="4">
                    <c:v>花火星海光来ICO</c:v>
                  </c:pt>
                  <c:pt idx="5">
                    <c:v>新年2星海光来ICO</c:v>
                  </c:pt>
                  <c:pt idx="6">
                    <c:v>職業体験2昼神幸郎ICO</c:v>
                  </c:pt>
                  <c:pt idx="7">
                    <c:v>寝正月昼神幸郎ICO</c:v>
                  </c:pt>
                  <c:pt idx="8">
                    <c:v>格ゲー星海光来ICO</c:v>
                  </c:pt>
                  <c:pt idx="9">
                    <c:v>文化祭星海光来ICO</c:v>
                  </c:pt>
                </c15:dlblRangeCache>
              </c15:datalabelsRange>
            </c:ext>
            <c:ext xmlns:c16="http://schemas.microsoft.com/office/drawing/2014/chart" uri="{C3380CC4-5D6E-409C-BE32-E72D297353CC}">
              <c16:uniqueId val="{00000003-D64C-4F4B-A79B-996E4DDA24D1}"/>
            </c:ext>
          </c:extLst>
        </c:ser>
        <c:ser>
          <c:idx val="2"/>
          <c:order val="1"/>
          <c:tx>
            <c:v>音駒高校</c:v>
          </c:tx>
          <c:spPr>
            <a:ln w="25400" cap="rnd">
              <a:noFill/>
              <a:round/>
            </a:ln>
            <a:effectLst/>
          </c:spPr>
          <c:marker>
            <c:symbol val="x"/>
            <c:size val="10"/>
            <c:spPr>
              <a:solidFill>
                <a:srgbClr val="C00000"/>
              </a:solidFill>
              <a:ln w="9525">
                <a:noFill/>
              </a:ln>
              <a:effectLst/>
            </c:spPr>
          </c:marker>
          <c:dLbls>
            <c:dLbl>
              <c:idx val="0"/>
              <c:layout>
                <c:manualLayout>
                  <c:x val="-5.9333820750815822E-2"/>
                  <c:y val="-7.006488959681304E-3"/>
                </c:manualLayout>
              </c:layout>
              <c:tx>
                <c:rich>
                  <a:bodyPr/>
                  <a:lstStyle/>
                  <a:p>
                    <a:fld id="{1A0F1FD7-3009-45E9-946F-5698D0116CA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D64C-4F4B-A79B-996E4DDA24D1}"/>
                </c:ext>
              </c:extLst>
            </c:dLbl>
            <c:dLbl>
              <c:idx val="1"/>
              <c:layout>
                <c:manualLayout>
                  <c:x val="-2.3905309448925591E-2"/>
                  <c:y val="-9.3187222699030268E-3"/>
                </c:manualLayout>
              </c:layout>
              <c:tx>
                <c:rich>
                  <a:bodyPr/>
                  <a:lstStyle/>
                  <a:p>
                    <a:fld id="{D0E053D6-4CCA-40F9-BA33-B7AA7C15FCE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D64C-4F4B-A79B-996E4DDA24D1}"/>
                </c:ext>
              </c:extLst>
            </c:dLbl>
            <c:dLbl>
              <c:idx val="2"/>
              <c:layout>
                <c:manualLayout>
                  <c:x val="5.935853708753696E-3"/>
                  <c:y val="1.0169052130126436E-3"/>
                </c:manualLayout>
              </c:layout>
              <c:tx>
                <c:rich>
                  <a:bodyPr/>
                  <a:lstStyle/>
                  <a:p>
                    <a:fld id="{6918371D-3656-4530-96B0-4317692CA18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D64C-4F4B-A79B-996E4DDA24D1}"/>
                </c:ext>
              </c:extLst>
            </c:dLbl>
            <c:dLbl>
              <c:idx val="3"/>
              <c:layout>
                <c:manualLayout>
                  <c:x val="4.4586115156847836E-2"/>
                  <c:y val="3.4907815478740604E-3"/>
                </c:manualLayout>
              </c:layout>
              <c:tx>
                <c:rich>
                  <a:bodyPr/>
                  <a:lstStyle/>
                  <a:p>
                    <a:fld id="{1BEB6070-1E70-4368-A444-AB52D0D0F8E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D64C-4F4B-A79B-996E4DDA24D1}"/>
                </c:ext>
              </c:extLst>
            </c:dLbl>
            <c:dLbl>
              <c:idx val="4"/>
              <c:layout>
                <c:manualLayout>
                  <c:x val="-9.6327021618218392E-2"/>
                  <c:y val="-8.3351746864051609E-3"/>
                </c:manualLayout>
              </c:layout>
              <c:tx>
                <c:rich>
                  <a:bodyPr/>
                  <a:lstStyle/>
                  <a:p>
                    <a:fld id="{2C00D30C-CF64-42DD-BC99-5DEDF976A13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D64C-4F4B-A79B-996E4DDA24D1}"/>
                </c:ext>
              </c:extLst>
            </c:dLbl>
            <c:dLbl>
              <c:idx val="5"/>
              <c:layout>
                <c:manualLayout>
                  <c:x val="-4.5248399181244466E-2"/>
                  <c:y val="-1.3850267342858451E-2"/>
                </c:manualLayout>
              </c:layout>
              <c:tx>
                <c:rich>
                  <a:bodyPr/>
                  <a:lstStyle/>
                  <a:p>
                    <a:fld id="{95AA6580-2F15-4355-A93F-9354A9629D3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D64C-4F4B-A79B-996E4DDA24D1}"/>
                </c:ext>
              </c:extLst>
            </c:dLbl>
            <c:dLbl>
              <c:idx val="6"/>
              <c:layout>
                <c:manualLayout>
                  <c:x val="-6.0578201212779681E-2"/>
                  <c:y val="-2.801395956809068E-2"/>
                </c:manualLayout>
              </c:layout>
              <c:tx>
                <c:rich>
                  <a:bodyPr/>
                  <a:lstStyle/>
                  <a:p>
                    <a:fld id="{95933F06-8511-4ED6-A64A-AC2DDD6E7BF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D64C-4F4B-A79B-996E4DDA24D1}"/>
                </c:ext>
              </c:extLst>
            </c:dLbl>
            <c:dLbl>
              <c:idx val="7"/>
              <c:layout>
                <c:manualLayout>
                  <c:x val="3.0504363089870517E-2"/>
                  <c:y val="-1.3556328525283563E-2"/>
                </c:manualLayout>
              </c:layout>
              <c:tx>
                <c:rich>
                  <a:bodyPr/>
                  <a:lstStyle/>
                  <a:p>
                    <a:fld id="{85F7CCBF-0451-4ED1-B38D-3AF6F0E535C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D64C-4F4B-A79B-996E4DDA24D1}"/>
                </c:ext>
              </c:extLst>
            </c:dLbl>
            <c:dLbl>
              <c:idx val="8"/>
              <c:layout>
                <c:manualLayout>
                  <c:x val="-4.2724323282189322E-4"/>
                  <c:y val="-1.7985181844127007E-2"/>
                </c:manualLayout>
              </c:layout>
              <c:tx>
                <c:rich>
                  <a:bodyPr/>
                  <a:lstStyle/>
                  <a:p>
                    <a:fld id="{676D46A2-61A4-4846-99E6-DDAF4072654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D64C-4F4B-A79B-996E4DDA24D1}"/>
                </c:ext>
              </c:extLst>
            </c:dLbl>
            <c:dLbl>
              <c:idx val="9"/>
              <c:layout>
                <c:manualLayout>
                  <c:x val="2.6193085190742191E-2"/>
                  <c:y val="-1.5920510658326781E-2"/>
                </c:manualLayout>
              </c:layout>
              <c:tx>
                <c:rich>
                  <a:bodyPr/>
                  <a:lstStyle/>
                  <a:p>
                    <a:fld id="{C4FF56C0-3596-4EDF-A589-F822197AD1B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D64C-4F4B-A79B-996E4DDA24D1}"/>
                </c:ext>
              </c:extLst>
            </c:dLbl>
            <c:dLbl>
              <c:idx val="10"/>
              <c:layout>
                <c:manualLayout>
                  <c:x val="-3.6226419017607529E-2"/>
                  <c:y val="-1.0132910947211967E-2"/>
                </c:manualLayout>
              </c:layout>
              <c:tx>
                <c:rich>
                  <a:bodyPr/>
                  <a:lstStyle/>
                  <a:p>
                    <a:fld id="{317AA6CB-3DE2-4863-BB6D-5CF61268E93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D64C-4F4B-A79B-996E4DDA24D1}"/>
                </c:ext>
              </c:extLst>
            </c:dLbl>
            <c:dLbl>
              <c:idx val="11"/>
              <c:layout>
                <c:manualLayout>
                  <c:x val="-6.2318204588728499E-2"/>
                  <c:y val="-2.9144759588201067E-2"/>
                </c:manualLayout>
              </c:layout>
              <c:tx>
                <c:rich>
                  <a:bodyPr/>
                  <a:lstStyle/>
                  <a:p>
                    <a:fld id="{09F0E173-7153-403C-921C-4C0EA9B1E4B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D64C-4F4B-A79B-996E4DDA24D1}"/>
                </c:ext>
              </c:extLst>
            </c:dLbl>
            <c:dLbl>
              <c:idx val="12"/>
              <c:layout>
                <c:manualLayout>
                  <c:x val="-6.065211842853932E-2"/>
                  <c:y val="-1.7392551610491441E-2"/>
                </c:manualLayout>
              </c:layout>
              <c:tx>
                <c:rich>
                  <a:bodyPr/>
                  <a:lstStyle/>
                  <a:p>
                    <a:fld id="{59239BFB-4E8B-4023-874A-F70E0D3B125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0-D64C-4F4B-A79B-996E4DDA24D1}"/>
                </c:ext>
              </c:extLst>
            </c:dLbl>
            <c:dLbl>
              <c:idx val="13"/>
              <c:layout>
                <c:manualLayout>
                  <c:x val="-3.8033021974524843E-2"/>
                  <c:y val="-7.5066916545992969E-3"/>
                </c:manualLayout>
              </c:layout>
              <c:tx>
                <c:rich>
                  <a:bodyPr/>
                  <a:lstStyle/>
                  <a:p>
                    <a:fld id="{7262CFBA-6E82-44B6-A4DB-4788110F6C8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D64C-4F4B-A79B-996E4DDA24D1}"/>
                </c:ext>
              </c:extLst>
            </c:dLbl>
            <c:dLbl>
              <c:idx val="14"/>
              <c:layout>
                <c:manualLayout>
                  <c:x val="-4.0123223067829485E-2"/>
                  <c:y val="-9.3999981134881803E-3"/>
                </c:manualLayout>
              </c:layout>
              <c:tx>
                <c:rich>
                  <a:bodyPr/>
                  <a:lstStyle/>
                  <a:p>
                    <a:fld id="{C801DE4D-4F95-4049-9FC1-395585EC046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D64C-4F4B-A79B-996E4DDA24D1}"/>
                </c:ext>
              </c:extLst>
            </c:dLbl>
            <c:dLbl>
              <c:idx val="15"/>
              <c:layout>
                <c:manualLayout>
                  <c:x val="-4.7928531965254685E-2"/>
                  <c:y val="-1.4603406433209946E-2"/>
                </c:manualLayout>
              </c:layout>
              <c:tx>
                <c:rich>
                  <a:bodyPr/>
                  <a:lstStyle/>
                  <a:p>
                    <a:fld id="{B8823C2B-CBB6-41B4-978A-DF96143711A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35D-4264-889F-58F8065EC991}"/>
                </c:ext>
              </c:extLst>
            </c:dLbl>
            <c:dLbl>
              <c:idx val="16"/>
              <c:layout>
                <c:manualLayout>
                  <c:x val="-1.7970762524936151E-2"/>
                  <c:y val="-5.5432421240909618E-3"/>
                </c:manualLayout>
              </c:layout>
              <c:tx>
                <c:rich>
                  <a:bodyPr/>
                  <a:lstStyle/>
                  <a:p>
                    <a:fld id="{AF0A0706-9B4A-47C1-B790-F0E3C5600DC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AA8-47E0-B0E9-8FC18BF2E7E1}"/>
                </c:ext>
              </c:extLst>
            </c:dLbl>
            <c:dLbl>
              <c:idx val="17"/>
              <c:layout>
                <c:manualLayout>
                  <c:x val="-5.3173404503272841E-2"/>
                  <c:y val="-1.8407059149226121E-2"/>
                </c:manualLayout>
              </c:layout>
              <c:tx>
                <c:rich>
                  <a:bodyPr/>
                  <a:lstStyle/>
                  <a:p>
                    <a:fld id="{4595C74E-5F8C-4862-9DAA-DCD45F53F54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88F-4A11-B3A6-C454DFCDB3CF}"/>
                </c:ext>
              </c:extLst>
            </c:dLbl>
            <c:dLbl>
              <c:idx val="18"/>
              <c:layout>
                <c:manualLayout>
                  <c:x val="-2.9056343909629721E-2"/>
                  <c:y val="-1.2962694053827922E-2"/>
                </c:manualLayout>
              </c:layout>
              <c:tx>
                <c:rich>
                  <a:bodyPr/>
                  <a:lstStyle/>
                  <a:p>
                    <a:fld id="{97E5BCD1-285E-45B9-9D93-DEBA56A40A1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DF4-41BA-9F03-6129E1CEE35B}"/>
                </c:ext>
              </c:extLst>
            </c:dLbl>
            <c:dLbl>
              <c:idx val="19"/>
              <c:layout>
                <c:manualLayout>
                  <c:x val="2.2523621188225047E-3"/>
                  <c:y val="1.0199772482336075E-2"/>
                </c:manualLayout>
              </c:layout>
              <c:tx>
                <c:rich>
                  <a:bodyPr/>
                  <a:lstStyle/>
                  <a:p>
                    <a:fld id="{55160929-3D00-4740-B949-459311B4F0C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DAD-476A-B5F8-AE9892CCA193}"/>
                </c:ext>
              </c:extLst>
            </c:dLbl>
            <c:dLbl>
              <c:idx val="20"/>
              <c:layout>
                <c:manualLayout>
                  <c:x val="3.1792661266932254E-2"/>
                  <c:y val="6.3343422479267813E-3"/>
                </c:manualLayout>
              </c:layout>
              <c:tx>
                <c:rich>
                  <a:bodyPr/>
                  <a:lstStyle/>
                  <a:p>
                    <a:fld id="{1D60494A-5F67-4053-A3B4-1446764FECE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67A-497E-83C4-D6B9E047763A}"/>
                </c:ext>
              </c:extLst>
            </c:dLbl>
            <c:dLbl>
              <c:idx val="21"/>
              <c:layout>
                <c:manualLayout>
                  <c:x val="6.8227059897432218E-2"/>
                  <c:y val="5.3484516988464457E-3"/>
                </c:manualLayout>
              </c:layout>
              <c:tx>
                <c:rich>
                  <a:bodyPr/>
                  <a:lstStyle/>
                  <a:p>
                    <a:fld id="{5AD9ED7D-25D8-422F-BC8E-D682008BA86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39C-4538-80CD-B10E4F233EB6}"/>
                </c:ext>
              </c:extLst>
            </c:dLbl>
            <c:dLbl>
              <c:idx val="22"/>
              <c:layout>
                <c:manualLayout>
                  <c:x val="-5.1644024673013371E-2"/>
                  <c:y val="-1.3367742876727732E-2"/>
                </c:manualLayout>
              </c:layout>
              <c:tx>
                <c:rich>
                  <a:bodyPr/>
                  <a:lstStyle/>
                  <a:p>
                    <a:fld id="{F33C7CAE-F9B1-469D-9F80-5BC061EA400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EA6-4DD8-88A3-9D1821620EF1}"/>
                </c:ext>
              </c:extLst>
            </c:dLbl>
            <c:dLbl>
              <c:idx val="23"/>
              <c:layout>
                <c:manualLayout>
                  <c:x val="1.1408764981861896E-2"/>
                  <c:y val="-1.2779620471413291E-2"/>
                </c:manualLayout>
              </c:layout>
              <c:tx>
                <c:rich>
                  <a:bodyPr/>
                  <a:lstStyle/>
                  <a:p>
                    <a:fld id="{E90E2AA4-0A46-4E0A-91A8-0A4CEF69F09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6F6-4AC2-817B-5A52C12120D1}"/>
                </c:ext>
              </c:extLst>
            </c:dLbl>
            <c:dLbl>
              <c:idx val="24"/>
              <c:layout>
                <c:manualLayout>
                  <c:x val="-4.8858603548972236E-2"/>
                  <c:y val="-5.8677997670259353E-4"/>
                </c:manualLayout>
              </c:layout>
              <c:tx>
                <c:rich>
                  <a:bodyPr/>
                  <a:lstStyle/>
                  <a:p>
                    <a:fld id="{B655AAEB-B799-4D7D-9B00-EC435E3955B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034-4239-AE96-5C47FB361D55}"/>
                </c:ext>
              </c:extLst>
            </c:dLbl>
            <c:dLbl>
              <c:idx val="25"/>
              <c:layout>
                <c:manualLayout>
                  <c:x val="5.2687552132703784E-2"/>
                  <c:y val="6.6761437982037234E-3"/>
                </c:manualLayout>
              </c:layout>
              <c:tx>
                <c:rich>
                  <a:bodyPr/>
                  <a:lstStyle/>
                  <a:p>
                    <a:fld id="{7840A79A-C792-422E-A9A0-DC0114F95D3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7D7-4D15-BD7F-EA198B676AEC}"/>
                </c:ext>
              </c:extLst>
            </c:dLbl>
            <c:dLbl>
              <c:idx val="26"/>
              <c:layout>
                <c:manualLayout>
                  <c:x val="-7.0301193559770422E-2"/>
                  <c:y val="9.5384774726093302E-3"/>
                </c:manualLayout>
              </c:layout>
              <c:tx>
                <c:rich>
                  <a:bodyPr/>
                  <a:lstStyle/>
                  <a:p>
                    <a:fld id="{284BA097-1CF5-4620-8C3A-B7D8BF7FB28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A7F-49B6-BD70-FD65E254147A}"/>
                </c:ext>
              </c:extLst>
            </c:dLbl>
            <c:dLbl>
              <c:idx val="27"/>
              <c:layout>
                <c:manualLayout>
                  <c:x val="2.562661171828259E-2"/>
                  <c:y val="-5.4981201565609218E-3"/>
                </c:manualLayout>
              </c:layout>
              <c:tx>
                <c:rich>
                  <a:bodyPr/>
                  <a:lstStyle/>
                  <a:p>
                    <a:fld id="{3489B53B-86A9-4FDB-983F-8EC4CA66119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78B-4C7A-AF03-7481CF236525}"/>
                </c:ext>
              </c:extLst>
            </c:dLbl>
            <c:dLbl>
              <c:idx val="28"/>
              <c:layout>
                <c:manualLayout>
                  <c:x val="5.7106417425622684E-3"/>
                  <c:y val="-1.225354042861127E-2"/>
                </c:manualLayout>
              </c:layout>
              <c:tx>
                <c:rich>
                  <a:bodyPr/>
                  <a:lstStyle/>
                  <a:p>
                    <a:fld id="{F98740BD-86BD-4C51-B1A7-B967A8215C3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27A-4934-8A36-1419CAFFD5C0}"/>
                </c:ext>
              </c:extLst>
            </c:dLbl>
            <c:dLbl>
              <c:idx val="29"/>
              <c:layout>
                <c:manualLayout>
                  <c:x val="-8.164060433511193E-3"/>
                  <c:y val="-1.3921888950049916E-2"/>
                </c:manualLayout>
              </c:layout>
              <c:tx>
                <c:rich>
                  <a:bodyPr/>
                  <a:lstStyle/>
                  <a:p>
                    <a:fld id="{FAE60E1F-0B09-43A4-9416-BAD9B19D7CD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DD7-468F-9A16-42E28771C996}"/>
                </c:ext>
              </c:extLst>
            </c:dLbl>
            <c:dLbl>
              <c:idx val="30"/>
              <c:layout>
                <c:manualLayout>
                  <c:x val="-5.0195734127832313E-2"/>
                  <c:y val="8.5504016538206114E-3"/>
                </c:manualLayout>
              </c:layout>
              <c:tx>
                <c:rich>
                  <a:bodyPr/>
                  <a:lstStyle/>
                  <a:p>
                    <a:fld id="{93C56B77-5815-4FD5-8A29-0BAEBD4A48C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1BC-476A-A01E-7FC1EAF4A961}"/>
                </c:ext>
              </c:extLst>
            </c:dLbl>
            <c:dLbl>
              <c:idx val="31"/>
              <c:layout>
                <c:manualLayout>
                  <c:x val="5.3265942247380078E-2"/>
                  <c:y val="2.6098965386904874E-2"/>
                </c:manualLayout>
              </c:layout>
              <c:tx>
                <c:rich>
                  <a:bodyPr/>
                  <a:lstStyle/>
                  <a:p>
                    <a:fld id="{C4BDF542-E4F6-453D-AB89-B871C72D6FD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828-4A43-ADCA-339BE40B18D0}"/>
                </c:ext>
              </c:extLst>
            </c:dLbl>
            <c:dLbl>
              <c:idx val="32"/>
              <c:layout>
                <c:manualLayout>
                  <c:x val="6.8260034271639923E-3"/>
                  <c:y val="1.0528507835822782E-3"/>
                </c:manualLayout>
              </c:layout>
              <c:tx>
                <c:rich>
                  <a:bodyPr/>
                  <a:lstStyle/>
                  <a:p>
                    <a:fld id="{2FC42358-E21F-4E30-A3A0-4DB241BBFC7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255-4D3C-ACC5-C427546CF58A}"/>
                </c:ext>
              </c:extLst>
            </c:dLbl>
            <c:dLbl>
              <c:idx val="33"/>
              <c:layout>
                <c:manualLayout>
                  <c:x val="-5.2208646600906121E-2"/>
                  <c:y val="1.6389487223508394E-2"/>
                </c:manualLayout>
              </c:layout>
              <c:tx>
                <c:rich>
                  <a:bodyPr/>
                  <a:lstStyle/>
                  <a:p>
                    <a:fld id="{E67728D1-4DD5-430D-AF94-5206F23B3BB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89B-4954-B8E0-6A660314BE0B}"/>
                </c:ext>
              </c:extLst>
            </c:dLbl>
            <c:dLbl>
              <c:idx val="34"/>
              <c:layout>
                <c:manualLayout>
                  <c:x val="2.4812215068962928E-2"/>
                  <c:y val="-1.0941981714584511E-2"/>
                </c:manualLayout>
              </c:layout>
              <c:tx>
                <c:rich>
                  <a:bodyPr/>
                  <a:lstStyle/>
                  <a:p>
                    <a:fld id="{50B1B1D2-B557-4012-9204-1B213B0EF57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92F-43B6-B0F7-91B167D8049A}"/>
                </c:ext>
              </c:extLst>
            </c:dLbl>
            <c:dLbl>
              <c:idx val="35"/>
              <c:tx>
                <c:rich>
                  <a:bodyPr/>
                  <a:lstStyle/>
                  <a:p>
                    <a:fld id="{95FC16A8-B1AD-4DF8-BCFF-CDD0439191CA}"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ED84-4136-BE23-94B32E1DCB24}"/>
                </c:ext>
              </c:extLst>
            </c:dLbl>
            <c:dLbl>
              <c:idx val="36"/>
              <c:layout>
                <c:manualLayout>
                  <c:x val="-6.7069581065417938E-2"/>
                  <c:y val="-5.931745213330647E-3"/>
                </c:manualLayout>
              </c:layout>
              <c:tx>
                <c:rich>
                  <a:bodyPr/>
                  <a:lstStyle/>
                  <a:p>
                    <a:fld id="{DDB49766-A942-413B-9A50-02F8A5CC62D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F44-4635-BBFB-766D8E7F219E}"/>
                </c:ext>
              </c:extLst>
            </c:dLbl>
            <c:dLbl>
              <c:idx val="37"/>
              <c:tx>
                <c:rich>
                  <a:bodyPr/>
                  <a:lstStyle/>
                  <a:p>
                    <a:fld id="{28B3340A-98E0-4AD2-9B36-C817FF13CDDB}"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C13-4F55-AB00-1ECC00F9688B}"/>
                </c:ext>
              </c:extLst>
            </c:dLbl>
            <c:dLbl>
              <c:idx val="38"/>
              <c:tx>
                <c:rich>
                  <a:bodyPr/>
                  <a:lstStyle/>
                  <a:p>
                    <a:fld id="{E93B17AD-44BA-49F5-87B4-E7AAEE7B9BF0}"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B39-4283-A5A8-718350523750}"/>
                </c:ext>
              </c:extLst>
            </c:dLbl>
            <c:dLbl>
              <c:idx val="39"/>
              <c:layout>
                <c:manualLayout>
                  <c:x val="-2.7727310168877937E-3"/>
                  <c:y val="-1.1607069698134045E-2"/>
                </c:manualLayout>
              </c:layout>
              <c:tx>
                <c:rich>
                  <a:bodyPr/>
                  <a:lstStyle/>
                  <a:p>
                    <a:fld id="{CC7D623C-91AB-433C-ABB9-72947E9A199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423-4731-8544-E2317A66117B}"/>
                </c:ext>
              </c:extLst>
            </c:dLbl>
            <c:dLbl>
              <c:idx val="40"/>
              <c:tx>
                <c:rich>
                  <a:bodyPr/>
                  <a:lstStyle/>
                  <a:p>
                    <a:fld id="{1C9EA312-CC42-458C-B220-42F52A25B45F}"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2BF-4A80-9167-072154057D76}"/>
                </c:ext>
              </c:extLst>
            </c:dLbl>
            <c:dLbl>
              <c:idx val="41"/>
              <c:tx>
                <c:rich>
                  <a:bodyPr/>
                  <a:lstStyle/>
                  <a:p>
                    <a:fld id="{39BF9924-333E-4B97-83B8-67119B9B52C4}"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4CA-413A-A3BD-BD873686F254}"/>
                </c:ext>
              </c:extLst>
            </c:dLbl>
            <c:dLbl>
              <c:idx val="42"/>
              <c:tx>
                <c:rich>
                  <a:bodyPr/>
                  <a:lstStyle/>
                  <a:p>
                    <a:fld id="{E8BED006-EC56-466E-BF98-9CD060866248}"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190-4FFE-92E2-FEE70D6DA679}"/>
                </c:ext>
              </c:extLst>
            </c:dLbl>
            <c:dLbl>
              <c:idx val="43"/>
              <c:tx>
                <c:rich>
                  <a:bodyPr/>
                  <a:lstStyle/>
                  <a:p>
                    <a:fld id="{32433E42-E209-4219-AD68-1DD4BEBAF2EB}"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1965-48BB-AA68-FAF3F7841339}"/>
                </c:ext>
              </c:extLst>
            </c:dLbl>
            <c:dLbl>
              <c:idx val="44"/>
              <c:layout>
                <c:manualLayout>
                  <c:x val="2.9869047105734203E-3"/>
                  <c:y val="6.8739818791105807E-3"/>
                </c:manualLayout>
              </c:layout>
              <c:tx>
                <c:rich>
                  <a:bodyPr/>
                  <a:lstStyle/>
                  <a:p>
                    <a:fld id="{D8D19FCE-92D1-4860-96ED-908FB20251A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音駒!$D$2:$D$46</c:f>
              <c:numCache>
                <c:formatCode>General</c:formatCode>
                <c:ptCount val="45"/>
                <c:pt idx="0">
                  <c:v>458</c:v>
                </c:pt>
                <c:pt idx="1">
                  <c:v>477</c:v>
                </c:pt>
                <c:pt idx="2">
                  <c:v>468</c:v>
                </c:pt>
                <c:pt idx="3">
                  <c:v>478</c:v>
                </c:pt>
                <c:pt idx="4">
                  <c:v>461</c:v>
                </c:pt>
                <c:pt idx="5">
                  <c:v>467</c:v>
                </c:pt>
                <c:pt idx="6">
                  <c:v>461</c:v>
                </c:pt>
                <c:pt idx="7">
                  <c:v>472</c:v>
                </c:pt>
                <c:pt idx="8">
                  <c:v>466</c:v>
                </c:pt>
                <c:pt idx="9">
                  <c:v>460</c:v>
                </c:pt>
                <c:pt idx="10">
                  <c:v>475</c:v>
                </c:pt>
                <c:pt idx="11">
                  <c:v>467</c:v>
                </c:pt>
                <c:pt idx="12">
                  <c:v>464</c:v>
                </c:pt>
                <c:pt idx="13">
                  <c:v>485</c:v>
                </c:pt>
                <c:pt idx="14">
                  <c:v>486</c:v>
                </c:pt>
                <c:pt idx="15">
                  <c:v>478</c:v>
                </c:pt>
                <c:pt idx="16">
                  <c:v>467</c:v>
                </c:pt>
                <c:pt idx="17">
                  <c:v>492</c:v>
                </c:pt>
                <c:pt idx="18">
                  <c:v>462</c:v>
                </c:pt>
                <c:pt idx="19">
                  <c:v>485</c:v>
                </c:pt>
                <c:pt idx="20">
                  <c:v>491</c:v>
                </c:pt>
                <c:pt idx="21">
                  <c:v>466</c:v>
                </c:pt>
                <c:pt idx="22">
                  <c:v>492</c:v>
                </c:pt>
                <c:pt idx="23">
                  <c:v>485</c:v>
                </c:pt>
                <c:pt idx="24">
                  <c:v>468</c:v>
                </c:pt>
                <c:pt idx="25">
                  <c:v>492</c:v>
                </c:pt>
                <c:pt idx="26">
                  <c:v>472</c:v>
                </c:pt>
                <c:pt idx="27">
                  <c:v>471</c:v>
                </c:pt>
                <c:pt idx="28">
                  <c:v>496</c:v>
                </c:pt>
                <c:pt idx="29">
                  <c:v>469</c:v>
                </c:pt>
                <c:pt idx="30">
                  <c:v>483</c:v>
                </c:pt>
                <c:pt idx="31">
                  <c:v>493</c:v>
                </c:pt>
                <c:pt idx="32">
                  <c:v>480</c:v>
                </c:pt>
                <c:pt idx="33">
                  <c:v>471</c:v>
                </c:pt>
                <c:pt idx="34">
                  <c:v>497</c:v>
                </c:pt>
                <c:pt idx="35">
                  <c:v>498</c:v>
                </c:pt>
                <c:pt idx="36">
                  <c:v>473</c:v>
                </c:pt>
                <c:pt idx="37">
                  <c:v>500</c:v>
                </c:pt>
                <c:pt idx="38">
                  <c:v>469</c:v>
                </c:pt>
                <c:pt idx="39">
                  <c:v>475</c:v>
                </c:pt>
                <c:pt idx="40">
                  <c:v>502</c:v>
                </c:pt>
                <c:pt idx="41">
                  <c:v>462</c:v>
                </c:pt>
                <c:pt idx="42">
                  <c:v>477</c:v>
                </c:pt>
                <c:pt idx="43">
                  <c:v>484</c:v>
                </c:pt>
                <c:pt idx="44">
                  <c:v>476</c:v>
                </c:pt>
              </c:numCache>
            </c:numRef>
          </c:xVal>
          <c:yVal>
            <c:numRef>
              <c:f>音駒!$C$2:$C$46</c:f>
              <c:numCache>
                <c:formatCode>General</c:formatCode>
                <c:ptCount val="45"/>
                <c:pt idx="0">
                  <c:v>484</c:v>
                </c:pt>
                <c:pt idx="1">
                  <c:v>480</c:v>
                </c:pt>
                <c:pt idx="2">
                  <c:v>462</c:v>
                </c:pt>
                <c:pt idx="3">
                  <c:v>469</c:v>
                </c:pt>
                <c:pt idx="4">
                  <c:v>459</c:v>
                </c:pt>
                <c:pt idx="5">
                  <c:v>460</c:v>
                </c:pt>
                <c:pt idx="6">
                  <c:v>479</c:v>
                </c:pt>
                <c:pt idx="7">
                  <c:v>458</c:v>
                </c:pt>
                <c:pt idx="8">
                  <c:v>481</c:v>
                </c:pt>
                <c:pt idx="9">
                  <c:v>474</c:v>
                </c:pt>
                <c:pt idx="10">
                  <c:v>466</c:v>
                </c:pt>
                <c:pt idx="11">
                  <c:v>486</c:v>
                </c:pt>
                <c:pt idx="12">
                  <c:v>502</c:v>
                </c:pt>
                <c:pt idx="13">
                  <c:v>486</c:v>
                </c:pt>
                <c:pt idx="14">
                  <c:v>475</c:v>
                </c:pt>
                <c:pt idx="15">
                  <c:v>467</c:v>
                </c:pt>
                <c:pt idx="16">
                  <c:v>467</c:v>
                </c:pt>
                <c:pt idx="17">
                  <c:v>489</c:v>
                </c:pt>
                <c:pt idx="18">
                  <c:v>494</c:v>
                </c:pt>
                <c:pt idx="19">
                  <c:v>486</c:v>
                </c:pt>
                <c:pt idx="20">
                  <c:v>471</c:v>
                </c:pt>
                <c:pt idx="21">
                  <c:v>501</c:v>
                </c:pt>
                <c:pt idx="22">
                  <c:v>490</c:v>
                </c:pt>
                <c:pt idx="23">
                  <c:v>462</c:v>
                </c:pt>
                <c:pt idx="24">
                  <c:v>508</c:v>
                </c:pt>
                <c:pt idx="25">
                  <c:v>479</c:v>
                </c:pt>
                <c:pt idx="26">
                  <c:v>489</c:v>
                </c:pt>
                <c:pt idx="27">
                  <c:v>506</c:v>
                </c:pt>
                <c:pt idx="28">
                  <c:v>493</c:v>
                </c:pt>
                <c:pt idx="29">
                  <c:v>466</c:v>
                </c:pt>
                <c:pt idx="30">
                  <c:v>472</c:v>
                </c:pt>
                <c:pt idx="31">
                  <c:v>479</c:v>
                </c:pt>
                <c:pt idx="32">
                  <c:v>464</c:v>
                </c:pt>
                <c:pt idx="33">
                  <c:v>507</c:v>
                </c:pt>
                <c:pt idx="34">
                  <c:v>495</c:v>
                </c:pt>
                <c:pt idx="35">
                  <c:v>483</c:v>
                </c:pt>
                <c:pt idx="36">
                  <c:v>513</c:v>
                </c:pt>
                <c:pt idx="37">
                  <c:v>493</c:v>
                </c:pt>
                <c:pt idx="38">
                  <c:v>485</c:v>
                </c:pt>
                <c:pt idx="39">
                  <c:v>513</c:v>
                </c:pt>
                <c:pt idx="40">
                  <c:v>500</c:v>
                </c:pt>
                <c:pt idx="41">
                  <c:v>494</c:v>
                </c:pt>
                <c:pt idx="42">
                  <c:v>494</c:v>
                </c:pt>
                <c:pt idx="43">
                  <c:v>460</c:v>
                </c:pt>
                <c:pt idx="44">
                  <c:v>468</c:v>
                </c:pt>
              </c:numCache>
            </c:numRef>
          </c:yVal>
          <c:smooth val="0"/>
          <c:extLst>
            <c:ext xmlns:c15="http://schemas.microsoft.com/office/drawing/2012/chart" uri="{02D57815-91ED-43cb-92C2-25804820EDAC}">
              <c15:datalabelsRange>
                <c15:f>音駒!$F$2:$F$112</c15:f>
                <c15:dlblRangeCache>
                  <c:ptCount val="111"/>
                  <c:pt idx="0">
                    <c:v>孤爪研磨ICO</c:v>
                  </c:pt>
                  <c:pt idx="1">
                    <c:v>黒尾鉄朗ICO</c:v>
                  </c:pt>
                  <c:pt idx="2">
                    <c:v>灰羽リエーフICO</c:v>
                  </c:pt>
                  <c:pt idx="3">
                    <c:v>夜久衛輔ICO</c:v>
                  </c:pt>
                  <c:pt idx="4">
                    <c:v>福永招平ICO</c:v>
                  </c:pt>
                  <c:pt idx="5">
                    <c:v>犬岡走ICO</c:v>
                  </c:pt>
                  <c:pt idx="6">
                    <c:v>山本猛虎ICO</c:v>
                  </c:pt>
                  <c:pt idx="7">
                    <c:v>芝山優生ICO</c:v>
                  </c:pt>
                  <c:pt idx="8">
                    <c:v>海信之ICO</c:v>
                  </c:pt>
                  <c:pt idx="9">
                    <c:v>手白球彦ICO</c:v>
                  </c:pt>
                  <c:pt idx="10">
                    <c:v>新年犬岡走ICO</c:v>
                  </c:pt>
                  <c:pt idx="11">
                    <c:v>新年山本猛虎ICO</c:v>
                  </c:pt>
                  <c:pt idx="12">
                    <c:v>1周年孤爪研磨ICO</c:v>
                  </c:pt>
                  <c:pt idx="13">
                    <c:v>1周年黒尾鉄朗ICO</c:v>
                  </c:pt>
                  <c:pt idx="14">
                    <c:v>1周年夜久衛輔ICO</c:v>
                  </c:pt>
                  <c:pt idx="15">
                    <c:v>路地裏灰羽リエーフICO</c:v>
                  </c:pt>
                  <c:pt idx="16">
                    <c:v>バーガー福永招平ICO</c:v>
                  </c:pt>
                  <c:pt idx="17">
                    <c:v>キャンプ黒尾鉄朗ICO</c:v>
                  </c:pt>
                  <c:pt idx="18">
                    <c:v>制服孤爪研磨ICO</c:v>
                  </c:pt>
                  <c:pt idx="19">
                    <c:v>制服黒尾鉄朗ICO</c:v>
                  </c:pt>
                  <c:pt idx="20">
                    <c:v>花火夜久衛輔ICO</c:v>
                  </c:pt>
                  <c:pt idx="21">
                    <c:v>スパイ孤爪研磨ICO</c:v>
                  </c:pt>
                  <c:pt idx="22">
                    <c:v>文化祭2黒尾鉄朗ICO</c:v>
                  </c:pt>
                  <c:pt idx="23">
                    <c:v>文化祭2灰羽リエーフICO</c:v>
                  </c:pt>
                  <c:pt idx="24">
                    <c:v>Xmas2孤爪研磨ICO</c:v>
                  </c:pt>
                  <c:pt idx="25">
                    <c:v>2周年夜久衛輔ICO</c:v>
                  </c:pt>
                  <c:pt idx="26">
                    <c:v>遊園地海信之ICO</c:v>
                  </c:pt>
                  <c:pt idx="27">
                    <c:v>中学生孤爪研磨ICO</c:v>
                  </c:pt>
                  <c:pt idx="28">
                    <c:v>中学生黒尾鉄朗ICO</c:v>
                  </c:pt>
                  <c:pt idx="29">
                    <c:v>アート2福永招平ICO</c:v>
                  </c:pt>
                  <c:pt idx="30">
                    <c:v>サバゲ2灰羽リエーフICO</c:v>
                  </c:pt>
                  <c:pt idx="31">
                    <c:v>水着2夜久衛輔ICO</c:v>
                  </c:pt>
                  <c:pt idx="32">
                    <c:v>焼き芋芝山優生ICO</c:v>
                  </c:pt>
                  <c:pt idx="33">
                    <c:v>ハロウィン孤爪研磨ICO</c:v>
                  </c:pt>
                  <c:pt idx="34">
                    <c:v>ハロウィン黒尾鉄朗ICO</c:v>
                  </c:pt>
                  <c:pt idx="35">
                    <c:v>Xmas3夜久衛輔ICO</c:v>
                  </c:pt>
                  <c:pt idx="36">
                    <c:v>寝正月孤爪研磨ICO</c:v>
                  </c:pt>
                  <c:pt idx="37">
                    <c:v>和装体験黒尾鉄朗ICO</c:v>
                  </c:pt>
                  <c:pt idx="38">
                    <c:v>和装体験山本猛虎ICO</c:v>
                  </c:pt>
                  <c:pt idx="39">
                    <c:v>思い出孤爪研磨ICO</c:v>
                  </c:pt>
                  <c:pt idx="40">
                    <c:v>思い出黒尾鉄朗ICO</c:v>
                  </c:pt>
                  <c:pt idx="41">
                    <c:v>夏祭り孤爪研磨ICO</c:v>
                  </c:pt>
                  <c:pt idx="42">
                    <c:v>夏祭り黒尾鉄朗ICO</c:v>
                  </c:pt>
                  <c:pt idx="43">
                    <c:v>梅雨2犬岡走ICO</c:v>
                  </c:pt>
                  <c:pt idx="44">
                    <c:v>探偵灰羽リエーフICO</c:v>
                  </c:pt>
                </c15:dlblRangeCache>
              </c15:datalabelsRange>
            </c:ext>
            <c:ext xmlns:c16="http://schemas.microsoft.com/office/drawing/2014/chart" uri="{C3380CC4-5D6E-409C-BE32-E72D297353CC}">
              <c16:uniqueId val="{00000013-D64C-4F4B-A79B-996E4DDA24D1}"/>
            </c:ext>
          </c:extLst>
        </c:ser>
        <c:ser>
          <c:idx val="0"/>
          <c:order val="2"/>
          <c:tx>
            <c:v>青葉城西高校</c:v>
          </c:tx>
          <c:spPr>
            <a:ln w="25400" cap="rnd">
              <a:noFill/>
              <a:round/>
            </a:ln>
            <a:effectLst/>
          </c:spPr>
          <c:marker>
            <c:symbol val="circle"/>
            <c:size val="11"/>
            <c:spPr>
              <a:solidFill>
                <a:srgbClr val="99FFCC"/>
              </a:solidFill>
              <a:ln w="9525">
                <a:noFill/>
              </a:ln>
              <a:effectLst/>
            </c:spPr>
          </c:marker>
          <c:dLbls>
            <c:dLbl>
              <c:idx val="0"/>
              <c:tx>
                <c:rich>
                  <a:bodyPr/>
                  <a:lstStyle/>
                  <a:p>
                    <a:fld id="{D1DDF11D-ECEC-4B1E-9C6A-CCFB2D940FE1}"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4-D64C-4F4B-A79B-996E4DDA24D1}"/>
                </c:ext>
              </c:extLst>
            </c:dLbl>
            <c:dLbl>
              <c:idx val="1"/>
              <c:layout>
                <c:manualLayout>
                  <c:x val="-3.9008974553823066E-2"/>
                  <c:y val="-8.0029159347801537E-3"/>
                </c:manualLayout>
              </c:layout>
              <c:tx>
                <c:rich>
                  <a:bodyPr/>
                  <a:lstStyle/>
                  <a:p>
                    <a:fld id="{2370F777-DCB7-481F-B5F7-4C09CEE90A7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5-D64C-4F4B-A79B-996E4DDA24D1}"/>
                </c:ext>
              </c:extLst>
            </c:dLbl>
            <c:dLbl>
              <c:idx val="2"/>
              <c:layout>
                <c:manualLayout>
                  <c:x val="-5.2625927810978128E-2"/>
                  <c:y val="-5.1765741331550206E-3"/>
                </c:manualLayout>
              </c:layout>
              <c:tx>
                <c:rich>
                  <a:bodyPr/>
                  <a:lstStyle/>
                  <a:p>
                    <a:fld id="{30C8D140-ED03-4D92-A645-22E6D74BD6B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6-D64C-4F4B-A79B-996E4DDA24D1}"/>
                </c:ext>
              </c:extLst>
            </c:dLbl>
            <c:dLbl>
              <c:idx val="3"/>
              <c:tx>
                <c:rich>
                  <a:bodyPr/>
                  <a:lstStyle/>
                  <a:p>
                    <a:fld id="{147EDA89-8252-4593-AD9E-3A5A91294B72}"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7-D64C-4F4B-A79B-996E4DDA24D1}"/>
                </c:ext>
              </c:extLst>
            </c:dLbl>
            <c:dLbl>
              <c:idx val="4"/>
              <c:layout>
                <c:manualLayout>
                  <c:x val="-4.8373646807604226E-2"/>
                  <c:y val="2.3610845390164177E-3"/>
                </c:manualLayout>
              </c:layout>
              <c:tx>
                <c:rich>
                  <a:bodyPr/>
                  <a:lstStyle/>
                  <a:p>
                    <a:fld id="{28F3401A-053B-40CF-9208-37BE8E80D70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8-D64C-4F4B-A79B-996E4DDA24D1}"/>
                </c:ext>
              </c:extLst>
            </c:dLbl>
            <c:dLbl>
              <c:idx val="5"/>
              <c:layout>
                <c:manualLayout>
                  <c:x val="-3.9491341554832568E-2"/>
                  <c:y val="1.2080520422647392E-2"/>
                </c:manualLayout>
              </c:layout>
              <c:tx>
                <c:rich>
                  <a:bodyPr/>
                  <a:lstStyle/>
                  <a:p>
                    <a:fld id="{E6B88F31-85E1-46ED-ABC9-9D50E22D42B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9-D64C-4F4B-A79B-996E4DDA24D1}"/>
                </c:ext>
              </c:extLst>
            </c:dLbl>
            <c:dLbl>
              <c:idx val="6"/>
              <c:layout>
                <c:manualLayout>
                  <c:x val="-4.8687700057484108E-2"/>
                  <c:y val="7.7836301815332361E-3"/>
                </c:manualLayout>
              </c:layout>
              <c:tx>
                <c:rich>
                  <a:bodyPr/>
                  <a:lstStyle/>
                  <a:p>
                    <a:fld id="{F3AD5847-9984-4A28-9A6D-8B2C6273F66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A-D64C-4F4B-A79B-996E4DDA24D1}"/>
                </c:ext>
              </c:extLst>
            </c:dLbl>
            <c:dLbl>
              <c:idx val="7"/>
              <c:layout>
                <c:manualLayout>
                  <c:x val="6.4194957135687968E-3"/>
                  <c:y val="-3.0421406160730585E-3"/>
                </c:manualLayout>
              </c:layout>
              <c:tx>
                <c:rich>
                  <a:bodyPr/>
                  <a:lstStyle/>
                  <a:p>
                    <a:fld id="{F7A97F62-1EA4-4846-A0A3-7F4A06DC653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B-D64C-4F4B-A79B-996E4DDA24D1}"/>
                </c:ext>
              </c:extLst>
            </c:dLbl>
            <c:dLbl>
              <c:idx val="8"/>
              <c:layout>
                <c:manualLayout>
                  <c:x val="-2.9761678513056368E-2"/>
                  <c:y val="-1.4611641557929331E-2"/>
                </c:manualLayout>
              </c:layout>
              <c:tx>
                <c:rich>
                  <a:bodyPr/>
                  <a:lstStyle/>
                  <a:p>
                    <a:fld id="{70767777-F682-4402-ACB1-6760081F97D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C-D64C-4F4B-A79B-996E4DDA24D1}"/>
                </c:ext>
              </c:extLst>
            </c:dLbl>
            <c:dLbl>
              <c:idx val="9"/>
              <c:layout>
                <c:manualLayout>
                  <c:x val="-2.278182038182569E-2"/>
                  <c:y val="-1.3289029080274239E-2"/>
                </c:manualLayout>
              </c:layout>
              <c:tx>
                <c:rich>
                  <a:bodyPr/>
                  <a:lstStyle/>
                  <a:p>
                    <a:fld id="{8A53B601-8847-4DFE-8E45-A42E31C8A92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D-D64C-4F4B-A79B-996E4DDA24D1}"/>
                </c:ext>
              </c:extLst>
            </c:dLbl>
            <c:dLbl>
              <c:idx val="10"/>
              <c:layout>
                <c:manualLayout>
                  <c:x val="-6.5328589192973657E-2"/>
                  <c:y val="6.0697185489568279E-3"/>
                </c:manualLayout>
              </c:layout>
              <c:tx>
                <c:rich>
                  <a:bodyPr/>
                  <a:lstStyle/>
                  <a:p>
                    <a:fld id="{9CB5874A-D871-49B9-AD16-29969201782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E-D64C-4F4B-A79B-996E4DDA24D1}"/>
                </c:ext>
              </c:extLst>
            </c:dLbl>
            <c:dLbl>
              <c:idx val="11"/>
              <c:layout>
                <c:manualLayout>
                  <c:x val="-3.8945520960185914E-2"/>
                  <c:y val="-1.8673909346920915E-2"/>
                </c:manualLayout>
              </c:layout>
              <c:tx>
                <c:rich>
                  <a:bodyPr/>
                  <a:lstStyle/>
                  <a:p>
                    <a:fld id="{5856428F-7BFC-4970-8DFB-03DD9DEF3AE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E27-4255-AB68-31F094F5ECC8}"/>
                </c:ext>
              </c:extLst>
            </c:dLbl>
            <c:dLbl>
              <c:idx val="12"/>
              <c:layout>
                <c:manualLayout>
                  <c:x val="-3.3071728924171817E-2"/>
                  <c:y val="-5.2211792265667804E-3"/>
                </c:manualLayout>
              </c:layout>
              <c:tx>
                <c:rich>
                  <a:bodyPr/>
                  <a:lstStyle/>
                  <a:p>
                    <a:fld id="{26C470B7-06BC-4628-87E3-F4E68CA345E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533-492A-AC48-5FB5FCFDCDE5}"/>
                </c:ext>
              </c:extLst>
            </c:dLbl>
            <c:dLbl>
              <c:idx val="13"/>
              <c:layout>
                <c:manualLayout>
                  <c:x val="-6.5509078035940832E-2"/>
                  <c:y val="-4.853147655892261E-3"/>
                </c:manualLayout>
              </c:layout>
              <c:tx>
                <c:rich>
                  <a:bodyPr/>
                  <a:lstStyle/>
                  <a:p>
                    <a:fld id="{058809F1-845D-4C5F-A595-15C1AEB4D6E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202-4223-BEE5-06E7CE49A952}"/>
                </c:ext>
              </c:extLst>
            </c:dLbl>
            <c:dLbl>
              <c:idx val="14"/>
              <c:layout>
                <c:manualLayout>
                  <c:x val="-9.3134115381853771E-3"/>
                  <c:y val="-2.1503032089079423E-2"/>
                </c:manualLayout>
              </c:layout>
              <c:tx>
                <c:rich>
                  <a:bodyPr/>
                  <a:lstStyle/>
                  <a:p>
                    <a:fld id="{1E7DA5DF-9121-4C6F-8622-CFD51F5284C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808-416E-9E90-08DFCF2547A3}"/>
                </c:ext>
              </c:extLst>
            </c:dLbl>
            <c:dLbl>
              <c:idx val="15"/>
              <c:layout>
                <c:manualLayout>
                  <c:x val="-1.4017354887672842E-2"/>
                  <c:y val="1.9666828404542255E-2"/>
                </c:manualLayout>
              </c:layout>
              <c:tx>
                <c:rich>
                  <a:bodyPr/>
                  <a:lstStyle/>
                  <a:p>
                    <a:fld id="{C44F1DB6-EE0E-43B8-8CF8-46A66A8C8BD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E5D-49F3-8698-38316840B45D}"/>
                </c:ext>
              </c:extLst>
            </c:dLbl>
            <c:dLbl>
              <c:idx val="16"/>
              <c:layout>
                <c:manualLayout>
                  <c:x val="3.1294594568516722E-2"/>
                  <c:y val="1.3858487534257625E-2"/>
                </c:manualLayout>
              </c:layout>
              <c:tx>
                <c:rich>
                  <a:bodyPr/>
                  <a:lstStyle/>
                  <a:p>
                    <a:fld id="{466403D0-46C1-471A-96BC-57AEFA39F3B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FE3-44C4-B0DF-B68D9E8EF872}"/>
                </c:ext>
              </c:extLst>
            </c:dLbl>
            <c:dLbl>
              <c:idx val="17"/>
              <c:layout>
                <c:manualLayout>
                  <c:x val="-5.8342853161891174E-2"/>
                  <c:y val="-2.3526164295788039E-2"/>
                </c:manualLayout>
              </c:layout>
              <c:tx>
                <c:rich>
                  <a:bodyPr/>
                  <a:lstStyle/>
                  <a:p>
                    <a:fld id="{33AA6BB7-3BE9-4F2F-ABB8-69388AC4CC1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EDB-45E7-9C1C-661E63CABB98}"/>
                </c:ext>
              </c:extLst>
            </c:dLbl>
            <c:dLbl>
              <c:idx val="18"/>
              <c:layout>
                <c:manualLayout>
                  <c:x val="-3.1143659051561912E-2"/>
                  <c:y val="-1.6490120202544496E-2"/>
                </c:manualLayout>
              </c:layout>
              <c:tx>
                <c:rich>
                  <a:bodyPr/>
                  <a:lstStyle/>
                  <a:p>
                    <a:fld id="{B325F3E7-613D-4948-B4A7-FD12B8059E3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B5B-4644-A45B-157C41493102}"/>
                </c:ext>
              </c:extLst>
            </c:dLbl>
            <c:dLbl>
              <c:idx val="19"/>
              <c:layout>
                <c:manualLayout>
                  <c:x val="2.1199893766431269E-3"/>
                  <c:y val="-2.0511685954828912E-2"/>
                </c:manualLayout>
              </c:layout>
              <c:tx>
                <c:rich>
                  <a:bodyPr/>
                  <a:lstStyle/>
                  <a:p>
                    <a:fld id="{5247F5B4-F537-413C-9424-C15B45E299A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D6A-4BE0-97B9-AC3373874FE1}"/>
                </c:ext>
              </c:extLst>
            </c:dLbl>
            <c:dLbl>
              <c:idx val="20"/>
              <c:layout>
                <c:manualLayout>
                  <c:x val="-4.6910778595157417E-3"/>
                  <c:y val="-7.1127357613522046E-3"/>
                </c:manualLayout>
              </c:layout>
              <c:tx>
                <c:rich>
                  <a:bodyPr/>
                  <a:lstStyle/>
                  <a:p>
                    <a:fld id="{BB2DFFEA-83DB-429C-B854-4C57408ECD4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CFC-4EC3-9B23-A1C254E727C9}"/>
                </c:ext>
              </c:extLst>
            </c:dLbl>
            <c:dLbl>
              <c:idx val="21"/>
              <c:layout>
                <c:manualLayout>
                  <c:x val="1.1193056291832168E-2"/>
                  <c:y val="4.4900590899883156E-3"/>
                </c:manualLayout>
              </c:layout>
              <c:tx>
                <c:rich>
                  <a:bodyPr/>
                  <a:lstStyle/>
                  <a:p>
                    <a:fld id="{173AB952-0887-42EA-9703-1CB0FA9FEB9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406-4FC2-BD57-2D78487D698F}"/>
                </c:ext>
              </c:extLst>
            </c:dLbl>
            <c:dLbl>
              <c:idx val="22"/>
              <c:layout>
                <c:manualLayout>
                  <c:x val="-9.2510601303980415E-3"/>
                  <c:y val="-1.0279117950207918E-2"/>
                </c:manualLayout>
              </c:layout>
              <c:tx>
                <c:rich>
                  <a:bodyPr/>
                  <a:lstStyle/>
                  <a:p>
                    <a:fld id="{D9AED979-21B6-4FE4-9853-C43A6A45E25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C40-4E02-B400-1F9601D24FB6}"/>
                </c:ext>
              </c:extLst>
            </c:dLbl>
            <c:dLbl>
              <c:idx val="23"/>
              <c:layout>
                <c:manualLayout>
                  <c:x val="-3.8912795276166194E-2"/>
                  <c:y val="-1.9686717649825377E-2"/>
                </c:manualLayout>
              </c:layout>
              <c:tx>
                <c:rich>
                  <a:bodyPr/>
                  <a:lstStyle/>
                  <a:p>
                    <a:fld id="{DCD34E5B-0D9B-47DF-8EFA-7F001832674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7CC-4753-BD98-CFAA5CAE0C0F}"/>
                </c:ext>
              </c:extLst>
            </c:dLbl>
            <c:dLbl>
              <c:idx val="24"/>
              <c:layout>
                <c:manualLayout>
                  <c:x val="1.7674739657655539E-2"/>
                  <c:y val="2.4047684269756613E-3"/>
                </c:manualLayout>
              </c:layout>
              <c:tx>
                <c:rich>
                  <a:bodyPr/>
                  <a:lstStyle/>
                  <a:p>
                    <a:fld id="{8CE1055D-7A83-43C2-A638-504F1A0EF57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131-408B-A9E7-827C7DCA2561}"/>
                </c:ext>
              </c:extLst>
            </c:dLbl>
            <c:dLbl>
              <c:idx val="25"/>
              <c:layout>
                <c:manualLayout>
                  <c:x val="-1.9185999505581544E-2"/>
                  <c:y val="-8.6536927437174446E-3"/>
                </c:manualLayout>
              </c:layout>
              <c:tx>
                <c:rich>
                  <a:bodyPr/>
                  <a:lstStyle/>
                  <a:p>
                    <a:fld id="{882E0290-E0D5-4C81-A330-92EE3DB765A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EF4-41D2-950E-3BB7C69FB505}"/>
                </c:ext>
              </c:extLst>
            </c:dLbl>
            <c:dLbl>
              <c:idx val="26"/>
              <c:layout>
                <c:manualLayout>
                  <c:x val="1.3804072436685995E-2"/>
                  <c:y val="7.3986184341202424E-3"/>
                </c:manualLayout>
              </c:layout>
              <c:tx>
                <c:rich>
                  <a:bodyPr/>
                  <a:lstStyle/>
                  <a:p>
                    <a:fld id="{51E811D7-8943-481E-BB3F-34806D7D632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866-40B4-BD83-B15F7457BD35}"/>
                </c:ext>
              </c:extLst>
            </c:dLbl>
            <c:dLbl>
              <c:idx val="27"/>
              <c:layout>
                <c:manualLayout>
                  <c:x val="-3.7256152490410824E-2"/>
                  <c:y val="9.1894203960151202E-3"/>
                </c:manualLayout>
              </c:layout>
              <c:tx>
                <c:rich>
                  <a:bodyPr/>
                  <a:lstStyle/>
                  <a:p>
                    <a:fld id="{3A8B1228-93AD-4E4E-AE8E-AD524169688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304-4A4D-8A82-770501E0A2B9}"/>
                </c:ext>
              </c:extLst>
            </c:dLbl>
            <c:dLbl>
              <c:idx val="28"/>
              <c:layout>
                <c:manualLayout>
                  <c:x val="-3.4491894109461414E-2"/>
                  <c:y val="1.2530032878842804E-2"/>
                </c:manualLayout>
              </c:layout>
              <c:tx>
                <c:rich>
                  <a:bodyPr/>
                  <a:lstStyle/>
                  <a:p>
                    <a:fld id="{457159FD-1146-4BC2-B320-042F2B35D17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454-47DD-BB90-95B5FB864818}"/>
                </c:ext>
              </c:extLst>
            </c:dLbl>
            <c:dLbl>
              <c:idx val="29"/>
              <c:layout>
                <c:manualLayout>
                  <c:x val="-1.5650180514282901E-2"/>
                  <c:y val="2.5091299977708151E-2"/>
                </c:manualLayout>
              </c:layout>
              <c:tx>
                <c:rich>
                  <a:bodyPr/>
                  <a:lstStyle/>
                  <a:p>
                    <a:fld id="{7ADFC8EB-B558-4696-B18F-8B77DB4CDFD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4CD-43AD-A871-143AF7D1057B}"/>
                </c:ext>
              </c:extLst>
            </c:dLbl>
            <c:dLbl>
              <c:idx val="30"/>
              <c:layout>
                <c:manualLayout>
                  <c:x val="1.001184430203384E-2"/>
                  <c:y val="1.2530032878842804E-2"/>
                </c:manualLayout>
              </c:layout>
              <c:tx>
                <c:rich>
                  <a:bodyPr/>
                  <a:lstStyle/>
                  <a:p>
                    <a:fld id="{9A814820-4DB4-4144-8C28-BE3715B8575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043-4360-8B6A-5AA7D15BE734}"/>
                </c:ext>
              </c:extLst>
            </c:dLbl>
            <c:dLbl>
              <c:idx val="31"/>
              <c:layout>
                <c:manualLayout>
                  <c:x val="-3.0787865519500458E-2"/>
                  <c:y val="-8.0630418671849696E-3"/>
                </c:manualLayout>
              </c:layout>
              <c:tx>
                <c:rich>
                  <a:bodyPr/>
                  <a:lstStyle/>
                  <a:p>
                    <a:fld id="{BC77290D-4BEA-48FF-9F12-9B26AB54CE1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C0F-4CEB-AC9B-0E7248B3D3CC}"/>
                </c:ext>
              </c:extLst>
            </c:dLbl>
            <c:dLbl>
              <c:idx val="32"/>
              <c:layout>
                <c:manualLayout>
                  <c:x val="-2.6638626328417063E-2"/>
                  <c:y val="7.4716640551771929E-3"/>
                </c:manualLayout>
              </c:layout>
              <c:tx>
                <c:rich>
                  <a:bodyPr/>
                  <a:lstStyle/>
                  <a:p>
                    <a:fld id="{0E63DE92-4965-4226-A4EB-61C36CE0BD4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F25-4BBE-A31A-B39531382EA0}"/>
                </c:ext>
              </c:extLst>
            </c:dLbl>
            <c:dLbl>
              <c:idx val="33"/>
              <c:layout>
                <c:manualLayout>
                  <c:x val="-1.0195023008904321E-2"/>
                  <c:y val="-8.4231953342832327E-3"/>
                </c:manualLayout>
              </c:layout>
              <c:tx>
                <c:rich>
                  <a:bodyPr/>
                  <a:lstStyle/>
                  <a:p>
                    <a:fld id="{AA40C12B-7BEE-4CB6-B120-368E7F261B5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940-46B8-B880-BE5A9201B484}"/>
                </c:ext>
              </c:extLst>
            </c:dLbl>
            <c:dLbl>
              <c:idx val="34"/>
              <c:layout>
                <c:manualLayout>
                  <c:x val="1.721511713987961E-2"/>
                  <c:y val="1.4451959523556645E-2"/>
                </c:manualLayout>
              </c:layout>
              <c:tx>
                <c:rich>
                  <a:bodyPr/>
                  <a:lstStyle/>
                  <a:p>
                    <a:fld id="{5FD23222-0476-455F-A88F-4573B0C045A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B5F-4CCC-AC86-E6CACC609E12}"/>
                </c:ext>
              </c:extLst>
            </c:dLbl>
            <c:dLbl>
              <c:idx val="35"/>
              <c:tx>
                <c:rich>
                  <a:bodyPr/>
                  <a:lstStyle/>
                  <a:p>
                    <a:fld id="{ECE03FC8-D404-4C80-A192-7EE4ACD0A2AE}"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C66-46FA-B441-E2ED8E8C336A}"/>
                </c:ext>
              </c:extLst>
            </c:dLbl>
            <c:dLbl>
              <c:idx val="36"/>
              <c:tx>
                <c:rich>
                  <a:bodyPr/>
                  <a:lstStyle/>
                  <a:p>
                    <a:fld id="{C7AC95BB-73DD-490E-90B0-D15BC5D12425}"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5BE-4C36-B9D5-9C7671CE1912}"/>
                </c:ext>
              </c:extLst>
            </c:dLbl>
            <c:dLbl>
              <c:idx val="37"/>
              <c:layout>
                <c:manualLayout>
                  <c:x val="-3.1913782198339007E-2"/>
                  <c:y val="4.5777655343582574E-3"/>
                </c:manualLayout>
              </c:layout>
              <c:tx>
                <c:rich>
                  <a:bodyPr/>
                  <a:lstStyle/>
                  <a:p>
                    <a:fld id="{867F9441-32F9-4EB7-ACBC-32934A449C5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DAF-412F-A373-0AC8A459C4D5}"/>
                </c:ext>
              </c:extLst>
            </c:dLbl>
            <c:dLbl>
              <c:idx val="38"/>
              <c:layout>
                <c:manualLayout>
                  <c:x val="-5.9036494567588624E-2"/>
                  <c:y val="-8.2575425719260149E-3"/>
                </c:manualLayout>
              </c:layout>
              <c:tx>
                <c:rich>
                  <a:bodyPr/>
                  <a:lstStyle/>
                  <a:p>
                    <a:fld id="{C9B1A8A6-C75E-4E1A-BDBE-411FBBA83F4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589-49AE-862B-5F4AFA3697A5}"/>
                </c:ext>
              </c:extLst>
            </c:dLbl>
            <c:dLbl>
              <c:idx val="39"/>
              <c:tx>
                <c:rich>
                  <a:bodyPr/>
                  <a:lstStyle/>
                  <a:p>
                    <a:fld id="{F4A0A505-49F8-452D-BF1E-0599DA2A7275}"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6EE-45A8-BEB7-39A3690741FE}"/>
                </c:ext>
              </c:extLst>
            </c:dLbl>
            <c:dLbl>
              <c:idx val="40"/>
              <c:layout>
                <c:manualLayout>
                  <c:x val="-1.279231074777795E-2"/>
                  <c:y val="-8.4112541736415854E-3"/>
                </c:manualLayout>
              </c:layout>
              <c:tx>
                <c:rich>
                  <a:bodyPr/>
                  <a:lstStyle/>
                  <a:p>
                    <a:fld id="{A93131BC-0D98-4362-AABC-8B8E5A3CE96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88F-4619-B21F-97251C9BECE1}"/>
                </c:ext>
              </c:extLst>
            </c:dLbl>
            <c:dLbl>
              <c:idx val="41"/>
              <c:tx>
                <c:rich>
                  <a:bodyPr/>
                  <a:lstStyle/>
                  <a:p>
                    <a:fld id="{3D637CC0-216E-48A5-838A-A7B08F7B0C1A}"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ED0-4458-8019-5F4B95308C44}"/>
                </c:ext>
              </c:extLst>
            </c:dLbl>
            <c:dLbl>
              <c:idx val="42"/>
              <c:tx>
                <c:rich>
                  <a:bodyPr/>
                  <a:lstStyle/>
                  <a:p>
                    <a:fld id="{C8C2D36A-1573-41E9-924A-A9403F7DD124}"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ED0-4458-8019-5F4B95308C44}"/>
                </c:ext>
              </c:extLst>
            </c:dLbl>
            <c:dLbl>
              <c:idx val="43"/>
              <c:tx>
                <c:rich>
                  <a:bodyPr/>
                  <a:lstStyle/>
                  <a:p>
                    <a:fld id="{66FC21DE-B5D6-4863-8428-CB34DBFD90C3}"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ED0-4458-8019-5F4B95308C44}"/>
                </c:ext>
              </c:extLst>
            </c:dLbl>
            <c:dLbl>
              <c:idx val="44"/>
              <c:layout>
                <c:manualLayout>
                  <c:x val="-5.9431764051886576E-2"/>
                  <c:y val="-1.1450826095104132E-2"/>
                </c:manualLayout>
              </c:layout>
              <c:tx>
                <c:rich>
                  <a:bodyPr/>
                  <a:lstStyle/>
                  <a:p>
                    <a:fld id="{DAD27AD1-3D8D-4F97-AE9E-6D9281AC8DF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2ED0-4458-8019-5F4B95308C44}"/>
                </c:ext>
              </c:extLst>
            </c:dLbl>
            <c:dLbl>
              <c:idx val="4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ED0-4458-8019-5F4B95308C44}"/>
                </c:ext>
              </c:extLst>
            </c:dLbl>
            <c:dLbl>
              <c:idx val="4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ED0-4458-8019-5F4B95308C44}"/>
                </c:ext>
              </c:extLst>
            </c:dLbl>
            <c:dLbl>
              <c:idx val="4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ED0-4458-8019-5F4B95308C44}"/>
                </c:ext>
              </c:extLst>
            </c:dLbl>
            <c:dLbl>
              <c:idx val="4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ED0-4458-8019-5F4B95308C44}"/>
                </c:ext>
              </c:extLst>
            </c:dLbl>
            <c:dLbl>
              <c:idx val="4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ED0-4458-8019-5F4B95308C44}"/>
                </c:ext>
              </c:extLst>
            </c:dLbl>
            <c:dLbl>
              <c:idx val="5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ED0-4458-8019-5F4B95308C44}"/>
                </c:ext>
              </c:extLst>
            </c:dLbl>
            <c:dLbl>
              <c:idx val="5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ED0-4458-8019-5F4B95308C44}"/>
                </c:ext>
              </c:extLst>
            </c:dLbl>
            <c:dLbl>
              <c:idx val="5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ED0-4458-8019-5F4B95308C44}"/>
                </c:ext>
              </c:extLst>
            </c:dLbl>
            <c:dLbl>
              <c:idx val="5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ED0-4458-8019-5F4B95308C44}"/>
                </c:ext>
              </c:extLst>
            </c:dLbl>
            <c:dLbl>
              <c:idx val="5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ED0-4458-8019-5F4B95308C44}"/>
                </c:ext>
              </c:extLst>
            </c:dLbl>
            <c:dLbl>
              <c:idx val="5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ED0-4458-8019-5F4B95308C44}"/>
                </c:ext>
              </c:extLst>
            </c:dLbl>
            <c:dLbl>
              <c:idx val="5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ED0-4458-8019-5F4B95308C44}"/>
                </c:ext>
              </c:extLst>
            </c:dLbl>
            <c:dLbl>
              <c:idx val="5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ED0-4458-8019-5F4B95308C44}"/>
                </c:ext>
              </c:extLst>
            </c:dLbl>
            <c:dLbl>
              <c:idx val="5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ED0-4458-8019-5F4B95308C44}"/>
                </c:ext>
              </c:extLst>
            </c:dLbl>
            <c:dLbl>
              <c:idx val="5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ED0-4458-8019-5F4B95308C44}"/>
                </c:ext>
              </c:extLst>
            </c:dLbl>
            <c:dLbl>
              <c:idx val="6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ED0-4458-8019-5F4B95308C44}"/>
                </c:ext>
              </c:extLst>
            </c:dLbl>
            <c:dLbl>
              <c:idx val="6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ED0-4458-8019-5F4B95308C44}"/>
                </c:ext>
              </c:extLst>
            </c:dLbl>
            <c:dLbl>
              <c:idx val="6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ED0-4458-8019-5F4B95308C44}"/>
                </c:ext>
              </c:extLst>
            </c:dLbl>
            <c:dLbl>
              <c:idx val="6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ED0-4458-8019-5F4B95308C44}"/>
                </c:ext>
              </c:extLst>
            </c:dLbl>
            <c:dLbl>
              <c:idx val="6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2ED0-4458-8019-5F4B95308C44}"/>
                </c:ext>
              </c:extLst>
            </c:dLbl>
            <c:dLbl>
              <c:idx val="6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2ED0-4458-8019-5F4B95308C44}"/>
                </c:ext>
              </c:extLst>
            </c:dLbl>
            <c:dLbl>
              <c:idx val="6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ED0-4458-8019-5F4B95308C44}"/>
                </c:ext>
              </c:extLst>
            </c:dLbl>
            <c:dLbl>
              <c:idx val="6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ED0-4458-8019-5F4B95308C44}"/>
                </c:ext>
              </c:extLst>
            </c:dLbl>
            <c:dLbl>
              <c:idx val="6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ED0-4458-8019-5F4B95308C44}"/>
                </c:ext>
              </c:extLst>
            </c:dLbl>
            <c:dLbl>
              <c:idx val="6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ED0-4458-8019-5F4B95308C44}"/>
                </c:ext>
              </c:extLst>
            </c:dLbl>
            <c:dLbl>
              <c:idx val="7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2ED0-4458-8019-5F4B95308C44}"/>
                </c:ext>
              </c:extLst>
            </c:dLbl>
            <c:dLbl>
              <c:idx val="7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2ED0-4458-8019-5F4B95308C44}"/>
                </c:ext>
              </c:extLst>
            </c:dLbl>
            <c:dLbl>
              <c:idx val="7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2ED0-4458-8019-5F4B95308C44}"/>
                </c:ext>
              </c:extLst>
            </c:dLbl>
            <c:dLbl>
              <c:idx val="7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2ED0-4458-8019-5F4B95308C44}"/>
                </c:ext>
              </c:extLst>
            </c:dLbl>
            <c:dLbl>
              <c:idx val="7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2ED0-4458-8019-5F4B95308C44}"/>
                </c:ext>
              </c:extLst>
            </c:dLbl>
            <c:dLbl>
              <c:idx val="7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2ED0-4458-8019-5F4B95308C44}"/>
                </c:ext>
              </c:extLst>
            </c:dLbl>
            <c:dLbl>
              <c:idx val="7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2ED0-4458-8019-5F4B95308C44}"/>
                </c:ext>
              </c:extLst>
            </c:dLbl>
            <c:dLbl>
              <c:idx val="7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2ED0-4458-8019-5F4B95308C44}"/>
                </c:ext>
              </c:extLst>
            </c:dLbl>
            <c:dLbl>
              <c:idx val="7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2ED0-4458-8019-5F4B95308C44}"/>
                </c:ext>
              </c:extLst>
            </c:dLbl>
            <c:dLbl>
              <c:idx val="7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2ED0-4458-8019-5F4B95308C44}"/>
                </c:ext>
              </c:extLst>
            </c:dLbl>
            <c:dLbl>
              <c:idx val="8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2ED0-4458-8019-5F4B95308C44}"/>
                </c:ext>
              </c:extLst>
            </c:dLbl>
            <c:dLbl>
              <c:idx val="8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2ED0-4458-8019-5F4B95308C44}"/>
                </c:ext>
              </c:extLst>
            </c:dLbl>
            <c:dLbl>
              <c:idx val="8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2ED0-4458-8019-5F4B95308C44}"/>
                </c:ext>
              </c:extLst>
            </c:dLbl>
            <c:dLbl>
              <c:idx val="8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2ED0-4458-8019-5F4B95308C44}"/>
                </c:ext>
              </c:extLst>
            </c:dLbl>
            <c:dLbl>
              <c:idx val="8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2ED0-4458-8019-5F4B95308C44}"/>
                </c:ext>
              </c:extLst>
            </c:dLbl>
            <c:dLbl>
              <c:idx val="8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2ED0-4458-8019-5F4B95308C44}"/>
                </c:ext>
              </c:extLst>
            </c:dLbl>
            <c:dLbl>
              <c:idx val="8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2ED0-4458-8019-5F4B95308C44}"/>
                </c:ext>
              </c:extLst>
            </c:dLbl>
            <c:dLbl>
              <c:idx val="8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2ED0-4458-8019-5F4B95308C44}"/>
                </c:ext>
              </c:extLst>
            </c:dLbl>
            <c:dLbl>
              <c:idx val="8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2ED0-4458-8019-5F4B95308C44}"/>
                </c:ext>
              </c:extLst>
            </c:dLbl>
            <c:dLbl>
              <c:idx val="8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2ED0-4458-8019-5F4B95308C44}"/>
                </c:ext>
              </c:extLst>
            </c:dLbl>
            <c:dLbl>
              <c:idx val="9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2ED0-4458-8019-5F4B95308C44}"/>
                </c:ext>
              </c:extLst>
            </c:dLbl>
            <c:dLbl>
              <c:idx val="9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2ED0-4458-8019-5F4B95308C44}"/>
                </c:ext>
              </c:extLst>
            </c:dLbl>
            <c:dLbl>
              <c:idx val="9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2ED0-4458-8019-5F4B95308C44}"/>
                </c:ext>
              </c:extLst>
            </c:dLbl>
            <c:dLbl>
              <c:idx val="9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2ED0-4458-8019-5F4B95308C44}"/>
                </c:ext>
              </c:extLst>
            </c:dLbl>
            <c:dLbl>
              <c:idx val="9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2ED0-4458-8019-5F4B95308C44}"/>
                </c:ext>
              </c:extLst>
            </c:dLbl>
            <c:dLbl>
              <c:idx val="9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2ED0-4458-8019-5F4B95308C44}"/>
                </c:ext>
              </c:extLst>
            </c:dLbl>
            <c:dLbl>
              <c:idx val="9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2ED0-4458-8019-5F4B95308C44}"/>
                </c:ext>
              </c:extLst>
            </c:dLbl>
            <c:dLbl>
              <c:idx val="9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2ED0-4458-8019-5F4B95308C44}"/>
                </c:ext>
              </c:extLst>
            </c:dLbl>
            <c:dLbl>
              <c:idx val="9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2ED0-4458-8019-5F4B95308C44}"/>
                </c:ext>
              </c:extLst>
            </c:dLbl>
            <c:dLbl>
              <c:idx val="9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2ED0-4458-8019-5F4B95308C44}"/>
                </c:ext>
              </c:extLst>
            </c:dLbl>
            <c:dLbl>
              <c:idx val="10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5028-4687-9880-8ADC0197C59C}"/>
                </c:ext>
              </c:extLst>
            </c:dLbl>
            <c:dLbl>
              <c:idx val="10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6FC8-4D1C-A69C-F9FBB3B7DCF4}"/>
                </c:ext>
              </c:extLst>
            </c:dLbl>
            <c:dLbl>
              <c:idx val="10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5E62-487F-9992-F24726236A29}"/>
                </c:ext>
              </c:extLst>
            </c:dLbl>
            <c:dLbl>
              <c:idx val="10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59D-4438-AD3B-53E58948DF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青城!$E$2:$E$105</c:f>
              <c:numCache>
                <c:formatCode>General</c:formatCode>
                <c:ptCount val="104"/>
                <c:pt idx="0">
                  <c:v>459</c:v>
                </c:pt>
                <c:pt idx="1">
                  <c:v>464</c:v>
                </c:pt>
                <c:pt idx="2">
                  <c:v>465</c:v>
                </c:pt>
                <c:pt idx="3">
                  <c:v>461</c:v>
                </c:pt>
                <c:pt idx="4">
                  <c:v>462</c:v>
                </c:pt>
                <c:pt idx="5">
                  <c:v>475</c:v>
                </c:pt>
                <c:pt idx="6">
                  <c:v>465</c:v>
                </c:pt>
                <c:pt idx="7">
                  <c:v>467</c:v>
                </c:pt>
                <c:pt idx="8">
                  <c:v>464</c:v>
                </c:pt>
                <c:pt idx="9">
                  <c:v>465</c:v>
                </c:pt>
                <c:pt idx="10">
                  <c:v>473</c:v>
                </c:pt>
                <c:pt idx="11">
                  <c:v>476</c:v>
                </c:pt>
                <c:pt idx="12">
                  <c:v>465</c:v>
                </c:pt>
                <c:pt idx="13">
                  <c:v>475</c:v>
                </c:pt>
                <c:pt idx="14">
                  <c:v>473</c:v>
                </c:pt>
                <c:pt idx="15">
                  <c:v>467</c:v>
                </c:pt>
                <c:pt idx="16">
                  <c:v>468</c:v>
                </c:pt>
                <c:pt idx="17">
                  <c:v>467</c:v>
                </c:pt>
                <c:pt idx="18">
                  <c:v>468</c:v>
                </c:pt>
                <c:pt idx="19">
                  <c:v>470</c:v>
                </c:pt>
                <c:pt idx="20">
                  <c:v>474</c:v>
                </c:pt>
                <c:pt idx="21">
                  <c:v>474</c:v>
                </c:pt>
                <c:pt idx="22">
                  <c:v>472</c:v>
                </c:pt>
                <c:pt idx="23">
                  <c:v>468</c:v>
                </c:pt>
                <c:pt idx="24">
                  <c:v>463</c:v>
                </c:pt>
                <c:pt idx="25">
                  <c:v>470</c:v>
                </c:pt>
                <c:pt idx="26">
                  <c:v>476</c:v>
                </c:pt>
                <c:pt idx="27">
                  <c:v>470</c:v>
                </c:pt>
                <c:pt idx="28">
                  <c:v>472</c:v>
                </c:pt>
                <c:pt idx="29">
                  <c:v>478</c:v>
                </c:pt>
                <c:pt idx="30">
                  <c:v>485</c:v>
                </c:pt>
                <c:pt idx="31">
                  <c:v>473</c:v>
                </c:pt>
                <c:pt idx="32">
                  <c:v>469</c:v>
                </c:pt>
                <c:pt idx="33">
                  <c:v>480</c:v>
                </c:pt>
                <c:pt idx="34">
                  <c:v>479</c:v>
                </c:pt>
                <c:pt idx="35">
                  <c:v>479</c:v>
                </c:pt>
                <c:pt idx="36">
                  <c:v>481</c:v>
                </c:pt>
                <c:pt idx="37">
                  <c:v>474</c:v>
                </c:pt>
                <c:pt idx="38">
                  <c:v>471</c:v>
                </c:pt>
                <c:pt idx="39">
                  <c:v>473</c:v>
                </c:pt>
                <c:pt idx="40">
                  <c:v>488</c:v>
                </c:pt>
                <c:pt idx="41">
                  <c:v>489</c:v>
                </c:pt>
                <c:pt idx="42">
                  <c:v>468</c:v>
                </c:pt>
                <c:pt idx="43">
                  <c:v>473</c:v>
                </c:pt>
                <c:pt idx="44">
                  <c:v>473</c:v>
                </c:pt>
              </c:numCache>
            </c:numRef>
          </c:xVal>
          <c:yVal>
            <c:numRef>
              <c:f>青城!$D$2:$D$105</c:f>
              <c:numCache>
                <c:formatCode>General</c:formatCode>
                <c:ptCount val="104"/>
                <c:pt idx="0">
                  <c:v>510</c:v>
                </c:pt>
                <c:pt idx="1">
                  <c:v>482</c:v>
                </c:pt>
                <c:pt idx="2">
                  <c:v>459</c:v>
                </c:pt>
                <c:pt idx="3">
                  <c:v>484</c:v>
                </c:pt>
                <c:pt idx="4">
                  <c:v>467</c:v>
                </c:pt>
                <c:pt idx="5">
                  <c:v>463</c:v>
                </c:pt>
                <c:pt idx="6">
                  <c:v>458</c:v>
                </c:pt>
                <c:pt idx="7">
                  <c:v>469</c:v>
                </c:pt>
                <c:pt idx="8">
                  <c:v>484</c:v>
                </c:pt>
                <c:pt idx="9">
                  <c:v>519</c:v>
                </c:pt>
                <c:pt idx="10">
                  <c:v>465</c:v>
                </c:pt>
                <c:pt idx="11">
                  <c:v>485</c:v>
                </c:pt>
                <c:pt idx="12">
                  <c:v>528</c:v>
                </c:pt>
                <c:pt idx="13">
                  <c:v>470</c:v>
                </c:pt>
                <c:pt idx="14">
                  <c:v>478</c:v>
                </c:pt>
                <c:pt idx="15">
                  <c:v>492</c:v>
                </c:pt>
                <c:pt idx="16">
                  <c:v>494</c:v>
                </c:pt>
                <c:pt idx="17">
                  <c:v>516</c:v>
                </c:pt>
                <c:pt idx="18">
                  <c:v>492</c:v>
                </c:pt>
                <c:pt idx="19">
                  <c:v>524</c:v>
                </c:pt>
                <c:pt idx="20">
                  <c:v>486</c:v>
                </c:pt>
                <c:pt idx="21">
                  <c:v>465</c:v>
                </c:pt>
                <c:pt idx="22">
                  <c:v>468</c:v>
                </c:pt>
                <c:pt idx="23">
                  <c:v>477</c:v>
                </c:pt>
                <c:pt idx="24">
                  <c:v>520</c:v>
                </c:pt>
                <c:pt idx="25">
                  <c:v>490</c:v>
                </c:pt>
                <c:pt idx="26">
                  <c:v>494</c:v>
                </c:pt>
                <c:pt idx="27">
                  <c:v>525</c:v>
                </c:pt>
                <c:pt idx="28">
                  <c:v>480</c:v>
                </c:pt>
                <c:pt idx="29">
                  <c:v>463</c:v>
                </c:pt>
                <c:pt idx="30">
                  <c:v>471</c:v>
                </c:pt>
                <c:pt idx="31">
                  <c:v>488</c:v>
                </c:pt>
                <c:pt idx="32">
                  <c:v>534</c:v>
                </c:pt>
                <c:pt idx="33">
                  <c:v>491</c:v>
                </c:pt>
                <c:pt idx="34">
                  <c:v>468</c:v>
                </c:pt>
                <c:pt idx="35">
                  <c:v>482</c:v>
                </c:pt>
                <c:pt idx="36">
                  <c:v>499</c:v>
                </c:pt>
                <c:pt idx="37">
                  <c:v>481</c:v>
                </c:pt>
                <c:pt idx="38">
                  <c:v>534</c:v>
                </c:pt>
                <c:pt idx="39">
                  <c:v>540</c:v>
                </c:pt>
                <c:pt idx="40">
                  <c:v>495</c:v>
                </c:pt>
                <c:pt idx="41">
                  <c:v>477</c:v>
                </c:pt>
                <c:pt idx="42">
                  <c:v>475</c:v>
                </c:pt>
                <c:pt idx="43">
                  <c:v>464</c:v>
                </c:pt>
                <c:pt idx="44">
                  <c:v>477</c:v>
                </c:pt>
              </c:numCache>
            </c:numRef>
          </c:yVal>
          <c:smooth val="0"/>
          <c:extLst>
            <c:ext xmlns:c15="http://schemas.microsoft.com/office/drawing/2012/chart" uri="{02D57815-91ED-43cb-92C2-25804820EDAC}">
              <c15:datalabelsRange>
                <c15:f>青城!$F$2:$F$112</c15:f>
                <c15:dlblRangeCache>
                  <c:ptCount val="111"/>
                  <c:pt idx="0">
                    <c:v>及川徹ICO</c:v>
                  </c:pt>
                  <c:pt idx="1">
                    <c:v>岩泉一ICO</c:v>
                  </c:pt>
                  <c:pt idx="2">
                    <c:v>金田一勇太郎ICO</c:v>
                  </c:pt>
                  <c:pt idx="3">
                    <c:v>京谷賢太郎ICO</c:v>
                  </c:pt>
                  <c:pt idx="4">
                    <c:v>国見英ICO</c:v>
                  </c:pt>
                  <c:pt idx="5">
                    <c:v>渡親治ICO</c:v>
                  </c:pt>
                  <c:pt idx="6">
                    <c:v>松川一静ICO</c:v>
                  </c:pt>
                  <c:pt idx="7">
                    <c:v>花巻貴大ICO</c:v>
                  </c:pt>
                  <c:pt idx="8">
                    <c:v>矢巾秀ICO</c:v>
                  </c:pt>
                  <c:pt idx="9">
                    <c:v>Xmas及川徹ICO</c:v>
                  </c:pt>
                  <c:pt idx="10">
                    <c:v>雪遊び金田一勇太郎ICO</c:v>
                  </c:pt>
                  <c:pt idx="11">
                    <c:v>サバゲ岩泉一ICO</c:v>
                  </c:pt>
                  <c:pt idx="12">
                    <c:v>路地裏及川徹ICO</c:v>
                  </c:pt>
                  <c:pt idx="13">
                    <c:v>路地裏国見英ICO</c:v>
                  </c:pt>
                  <c:pt idx="14">
                    <c:v>バーガー花巻貴大ICO</c:v>
                  </c:pt>
                  <c:pt idx="15">
                    <c:v>梅雨京谷賢太郎ICO</c:v>
                  </c:pt>
                  <c:pt idx="16">
                    <c:v>キャンプ矢巾秀ICO</c:v>
                  </c:pt>
                  <c:pt idx="17">
                    <c:v>制服及川徹ICO</c:v>
                  </c:pt>
                  <c:pt idx="18">
                    <c:v>制服岩泉一ICO</c:v>
                  </c:pt>
                  <c:pt idx="19">
                    <c:v>バカンス及川徹ICO</c:v>
                  </c:pt>
                  <c:pt idx="20">
                    <c:v>バカンス岩泉一ICO</c:v>
                  </c:pt>
                  <c:pt idx="21">
                    <c:v>バカンス松川一静ICO</c:v>
                  </c:pt>
                  <c:pt idx="22">
                    <c:v>カンフー金田一勇太郎ICO</c:v>
                  </c:pt>
                  <c:pt idx="23">
                    <c:v>カンフー国見英ICO</c:v>
                  </c:pt>
                  <c:pt idx="24">
                    <c:v>プール掃除及川徹ICO</c:v>
                  </c:pt>
                  <c:pt idx="25">
                    <c:v>プール掃除岩泉一ICO</c:v>
                  </c:pt>
                  <c:pt idx="26">
                    <c:v>路地裏2岩泉一ICO</c:v>
                  </c:pt>
                  <c:pt idx="27">
                    <c:v>2周年及川徹ICO</c:v>
                  </c:pt>
                  <c:pt idx="28">
                    <c:v>妖花巻貴大ICO</c:v>
                  </c:pt>
                  <c:pt idx="29">
                    <c:v>中学生金田一勇太郎ICO</c:v>
                  </c:pt>
                  <c:pt idx="30">
                    <c:v>中学生国見英ICO</c:v>
                  </c:pt>
                  <c:pt idx="31">
                    <c:v>水着2京谷賢太郎ICO</c:v>
                  </c:pt>
                  <c:pt idx="32">
                    <c:v>夏祭り2及川徹ICO</c:v>
                  </c:pt>
                  <c:pt idx="33">
                    <c:v>夏祭り2岩泉一ICO</c:v>
                  </c:pt>
                  <c:pt idx="34">
                    <c:v>焼き芋松川一静ICO</c:v>
                  </c:pt>
                  <c:pt idx="35">
                    <c:v>焼き芋花巻貴大ICO</c:v>
                  </c:pt>
                  <c:pt idx="36">
                    <c:v>Xmas3岩泉一ICO</c:v>
                  </c:pt>
                  <c:pt idx="37">
                    <c:v>寝正月国見英ICO</c:v>
                  </c:pt>
                  <c:pt idx="38">
                    <c:v>和装体験及川徹ICO</c:v>
                  </c:pt>
                  <c:pt idx="39">
                    <c:v>格ゲー及川徹ICO</c:v>
                  </c:pt>
                  <c:pt idx="40">
                    <c:v>梅雨2岩泉一ICO</c:v>
                  </c:pt>
                  <c:pt idx="41">
                    <c:v>梅雨2国見英ICO</c:v>
                  </c:pt>
                  <c:pt idx="42">
                    <c:v>職業体験国見英ICO</c:v>
                  </c:pt>
                  <c:pt idx="43">
                    <c:v>アート松川一静ICO</c:v>
                  </c:pt>
                  <c:pt idx="44">
                    <c:v>アート花巻貴大ICO</c:v>
                  </c:pt>
                </c15:dlblRangeCache>
              </c15:datalabelsRange>
            </c:ext>
            <c:ext xmlns:c16="http://schemas.microsoft.com/office/drawing/2014/chart" uri="{C3380CC4-5D6E-409C-BE32-E72D297353CC}">
              <c16:uniqueId val="{0000001F-D64C-4F4B-A79B-996E4DDA24D1}"/>
            </c:ext>
          </c:extLst>
        </c:ser>
        <c:ser>
          <c:idx val="3"/>
          <c:order val="3"/>
          <c:tx>
            <c:v>角川学園高校</c:v>
          </c:tx>
          <c:spPr>
            <a:ln w="25400" cap="rnd">
              <a:noFill/>
              <a:round/>
            </a:ln>
            <a:effectLst/>
          </c:spPr>
          <c:marker>
            <c:symbol val="triangle"/>
            <c:size val="13"/>
            <c:spPr>
              <a:solidFill>
                <a:schemeClr val="accent4"/>
              </a:solidFill>
              <a:ln w="9525">
                <a:noFill/>
              </a:ln>
              <a:effectLst/>
            </c:spPr>
          </c:marker>
          <c:dLbls>
            <c:dLbl>
              <c:idx val="0"/>
              <c:layout>
                <c:manualLayout>
                  <c:x val="-4.7956868342221431E-2"/>
                  <c:y val="-7.3940522805020061E-3"/>
                </c:manualLayout>
              </c:layout>
              <c:tx>
                <c:rich>
                  <a:bodyPr/>
                  <a:lstStyle/>
                  <a:p>
                    <a:fld id="{AE71020D-9148-401D-AF17-8A02A801D89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0-D64C-4F4B-A79B-996E4DDA24D1}"/>
                </c:ext>
              </c:extLst>
            </c:dLbl>
            <c:dLbl>
              <c:idx val="1"/>
              <c:layout>
                <c:manualLayout>
                  <c:x val="-6.2405025540405251E-2"/>
                  <c:y val="-1.0023925939006483E-2"/>
                </c:manualLayout>
              </c:layout>
              <c:tx>
                <c:rich>
                  <a:bodyPr/>
                  <a:lstStyle/>
                  <a:p>
                    <a:fld id="{C7010C89-34DC-4260-AFFC-324C937A97B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1-D64C-4F4B-A79B-996E4DDA24D1}"/>
                </c:ext>
              </c:extLst>
            </c:dLbl>
            <c:dLbl>
              <c:idx val="2"/>
              <c:layout>
                <c:manualLayout>
                  <c:x val="5.3418503019278238E-2"/>
                  <c:y val="6.8255226678542391E-2"/>
                </c:manualLayout>
              </c:layout>
              <c:tx>
                <c:rich>
                  <a:bodyPr/>
                  <a:lstStyle/>
                  <a:p>
                    <a:fld id="{3D0CBCC6-07C4-48D0-BE89-49422648E61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2-D64C-4F4B-A79B-996E4DDA24D1}"/>
                </c:ext>
              </c:extLst>
            </c:dLbl>
            <c:dLbl>
              <c:idx val="3"/>
              <c:layout>
                <c:manualLayout>
                  <c:x val="-1.6758870557685917E-2"/>
                  <c:y val="-9.0793837554409146E-3"/>
                </c:manualLayout>
              </c:layout>
              <c:tx>
                <c:rich>
                  <a:bodyPr/>
                  <a:lstStyle/>
                  <a:p>
                    <a:fld id="{63906967-D885-4EAA-951C-A9E46FCD3E8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3-D64C-4F4B-A79B-996E4DDA24D1}"/>
                </c:ext>
              </c:extLst>
            </c:dLbl>
            <c:dLbl>
              <c:idx val="4"/>
              <c:layout>
                <c:manualLayout>
                  <c:x val="-0.10091915623764973"/>
                  <c:y val="-8.7584642546970522E-3"/>
                </c:manualLayout>
              </c:layout>
              <c:tx>
                <c:rich>
                  <a:bodyPr/>
                  <a:lstStyle/>
                  <a:p>
                    <a:fld id="{F26260AE-4FC7-4933-BAE0-5C90D1CA0F3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4-D64C-4F4B-A79B-996E4DDA24D1}"/>
                </c:ext>
              </c:extLst>
            </c:dLbl>
            <c:dLbl>
              <c:idx val="5"/>
              <c:layout>
                <c:manualLayout>
                  <c:x val="1.6798139578222495E-3"/>
                  <c:y val="-7.190174546549538E-3"/>
                </c:manualLayout>
              </c:layout>
              <c:tx>
                <c:rich>
                  <a:bodyPr/>
                  <a:lstStyle/>
                  <a:p>
                    <a:fld id="{61BCFBCF-FF65-4E13-9B67-2D3F2E4C04D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5-D64C-4F4B-A79B-996E4DDA24D1}"/>
                </c:ext>
              </c:extLst>
            </c:dLbl>
            <c:dLbl>
              <c:idx val="6"/>
              <c:layout>
                <c:manualLayout>
                  <c:x val="-0.17743103551368553"/>
                  <c:y val="-5.0570539686682896E-2"/>
                </c:manualLayout>
              </c:layout>
              <c:tx>
                <c:rich>
                  <a:bodyPr/>
                  <a:lstStyle/>
                  <a:p>
                    <a:fld id="{7D562A55-DC09-456B-9311-69F19921BB7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6-D64C-4F4B-A79B-996E4DDA24D1}"/>
                </c:ext>
              </c:extLst>
            </c:dLbl>
            <c:dLbl>
              <c:idx val="7"/>
              <c:layout>
                <c:manualLayout>
                  <c:x val="-0.12343934699476515"/>
                  <c:y val="-1.8662594586328261E-2"/>
                </c:manualLayout>
              </c:layout>
              <c:tx>
                <c:rich>
                  <a:bodyPr/>
                  <a:lstStyle/>
                  <a:p>
                    <a:fld id="{52395C79-9B40-46BC-890E-00CC24EEE1D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7-D64C-4F4B-A79B-996E4DDA24D1}"/>
                </c:ext>
              </c:extLst>
            </c:dLbl>
            <c:dLbl>
              <c:idx val="8"/>
              <c:layout>
                <c:manualLayout>
                  <c:x val="-0.10423365228297182"/>
                  <c:y val="-1.8708932380956216E-2"/>
                </c:manualLayout>
              </c:layout>
              <c:tx>
                <c:rich>
                  <a:bodyPr/>
                  <a:lstStyle/>
                  <a:p>
                    <a:fld id="{BC6BD69A-5D0A-42DF-95C0-C28A4426530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9C6-4145-A5E5-B51164981EC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角川!$E$2:$E$10</c:f>
              <c:numCache>
                <c:formatCode>General</c:formatCode>
                <c:ptCount val="9"/>
                <c:pt idx="0">
                  <c:v>472</c:v>
                </c:pt>
                <c:pt idx="1">
                  <c:v>466</c:v>
                </c:pt>
                <c:pt idx="2">
                  <c:v>470</c:v>
                </c:pt>
                <c:pt idx="3">
                  <c:v>467</c:v>
                </c:pt>
                <c:pt idx="4">
                  <c:v>461</c:v>
                </c:pt>
                <c:pt idx="5">
                  <c:v>468</c:v>
                </c:pt>
                <c:pt idx="6">
                  <c:v>463</c:v>
                </c:pt>
                <c:pt idx="7">
                  <c:v>476</c:v>
                </c:pt>
                <c:pt idx="8">
                  <c:v>469</c:v>
                </c:pt>
              </c:numCache>
            </c:numRef>
          </c:xVal>
          <c:yVal>
            <c:numRef>
              <c:f>角川!$D$2:$D$10</c:f>
              <c:numCache>
                <c:formatCode>General</c:formatCode>
                <c:ptCount val="9"/>
                <c:pt idx="0">
                  <c:v>484</c:v>
                </c:pt>
                <c:pt idx="1">
                  <c:v>465</c:v>
                </c:pt>
                <c:pt idx="2">
                  <c:v>457</c:v>
                </c:pt>
                <c:pt idx="3">
                  <c:v>464</c:v>
                </c:pt>
                <c:pt idx="4">
                  <c:v>468</c:v>
                </c:pt>
                <c:pt idx="5">
                  <c:v>462</c:v>
                </c:pt>
                <c:pt idx="6">
                  <c:v>469</c:v>
                </c:pt>
                <c:pt idx="7">
                  <c:v>494</c:v>
                </c:pt>
                <c:pt idx="8">
                  <c:v>477</c:v>
                </c:pt>
              </c:numCache>
            </c:numRef>
          </c:yVal>
          <c:smooth val="0"/>
          <c:extLst>
            <c:ext xmlns:c15="http://schemas.microsoft.com/office/drawing/2012/chart" uri="{02D57815-91ED-43cb-92C2-25804820EDAC}">
              <c15:datalabelsRange>
                <c15:f>角川!$F$2:$F$101</c15:f>
                <c15:dlblRangeCache>
                  <c:ptCount val="100"/>
                  <c:pt idx="0">
                    <c:v>古牧譲ICO</c:v>
                  </c:pt>
                  <c:pt idx="1">
                    <c:v>浅虫快人ICO</c:v>
                  </c:pt>
                  <c:pt idx="2">
                    <c:v>南田大志ICO</c:v>
                  </c:pt>
                  <c:pt idx="3">
                    <c:v>湯川良明ICO</c:v>
                  </c:pt>
                  <c:pt idx="4">
                    <c:v>稲垣功ICO</c:v>
                  </c:pt>
                  <c:pt idx="5">
                    <c:v>馬門英治ICO</c:v>
                  </c:pt>
                  <c:pt idx="6">
                    <c:v>百沢雄大ICO</c:v>
                  </c:pt>
                  <c:pt idx="7">
                    <c:v>雪遊び古牧譲ICO</c:v>
                  </c:pt>
                  <c:pt idx="8">
                    <c:v>職業体験百沢雄大ICO</c:v>
                  </c:pt>
                </c15:dlblRangeCache>
              </c15:datalabelsRange>
            </c:ext>
            <c:ext xmlns:c16="http://schemas.microsoft.com/office/drawing/2014/chart" uri="{C3380CC4-5D6E-409C-BE32-E72D297353CC}">
              <c16:uniqueId val="{00000028-D64C-4F4B-A79B-996E4DDA24D1}"/>
            </c:ext>
          </c:extLst>
        </c:ser>
        <c:ser>
          <c:idx val="4"/>
          <c:order val="4"/>
          <c:tx>
            <c:v>稲荷崎高校</c:v>
          </c:tx>
          <c:spPr>
            <a:ln w="25400" cap="rnd">
              <a:noFill/>
              <a:round/>
            </a:ln>
            <a:effectLst/>
          </c:spPr>
          <c:marker>
            <c:symbol val="diamond"/>
            <c:size val="10"/>
            <c:spPr>
              <a:solidFill>
                <a:schemeClr val="tx1"/>
              </a:solidFill>
              <a:ln w="9525">
                <a:noFill/>
              </a:ln>
              <a:effectLst/>
            </c:spPr>
          </c:marker>
          <c:dLbls>
            <c:dLbl>
              <c:idx val="0"/>
              <c:tx>
                <c:rich>
                  <a:bodyPr/>
                  <a:lstStyle/>
                  <a:p>
                    <a:fld id="{BA175594-D7B9-4419-B046-6C011D4B8C6C}"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9-D64C-4F4B-A79B-996E4DDA24D1}"/>
                </c:ext>
              </c:extLst>
            </c:dLbl>
            <c:dLbl>
              <c:idx val="1"/>
              <c:layout>
                <c:manualLayout>
                  <c:x val="-1.8076914026259272E-2"/>
                  <c:y val="-1.8411746089533425E-2"/>
                </c:manualLayout>
              </c:layout>
              <c:tx>
                <c:rich>
                  <a:bodyPr/>
                  <a:lstStyle/>
                  <a:p>
                    <a:fld id="{A9A5D633-E361-481C-B864-3932AF981CD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A-D64C-4F4B-A79B-996E4DDA24D1}"/>
                </c:ext>
              </c:extLst>
            </c:dLbl>
            <c:dLbl>
              <c:idx val="2"/>
              <c:layout>
                <c:manualLayout>
                  <c:x val="3.8883369015381995E-2"/>
                  <c:y val="1.188729239810438E-2"/>
                </c:manualLayout>
              </c:layout>
              <c:tx>
                <c:rich>
                  <a:bodyPr/>
                  <a:lstStyle/>
                  <a:p>
                    <a:fld id="{11A54C3B-BA6E-437B-9B8D-F6D1A703CF9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B-D64C-4F4B-A79B-996E4DDA24D1}"/>
                </c:ext>
              </c:extLst>
            </c:dLbl>
            <c:dLbl>
              <c:idx val="3"/>
              <c:layout>
                <c:manualLayout>
                  <c:x val="-7.3946434187470798E-3"/>
                  <c:y val="8.6590653061295649E-3"/>
                </c:manualLayout>
              </c:layout>
              <c:tx>
                <c:rich>
                  <a:bodyPr/>
                  <a:lstStyle/>
                  <a:p>
                    <a:fld id="{12BE0319-D1E9-4080-A289-868D0F670AF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C-D64C-4F4B-A79B-996E4DDA24D1}"/>
                </c:ext>
              </c:extLst>
            </c:dLbl>
            <c:dLbl>
              <c:idx val="4"/>
              <c:layout>
                <c:manualLayout>
                  <c:x val="-2.5741436447912339E-2"/>
                  <c:y val="-1.5998502181880925E-2"/>
                </c:manualLayout>
              </c:layout>
              <c:tx>
                <c:rich>
                  <a:bodyPr/>
                  <a:lstStyle/>
                  <a:p>
                    <a:fld id="{61BAD83C-EDE5-4B1C-B40A-424D90A719E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D64C-4F4B-A79B-996E4DDA24D1}"/>
                </c:ext>
              </c:extLst>
            </c:dLbl>
            <c:dLbl>
              <c:idx val="5"/>
              <c:layout>
                <c:manualLayout>
                  <c:x val="2.4959874230119208E-2"/>
                  <c:y val="4.969315991275168E-3"/>
                </c:manualLayout>
              </c:layout>
              <c:tx>
                <c:rich>
                  <a:bodyPr/>
                  <a:lstStyle/>
                  <a:p>
                    <a:fld id="{D6762582-368C-4E8C-93AF-0109C50BD44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E-D64C-4F4B-A79B-996E4DDA24D1}"/>
                </c:ext>
              </c:extLst>
            </c:dLbl>
            <c:dLbl>
              <c:idx val="6"/>
              <c:layout>
                <c:manualLayout>
                  <c:x val="1.1873388962467471E-2"/>
                  <c:y val="3.2791812923883886E-3"/>
                </c:manualLayout>
              </c:layout>
              <c:tx>
                <c:rich>
                  <a:bodyPr/>
                  <a:lstStyle/>
                  <a:p>
                    <a:fld id="{FED3C864-5CA8-4299-B09F-764C88B9411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D64C-4F4B-A79B-996E4DDA24D1}"/>
                </c:ext>
              </c:extLst>
            </c:dLbl>
            <c:dLbl>
              <c:idx val="7"/>
              <c:layout>
                <c:manualLayout>
                  <c:x val="-4.2783276842493528E-2"/>
                  <c:y val="-9.848975918649543E-3"/>
                </c:manualLayout>
              </c:layout>
              <c:tx>
                <c:rich>
                  <a:bodyPr/>
                  <a:lstStyle/>
                  <a:p>
                    <a:fld id="{E93F6679-8ECB-4730-8987-BB9BCCB072E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0-D64C-4F4B-A79B-996E4DDA24D1}"/>
                </c:ext>
              </c:extLst>
            </c:dLbl>
            <c:dLbl>
              <c:idx val="8"/>
              <c:layout>
                <c:manualLayout>
                  <c:x val="-2.455205953748231E-2"/>
                  <c:y val="-4.2267723631988158E-3"/>
                </c:manualLayout>
              </c:layout>
              <c:tx>
                <c:rich>
                  <a:bodyPr/>
                  <a:lstStyle/>
                  <a:p>
                    <a:fld id="{D39C2CA2-3999-4F4A-8B7B-497F5394B81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1-D64C-4F4B-A79B-996E4DDA24D1}"/>
                </c:ext>
              </c:extLst>
            </c:dLbl>
            <c:dLbl>
              <c:idx val="9"/>
              <c:layout>
                <c:manualLayout>
                  <c:x val="1.5603715710573838E-2"/>
                  <c:y val="-2.4611278087778972E-2"/>
                </c:manualLayout>
              </c:layout>
              <c:tx>
                <c:rich>
                  <a:bodyPr/>
                  <a:lstStyle/>
                  <a:p>
                    <a:fld id="{619B2257-B7BB-4DDF-B525-1F5CFD3BA09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F7E-4DAF-A2C8-D41EB6FDCAB7}"/>
                </c:ext>
              </c:extLst>
            </c:dLbl>
            <c:dLbl>
              <c:idx val="10"/>
              <c:layout>
                <c:manualLayout>
                  <c:x val="1.5823577220565193E-2"/>
                  <c:y val="-3.2920662972165199E-2"/>
                </c:manualLayout>
              </c:layout>
              <c:tx>
                <c:rich>
                  <a:bodyPr/>
                  <a:lstStyle/>
                  <a:p>
                    <a:fld id="{52F81839-7D8C-4E40-A60C-3D9FD0628D6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9C6-4145-A5E5-B51164981EC5}"/>
                </c:ext>
              </c:extLst>
            </c:dLbl>
            <c:dLbl>
              <c:idx val="11"/>
              <c:layout>
                <c:manualLayout>
                  <c:x val="-3.9453282353187444E-2"/>
                  <c:y val="9.7117013955868702E-3"/>
                </c:manualLayout>
              </c:layout>
              <c:tx>
                <c:rich>
                  <a:bodyPr/>
                  <a:lstStyle/>
                  <a:p>
                    <a:fld id="{13BB7F5C-A76E-4F3E-A8D6-D66BFA95C2F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CEDB-45E7-9C1C-661E63CABB98}"/>
                </c:ext>
              </c:extLst>
            </c:dLbl>
            <c:dLbl>
              <c:idx val="12"/>
              <c:layout>
                <c:manualLayout>
                  <c:x val="7.0835600447260163E-3"/>
                  <c:y val="-1.5539091873946184E-2"/>
                </c:manualLayout>
              </c:layout>
              <c:tx>
                <c:rich>
                  <a:bodyPr/>
                  <a:lstStyle/>
                  <a:p>
                    <a:fld id="{BF58D2F4-0576-4613-B387-6A23CD38126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FFA-4E80-A71B-896B264ADF7B}"/>
                </c:ext>
              </c:extLst>
            </c:dLbl>
            <c:dLbl>
              <c:idx val="13"/>
              <c:layout>
                <c:manualLayout>
                  <c:x val="-2.3236367133481151E-2"/>
                  <c:y val="-1.6536517322443149E-2"/>
                </c:manualLayout>
              </c:layout>
              <c:tx>
                <c:rich>
                  <a:bodyPr/>
                  <a:lstStyle/>
                  <a:p>
                    <a:fld id="{A361F9D0-9600-427A-8864-AFDE4A71F9E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9D2-4FAD-9C87-14F21DC269FC}"/>
                </c:ext>
              </c:extLst>
            </c:dLbl>
            <c:dLbl>
              <c:idx val="14"/>
              <c:layout>
                <c:manualLayout>
                  <c:x val="1.1700419686242727E-3"/>
                  <c:y val="-3.3482227388580096E-3"/>
                </c:manualLayout>
              </c:layout>
              <c:tx>
                <c:rich>
                  <a:bodyPr/>
                  <a:lstStyle/>
                  <a:p>
                    <a:fld id="{FB10CBC8-21A5-44CE-B70D-71F08CE0EE7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2C0-4244-A4A4-30D4142041F0}"/>
                </c:ext>
              </c:extLst>
            </c:dLbl>
            <c:dLbl>
              <c:idx val="15"/>
              <c:layout>
                <c:manualLayout>
                  <c:x val="2.1795762163593208E-2"/>
                  <c:y val="-7.3699893757201882E-4"/>
                </c:manualLayout>
              </c:layout>
              <c:tx>
                <c:rich>
                  <a:bodyPr/>
                  <a:lstStyle/>
                  <a:p>
                    <a:fld id="{5B46A115-F789-41D6-B28C-9060B529A31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B2B-4C93-8DBF-4C08F142BA33}"/>
                </c:ext>
              </c:extLst>
            </c:dLbl>
            <c:dLbl>
              <c:idx val="16"/>
              <c:layout>
                <c:manualLayout>
                  <c:x val="2.2617067552671784E-2"/>
                  <c:y val="-2.3675656308952886E-3"/>
                </c:manualLayout>
              </c:layout>
              <c:tx>
                <c:rich>
                  <a:bodyPr/>
                  <a:lstStyle/>
                  <a:p>
                    <a:fld id="{B774EE41-DB8D-4407-8AE1-88342B653AA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625-42C0-AFA0-FBA58258330A}"/>
                </c:ext>
              </c:extLst>
            </c:dLbl>
            <c:dLbl>
              <c:idx val="17"/>
              <c:layout>
                <c:manualLayout>
                  <c:x val="7.942123201975005E-3"/>
                  <c:y val="5.8161843937344993E-3"/>
                </c:manualLayout>
              </c:layout>
              <c:tx>
                <c:rich>
                  <a:bodyPr/>
                  <a:lstStyle/>
                  <a:p>
                    <a:fld id="{4ECAFD09-D8F8-456C-B666-F9C1294CA64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454-47DD-BB90-95B5FB864818}"/>
                </c:ext>
              </c:extLst>
            </c:dLbl>
            <c:dLbl>
              <c:idx val="18"/>
              <c:layout>
                <c:manualLayout>
                  <c:x val="1.0748661163151397E-2"/>
                  <c:y val="-1.9675048590579447E-3"/>
                </c:manualLayout>
              </c:layout>
              <c:tx>
                <c:rich>
                  <a:bodyPr/>
                  <a:lstStyle/>
                  <a:p>
                    <a:fld id="{D8EB3CE1-4C8B-411B-96E7-7C1DECD6265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E31-4761-AF67-ED6D9E3E7A7E}"/>
                </c:ext>
              </c:extLst>
            </c:dLbl>
            <c:dLbl>
              <c:idx val="19"/>
              <c:layout>
                <c:manualLayout>
                  <c:x val="-1.0471664437031857E-2"/>
                  <c:y val="-8.8710942580582011E-3"/>
                </c:manualLayout>
              </c:layout>
              <c:tx>
                <c:rich>
                  <a:bodyPr/>
                  <a:lstStyle/>
                  <a:p>
                    <a:fld id="{E2D18E4C-568B-4246-BB0C-A384073BF79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540-4340-9895-74372C02D1D2}"/>
                </c:ext>
              </c:extLst>
            </c:dLbl>
            <c:dLbl>
              <c:idx val="20"/>
              <c:layout>
                <c:manualLayout>
                  <c:x val="2.2236353126903145E-3"/>
                  <c:y val="-9.1758938436088872E-4"/>
                </c:manualLayout>
              </c:layout>
              <c:tx>
                <c:rich>
                  <a:bodyPr/>
                  <a:lstStyle/>
                  <a:p>
                    <a:fld id="{46D186F1-3DA6-4BBE-BABD-54A737BE9DA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AA3-4ABB-9317-4C7A7E12DC12}"/>
                </c:ext>
              </c:extLst>
            </c:dLbl>
            <c:dLbl>
              <c:idx val="21"/>
              <c:layout>
                <c:manualLayout>
                  <c:x val="-3.4459488459853194E-2"/>
                  <c:y val="-6.0508212600939729E-3"/>
                </c:manualLayout>
              </c:layout>
              <c:tx>
                <c:rich>
                  <a:bodyPr/>
                  <a:lstStyle/>
                  <a:p>
                    <a:fld id="{6842CD75-C9F1-4B96-8E2C-20B6F07C8A7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544-43C6-8102-95B28AFE3F6E}"/>
                </c:ext>
              </c:extLst>
            </c:dLbl>
            <c:dLbl>
              <c:idx val="22"/>
              <c:layout>
                <c:manualLayout>
                  <c:x val="-6.2895856776724532E-2"/>
                  <c:y val="3.8347174113174416E-3"/>
                </c:manualLayout>
              </c:layout>
              <c:tx>
                <c:rich>
                  <a:bodyPr/>
                  <a:lstStyle/>
                  <a:p>
                    <a:fld id="{F2A33374-73A0-4D6C-8B35-CC4ED86AFB2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F69-4BE0-8AD8-EC0798B56D0E}"/>
                </c:ext>
              </c:extLst>
            </c:dLbl>
            <c:dLbl>
              <c:idx val="23"/>
              <c:layout>
                <c:manualLayout>
                  <c:x val="3.6422606037961091E-3"/>
                  <c:y val="-2.6075491553768319E-3"/>
                </c:manualLayout>
              </c:layout>
              <c:tx>
                <c:rich>
                  <a:bodyPr/>
                  <a:lstStyle/>
                  <a:p>
                    <a:fld id="{357033A3-0BF4-40C1-9921-FFA31D93E09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40D-4854-8637-4705C0EA2D08}"/>
                </c:ext>
              </c:extLst>
            </c:dLbl>
            <c:dLbl>
              <c:idx val="24"/>
              <c:layout>
                <c:manualLayout>
                  <c:x val="1.2811947449396836E-2"/>
                  <c:y val="-5.3381356605570751E-3"/>
                </c:manualLayout>
              </c:layout>
              <c:tx>
                <c:rich>
                  <a:bodyPr/>
                  <a:lstStyle/>
                  <a:p>
                    <a:fld id="{E5AD41F2-97D1-4D9C-B44E-35653C31719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040D-4854-8637-4705C0EA2D08}"/>
                </c:ext>
              </c:extLst>
            </c:dLbl>
            <c:dLbl>
              <c:idx val="25"/>
              <c:layout>
                <c:manualLayout>
                  <c:x val="-4.5123854796571806E-2"/>
                  <c:y val="-2.9006984410324633E-3"/>
                </c:manualLayout>
              </c:layout>
              <c:tx>
                <c:rich>
                  <a:bodyPr/>
                  <a:lstStyle/>
                  <a:p>
                    <a:fld id="{DE895EE0-D787-4ACF-972D-B9B411407B8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CE4-48C6-B758-D5B60E383127}"/>
                </c:ext>
              </c:extLst>
            </c:dLbl>
            <c:dLbl>
              <c:idx val="26"/>
              <c:layout>
                <c:manualLayout>
                  <c:x val="-0.11830451623662971"/>
                  <c:y val="-1.6502133059396239E-3"/>
                </c:manualLayout>
              </c:layout>
              <c:tx>
                <c:rich>
                  <a:bodyPr/>
                  <a:lstStyle/>
                  <a:p>
                    <a:fld id="{9EF527C0-C4F0-4243-B40F-2DFE29F6D64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E5A-4DCC-B463-41423DE5C0F2}"/>
                </c:ext>
              </c:extLst>
            </c:dLbl>
            <c:dLbl>
              <c:idx val="27"/>
              <c:layout>
                <c:manualLayout>
                  <c:x val="-4.065720688498832E-2"/>
                  <c:y val="7.6073589095663257E-3"/>
                </c:manualLayout>
              </c:layout>
              <c:tx>
                <c:rich>
                  <a:bodyPr/>
                  <a:lstStyle/>
                  <a:p>
                    <a:fld id="{CDFC9C85-C301-44EF-912D-AE7544DEFF6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7A3-42A3-A260-76C83A7D17F6}"/>
                </c:ext>
              </c:extLst>
            </c:dLbl>
            <c:dLbl>
              <c:idx val="28"/>
              <c:tx>
                <c:rich>
                  <a:bodyPr/>
                  <a:lstStyle/>
                  <a:p>
                    <a:fld id="{4196D371-810E-45A5-9D7D-6257E9D54D51}"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5F5-4706-AD72-FBFE6B7FE6FE}"/>
                </c:ext>
              </c:extLst>
            </c:dLbl>
            <c:dLbl>
              <c:idx val="29"/>
              <c:layout>
                <c:manualLayout>
                  <c:x val="-3.0583983348960307E-2"/>
                  <c:y val="1.6967921465259057E-2"/>
                </c:manualLayout>
              </c:layout>
              <c:tx>
                <c:rich>
                  <a:bodyPr/>
                  <a:lstStyle/>
                  <a:p>
                    <a:fld id="{96D4B2AB-D223-4BE4-AA96-8D48FA0AC49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FB1-4DC1-9869-2146DE02F437}"/>
                </c:ext>
              </c:extLst>
            </c:dLbl>
            <c:dLbl>
              <c:idx val="30"/>
              <c:tx>
                <c:rich>
                  <a:bodyPr/>
                  <a:lstStyle/>
                  <a:p>
                    <a:fld id="{6C2A2BBB-29C1-4774-90FB-F2577916452D}"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A94-4336-A328-7E33BFC19004}"/>
                </c:ext>
              </c:extLst>
            </c:dLbl>
            <c:dLbl>
              <c:idx val="31"/>
              <c:tx>
                <c:rich>
                  <a:bodyPr/>
                  <a:lstStyle/>
                  <a:p>
                    <a:fld id="{DC97CBF4-0F8C-4DAC-A90D-E2890C9CD6AB}"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BAFA-4C1F-B096-BEE1A63CD962}"/>
                </c:ext>
              </c:extLst>
            </c:dLbl>
            <c:dLbl>
              <c:idx val="32"/>
              <c:tx>
                <c:rich>
                  <a:bodyPr/>
                  <a:lstStyle/>
                  <a:p>
                    <a:fld id="{AEB8B4ED-CED8-423F-97A4-DD9680A35FFC}"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BAFA-4C1F-B096-BEE1A63CD962}"/>
                </c:ext>
              </c:extLst>
            </c:dLbl>
            <c:dLbl>
              <c:idx val="33"/>
              <c:tx>
                <c:rich>
                  <a:bodyPr/>
                  <a:lstStyle/>
                  <a:p>
                    <a:fld id="{8A544A19-F8DD-454D-9123-287961710E95}"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2B5-4F37-982A-8C5E1A153BAF}"/>
                </c:ext>
              </c:extLst>
            </c:dLbl>
            <c:dLbl>
              <c:idx val="34"/>
              <c:layout>
                <c:manualLayout>
                  <c:x val="9.2353698207083383E-3"/>
                  <c:y val="1.4952114547837285E-3"/>
                </c:manualLayout>
              </c:layout>
              <c:tx>
                <c:rich>
                  <a:bodyPr/>
                  <a:lstStyle/>
                  <a:p>
                    <a:fld id="{7B90656E-C288-4E91-87A9-9C152C49F5F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E02-47E0-A685-905E6B440693}"/>
                </c:ext>
              </c:extLst>
            </c:dLbl>
            <c:dLbl>
              <c:idx val="35"/>
              <c:tx>
                <c:rich>
                  <a:bodyPr/>
                  <a:lstStyle/>
                  <a:p>
                    <a:fld id="{C3E6BD1C-7797-4CE9-B67F-2A9765CE3F3F}"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53F2-4CF6-9D6C-9A746863DBBD}"/>
                </c:ext>
              </c:extLst>
            </c:dLbl>
            <c:dLbl>
              <c:idx val="36"/>
              <c:tx>
                <c:rich>
                  <a:bodyPr/>
                  <a:lstStyle/>
                  <a:p>
                    <a:fld id="{94DAB41F-2F88-4169-8921-6D31A85690B6}"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D163-47DA-BCD0-F4F98AF55BC4}"/>
                </c:ext>
              </c:extLst>
            </c:dLbl>
            <c:dLbl>
              <c:idx val="37"/>
              <c:tx>
                <c:rich>
                  <a:bodyPr/>
                  <a:lstStyle/>
                  <a:p>
                    <a:fld id="{386D17C3-3582-4144-A84B-265A9DE7D256}"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EA3-49A0-9427-300B5B51AD70}"/>
                </c:ext>
              </c:extLst>
            </c:dLbl>
            <c:dLbl>
              <c:idx val="38"/>
              <c:tx>
                <c:rich>
                  <a:bodyPr/>
                  <a:lstStyle/>
                  <a:p>
                    <a:fld id="{6877179D-D9EA-4429-8572-CAF7AC827968}"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AC0D-4F1D-BAEA-9A76EBA1B12F}"/>
                </c:ext>
              </c:extLst>
            </c:dLbl>
            <c:dLbl>
              <c:idx val="39"/>
              <c:tx>
                <c:rich>
                  <a:bodyPr/>
                  <a:lstStyle/>
                  <a:p>
                    <a:fld id="{A0AE1FB8-11FB-4BD5-A9BD-11F6D2AA3AE2}"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EA3-49A0-9427-300B5B51AD70}"/>
                </c:ext>
              </c:extLst>
            </c:dLbl>
            <c:dLbl>
              <c:idx val="40"/>
              <c:tx>
                <c:rich>
                  <a:bodyPr/>
                  <a:lstStyle/>
                  <a:p>
                    <a:fld id="{06F27042-B5D9-4B28-8789-DEC85B3FD3BF}"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2EA3-49A0-9427-300B5B51AD70}"/>
                </c:ext>
              </c:extLst>
            </c:dLbl>
            <c:dLbl>
              <c:idx val="41"/>
              <c:tx>
                <c:rich>
                  <a:bodyPr/>
                  <a:lstStyle/>
                  <a:p>
                    <a:fld id="{CFFBBA9A-7316-494D-AF1E-A86ACCA17B47}"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EA3-49A0-9427-300B5B51AD70}"/>
                </c:ext>
              </c:extLst>
            </c:dLbl>
            <c:dLbl>
              <c:idx val="42"/>
              <c:layout>
                <c:manualLayout>
                  <c:x val="-4.2483398181726285E-2"/>
                  <c:y val="-1.7615640830125279E-2"/>
                </c:manualLayout>
              </c:layout>
              <c:tx>
                <c:rich>
                  <a:bodyPr/>
                  <a:lstStyle/>
                  <a:p>
                    <a:fld id="{810ED41B-3A91-4D62-9A71-FC7DA7CA223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2EA3-49A0-9427-300B5B51AD70}"/>
                </c:ext>
              </c:extLst>
            </c:dLbl>
            <c:dLbl>
              <c:idx val="4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EA3-49A0-9427-300B5B51AD70}"/>
                </c:ext>
              </c:extLst>
            </c:dLbl>
            <c:dLbl>
              <c:idx val="4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EA3-49A0-9427-300B5B51AD70}"/>
                </c:ext>
              </c:extLst>
            </c:dLbl>
            <c:dLbl>
              <c:idx val="4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EA3-49A0-9427-300B5B51AD70}"/>
                </c:ext>
              </c:extLst>
            </c:dLbl>
            <c:dLbl>
              <c:idx val="4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EA3-49A0-9427-300B5B51AD70}"/>
                </c:ext>
              </c:extLst>
            </c:dLbl>
            <c:dLbl>
              <c:idx val="4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EA3-49A0-9427-300B5B51AD70}"/>
                </c:ext>
              </c:extLst>
            </c:dLbl>
            <c:dLbl>
              <c:idx val="4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EA3-49A0-9427-300B5B51AD70}"/>
                </c:ext>
              </c:extLst>
            </c:dLbl>
            <c:dLbl>
              <c:idx val="4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EA3-49A0-9427-300B5B51AD70}"/>
                </c:ext>
              </c:extLst>
            </c:dLbl>
            <c:dLbl>
              <c:idx val="5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EA3-49A0-9427-300B5B51AD70}"/>
                </c:ext>
              </c:extLst>
            </c:dLbl>
            <c:dLbl>
              <c:idx val="5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EA3-49A0-9427-300B5B51AD70}"/>
                </c:ext>
              </c:extLst>
            </c:dLbl>
            <c:dLbl>
              <c:idx val="5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EA3-49A0-9427-300B5B51AD70}"/>
                </c:ext>
              </c:extLst>
            </c:dLbl>
            <c:dLbl>
              <c:idx val="5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EA3-49A0-9427-300B5B51AD70}"/>
                </c:ext>
              </c:extLst>
            </c:dLbl>
            <c:dLbl>
              <c:idx val="5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EA3-49A0-9427-300B5B51AD70}"/>
                </c:ext>
              </c:extLst>
            </c:dLbl>
            <c:dLbl>
              <c:idx val="5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EA3-49A0-9427-300B5B51AD70}"/>
                </c:ext>
              </c:extLst>
            </c:dLbl>
            <c:dLbl>
              <c:idx val="5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EA3-49A0-9427-300B5B51AD70}"/>
                </c:ext>
              </c:extLst>
            </c:dLbl>
            <c:dLbl>
              <c:idx val="5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EA3-49A0-9427-300B5B51AD70}"/>
                </c:ext>
              </c:extLst>
            </c:dLbl>
            <c:dLbl>
              <c:idx val="5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EA3-49A0-9427-300B5B51AD70}"/>
                </c:ext>
              </c:extLst>
            </c:dLbl>
            <c:dLbl>
              <c:idx val="5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EA3-49A0-9427-300B5B51AD70}"/>
                </c:ext>
              </c:extLst>
            </c:dLbl>
            <c:dLbl>
              <c:idx val="6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EA3-49A0-9427-300B5B51AD70}"/>
                </c:ext>
              </c:extLst>
            </c:dLbl>
            <c:dLbl>
              <c:idx val="6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2EA3-49A0-9427-300B5B51AD70}"/>
                </c:ext>
              </c:extLst>
            </c:dLbl>
            <c:dLbl>
              <c:idx val="6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2EA3-49A0-9427-300B5B51AD70}"/>
                </c:ext>
              </c:extLst>
            </c:dLbl>
            <c:dLbl>
              <c:idx val="6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EA3-49A0-9427-300B5B51AD70}"/>
                </c:ext>
              </c:extLst>
            </c:dLbl>
            <c:dLbl>
              <c:idx val="6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EA3-49A0-9427-300B5B51AD70}"/>
                </c:ext>
              </c:extLst>
            </c:dLbl>
            <c:dLbl>
              <c:idx val="6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EA3-49A0-9427-300B5B51AD70}"/>
                </c:ext>
              </c:extLst>
            </c:dLbl>
            <c:dLbl>
              <c:idx val="6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EA3-49A0-9427-300B5B51AD70}"/>
                </c:ext>
              </c:extLst>
            </c:dLbl>
            <c:dLbl>
              <c:idx val="6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2EA3-49A0-9427-300B5B51AD70}"/>
                </c:ext>
              </c:extLst>
            </c:dLbl>
            <c:dLbl>
              <c:idx val="6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2EA3-49A0-9427-300B5B51AD70}"/>
                </c:ext>
              </c:extLst>
            </c:dLbl>
            <c:dLbl>
              <c:idx val="6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2EA3-49A0-9427-300B5B51AD70}"/>
                </c:ext>
              </c:extLst>
            </c:dLbl>
            <c:dLbl>
              <c:idx val="7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2EA3-49A0-9427-300B5B51AD70}"/>
                </c:ext>
              </c:extLst>
            </c:dLbl>
            <c:dLbl>
              <c:idx val="7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2EA3-49A0-9427-300B5B51AD70}"/>
                </c:ext>
              </c:extLst>
            </c:dLbl>
            <c:dLbl>
              <c:idx val="7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2EA3-49A0-9427-300B5B51AD70}"/>
                </c:ext>
              </c:extLst>
            </c:dLbl>
            <c:dLbl>
              <c:idx val="7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2EA3-49A0-9427-300B5B51AD70}"/>
                </c:ext>
              </c:extLst>
            </c:dLbl>
            <c:dLbl>
              <c:idx val="7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2EA3-49A0-9427-300B5B51AD70}"/>
                </c:ext>
              </c:extLst>
            </c:dLbl>
            <c:dLbl>
              <c:idx val="7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2EA3-49A0-9427-300B5B51AD70}"/>
                </c:ext>
              </c:extLst>
            </c:dLbl>
            <c:dLbl>
              <c:idx val="7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2EA3-49A0-9427-300B5B51AD70}"/>
                </c:ext>
              </c:extLst>
            </c:dLbl>
            <c:dLbl>
              <c:idx val="7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2EA3-49A0-9427-300B5B51AD70}"/>
                </c:ext>
              </c:extLst>
            </c:dLbl>
            <c:dLbl>
              <c:idx val="7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2EA3-49A0-9427-300B5B51AD70}"/>
                </c:ext>
              </c:extLst>
            </c:dLbl>
            <c:dLbl>
              <c:idx val="7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2EA3-49A0-9427-300B5B51AD70}"/>
                </c:ext>
              </c:extLst>
            </c:dLbl>
            <c:dLbl>
              <c:idx val="8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2EA3-49A0-9427-300B5B51AD70}"/>
                </c:ext>
              </c:extLst>
            </c:dLbl>
            <c:dLbl>
              <c:idx val="8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2EA3-49A0-9427-300B5B51AD70}"/>
                </c:ext>
              </c:extLst>
            </c:dLbl>
            <c:dLbl>
              <c:idx val="8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2EA3-49A0-9427-300B5B51AD70}"/>
                </c:ext>
              </c:extLst>
            </c:dLbl>
            <c:dLbl>
              <c:idx val="8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2EA3-49A0-9427-300B5B51AD70}"/>
                </c:ext>
              </c:extLst>
            </c:dLbl>
            <c:dLbl>
              <c:idx val="8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2EA3-49A0-9427-300B5B51AD70}"/>
                </c:ext>
              </c:extLst>
            </c:dLbl>
            <c:dLbl>
              <c:idx val="8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2EA3-49A0-9427-300B5B51AD70}"/>
                </c:ext>
              </c:extLst>
            </c:dLbl>
            <c:dLbl>
              <c:idx val="8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2EA3-49A0-9427-300B5B51AD70}"/>
                </c:ext>
              </c:extLst>
            </c:dLbl>
            <c:dLbl>
              <c:idx val="8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2EA3-49A0-9427-300B5B51AD70}"/>
                </c:ext>
              </c:extLst>
            </c:dLbl>
            <c:dLbl>
              <c:idx val="8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2EA3-49A0-9427-300B5B51AD70}"/>
                </c:ext>
              </c:extLst>
            </c:dLbl>
            <c:dLbl>
              <c:idx val="8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2EA3-49A0-9427-300B5B51AD70}"/>
                </c:ext>
              </c:extLst>
            </c:dLbl>
            <c:dLbl>
              <c:idx val="9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2EA3-49A0-9427-300B5B51AD70}"/>
                </c:ext>
              </c:extLst>
            </c:dLbl>
            <c:dLbl>
              <c:idx val="9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2EA3-49A0-9427-300B5B51AD70}"/>
                </c:ext>
              </c:extLst>
            </c:dLbl>
            <c:dLbl>
              <c:idx val="9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2EA3-49A0-9427-300B5B51AD70}"/>
                </c:ext>
              </c:extLst>
            </c:dLbl>
            <c:dLbl>
              <c:idx val="9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2EA3-49A0-9427-300B5B51AD70}"/>
                </c:ext>
              </c:extLst>
            </c:dLbl>
            <c:dLbl>
              <c:idx val="9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2EA3-49A0-9427-300B5B51AD70}"/>
                </c:ext>
              </c:extLst>
            </c:dLbl>
            <c:dLbl>
              <c:idx val="9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2EA3-49A0-9427-300B5B51AD70}"/>
                </c:ext>
              </c:extLst>
            </c:dLbl>
            <c:dLbl>
              <c:idx val="9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2EA3-49A0-9427-300B5B51AD70}"/>
                </c:ext>
              </c:extLst>
            </c:dLbl>
            <c:dLbl>
              <c:idx val="9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2EA3-49A0-9427-300B5B51AD70}"/>
                </c:ext>
              </c:extLst>
            </c:dLbl>
            <c:dLbl>
              <c:idx val="9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2EA3-49A0-9427-300B5B51AD70}"/>
                </c:ext>
              </c:extLst>
            </c:dLbl>
            <c:dLbl>
              <c:idx val="9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D926-4228-9CF7-2A5B9B204D76}"/>
                </c:ext>
              </c:extLst>
            </c:dLbl>
            <c:dLbl>
              <c:idx val="10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965-48BB-AA68-FAF3F7841339}"/>
                </c:ext>
              </c:extLst>
            </c:dLbl>
            <c:dLbl>
              <c:idx val="10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8367-463B-BADE-19863A109472}"/>
                </c:ext>
              </c:extLst>
            </c:dLbl>
            <c:dLbl>
              <c:idx val="10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8367-463B-BADE-19863A10947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稲荷崎!$E$2:$E$104</c:f>
              <c:numCache>
                <c:formatCode>General</c:formatCode>
                <c:ptCount val="103"/>
                <c:pt idx="0">
                  <c:v>465</c:v>
                </c:pt>
                <c:pt idx="1">
                  <c:v>483</c:v>
                </c:pt>
                <c:pt idx="2">
                  <c:v>476</c:v>
                </c:pt>
                <c:pt idx="3">
                  <c:v>480</c:v>
                </c:pt>
                <c:pt idx="4">
                  <c:v>467</c:v>
                </c:pt>
                <c:pt idx="5">
                  <c:v>474</c:v>
                </c:pt>
                <c:pt idx="6">
                  <c:v>476</c:v>
                </c:pt>
                <c:pt idx="7">
                  <c:v>465</c:v>
                </c:pt>
                <c:pt idx="8">
                  <c:v>469</c:v>
                </c:pt>
                <c:pt idx="9">
                  <c:v>486</c:v>
                </c:pt>
                <c:pt idx="10">
                  <c:v>473</c:v>
                </c:pt>
                <c:pt idx="11">
                  <c:v>484</c:v>
                </c:pt>
                <c:pt idx="12">
                  <c:v>469</c:v>
                </c:pt>
                <c:pt idx="13">
                  <c:v>489</c:v>
                </c:pt>
                <c:pt idx="14">
                  <c:v>475</c:v>
                </c:pt>
                <c:pt idx="15">
                  <c:v>495</c:v>
                </c:pt>
                <c:pt idx="16">
                  <c:v>489</c:v>
                </c:pt>
                <c:pt idx="17">
                  <c:v>491</c:v>
                </c:pt>
                <c:pt idx="18">
                  <c:v>489</c:v>
                </c:pt>
                <c:pt idx="19">
                  <c:v>484</c:v>
                </c:pt>
                <c:pt idx="20">
                  <c:v>475</c:v>
                </c:pt>
                <c:pt idx="21">
                  <c:v>491</c:v>
                </c:pt>
                <c:pt idx="22">
                  <c:v>482</c:v>
                </c:pt>
                <c:pt idx="23">
                  <c:v>475</c:v>
                </c:pt>
                <c:pt idx="24">
                  <c:v>471</c:v>
                </c:pt>
                <c:pt idx="25">
                  <c:v>490</c:v>
                </c:pt>
                <c:pt idx="26">
                  <c:v>478</c:v>
                </c:pt>
                <c:pt idx="27">
                  <c:v>494</c:v>
                </c:pt>
                <c:pt idx="28">
                  <c:v>492</c:v>
                </c:pt>
                <c:pt idx="29">
                  <c:v>473</c:v>
                </c:pt>
                <c:pt idx="30">
                  <c:v>491</c:v>
                </c:pt>
                <c:pt idx="31">
                  <c:v>496</c:v>
                </c:pt>
                <c:pt idx="32">
                  <c:v>471</c:v>
                </c:pt>
                <c:pt idx="33">
                  <c:v>497</c:v>
                </c:pt>
                <c:pt idx="34">
                  <c:v>497</c:v>
                </c:pt>
                <c:pt idx="35">
                  <c:v>484</c:v>
                </c:pt>
                <c:pt idx="36">
                  <c:v>479</c:v>
                </c:pt>
                <c:pt idx="37">
                  <c:v>501</c:v>
                </c:pt>
                <c:pt idx="38">
                  <c:v>496</c:v>
                </c:pt>
                <c:pt idx="39">
                  <c:v>481</c:v>
                </c:pt>
                <c:pt idx="40">
                  <c:v>499</c:v>
                </c:pt>
                <c:pt idx="41">
                  <c:v>495</c:v>
                </c:pt>
                <c:pt idx="42">
                  <c:v>469</c:v>
                </c:pt>
              </c:numCache>
            </c:numRef>
          </c:xVal>
          <c:yVal>
            <c:numRef>
              <c:f>稲荷崎!$D$2:$D$104</c:f>
              <c:numCache>
                <c:formatCode>General</c:formatCode>
                <c:ptCount val="103"/>
                <c:pt idx="0">
                  <c:v>506</c:v>
                </c:pt>
                <c:pt idx="1">
                  <c:v>484</c:v>
                </c:pt>
                <c:pt idx="2">
                  <c:v>477</c:v>
                </c:pt>
                <c:pt idx="3">
                  <c:v>478</c:v>
                </c:pt>
                <c:pt idx="4">
                  <c:v>479</c:v>
                </c:pt>
                <c:pt idx="5">
                  <c:v>464</c:v>
                </c:pt>
                <c:pt idx="6">
                  <c:v>466</c:v>
                </c:pt>
                <c:pt idx="7">
                  <c:v>474</c:v>
                </c:pt>
                <c:pt idx="8">
                  <c:v>470</c:v>
                </c:pt>
                <c:pt idx="9">
                  <c:v>486</c:v>
                </c:pt>
                <c:pt idx="10">
                  <c:v>487</c:v>
                </c:pt>
                <c:pt idx="11">
                  <c:v>483</c:v>
                </c:pt>
                <c:pt idx="12">
                  <c:v>516</c:v>
                </c:pt>
                <c:pt idx="13">
                  <c:v>492</c:v>
                </c:pt>
                <c:pt idx="14">
                  <c:v>530</c:v>
                </c:pt>
                <c:pt idx="15">
                  <c:v>500</c:v>
                </c:pt>
                <c:pt idx="16">
                  <c:v>490</c:v>
                </c:pt>
                <c:pt idx="17">
                  <c:v>493</c:v>
                </c:pt>
                <c:pt idx="18">
                  <c:v>479</c:v>
                </c:pt>
                <c:pt idx="19">
                  <c:v>489</c:v>
                </c:pt>
                <c:pt idx="20">
                  <c:v>512</c:v>
                </c:pt>
                <c:pt idx="21">
                  <c:v>492</c:v>
                </c:pt>
                <c:pt idx="22">
                  <c:v>470</c:v>
                </c:pt>
                <c:pt idx="23">
                  <c:v>478</c:v>
                </c:pt>
                <c:pt idx="24">
                  <c:v>524</c:v>
                </c:pt>
                <c:pt idx="25">
                  <c:v>484</c:v>
                </c:pt>
                <c:pt idx="26">
                  <c:v>491</c:v>
                </c:pt>
                <c:pt idx="27">
                  <c:v>490</c:v>
                </c:pt>
                <c:pt idx="28">
                  <c:v>490</c:v>
                </c:pt>
                <c:pt idx="29">
                  <c:v>523</c:v>
                </c:pt>
                <c:pt idx="30">
                  <c:v>486</c:v>
                </c:pt>
                <c:pt idx="31">
                  <c:v>497</c:v>
                </c:pt>
                <c:pt idx="32">
                  <c:v>490</c:v>
                </c:pt>
                <c:pt idx="33">
                  <c:v>490</c:v>
                </c:pt>
                <c:pt idx="34">
                  <c:v>495</c:v>
                </c:pt>
                <c:pt idx="35">
                  <c:v>472</c:v>
                </c:pt>
                <c:pt idx="36">
                  <c:v>536</c:v>
                </c:pt>
                <c:pt idx="37">
                  <c:v>502</c:v>
                </c:pt>
                <c:pt idx="38">
                  <c:v>492</c:v>
                </c:pt>
                <c:pt idx="39">
                  <c:v>535</c:v>
                </c:pt>
                <c:pt idx="40">
                  <c:v>506</c:v>
                </c:pt>
                <c:pt idx="41">
                  <c:v>499</c:v>
                </c:pt>
                <c:pt idx="42">
                  <c:v>516</c:v>
                </c:pt>
              </c:numCache>
            </c:numRef>
          </c:yVal>
          <c:smooth val="0"/>
          <c:extLst>
            <c:ext xmlns:c15="http://schemas.microsoft.com/office/drawing/2012/chart" uri="{02D57815-91ED-43cb-92C2-25804820EDAC}">
              <c15:datalabelsRange>
                <c15:f>稲荷崎!$F$2:$F$117</c15:f>
                <c15:dlblRangeCache>
                  <c:ptCount val="116"/>
                  <c:pt idx="0">
                    <c:v>宮侑ICO</c:v>
                  </c:pt>
                  <c:pt idx="1">
                    <c:v>宮治ICO</c:v>
                  </c:pt>
                  <c:pt idx="2">
                    <c:v>角名倫太郎ICO</c:v>
                  </c:pt>
                  <c:pt idx="3">
                    <c:v>北信介ICO</c:v>
                  </c:pt>
                  <c:pt idx="4">
                    <c:v>尾白アランICO</c:v>
                  </c:pt>
                  <c:pt idx="5">
                    <c:v>赤木路成ICO</c:v>
                  </c:pt>
                  <c:pt idx="6">
                    <c:v>大耳練ICO</c:v>
                  </c:pt>
                  <c:pt idx="7">
                    <c:v>理石平介ICO</c:v>
                  </c:pt>
                  <c:pt idx="8">
                    <c:v>銀島結ICO</c:v>
                  </c:pt>
                  <c:pt idx="9">
                    <c:v>Xmas北信介ICO</c:v>
                  </c:pt>
                  <c:pt idx="10">
                    <c:v>雪遊び尾白アランICO</c:v>
                  </c:pt>
                  <c:pt idx="11">
                    <c:v>サバゲ角名倫太郎ICO</c:v>
                  </c:pt>
                  <c:pt idx="12">
                    <c:v>RPG宮侑ICO</c:v>
                  </c:pt>
                  <c:pt idx="13">
                    <c:v>RPG宮治ICO</c:v>
                  </c:pt>
                  <c:pt idx="14">
                    <c:v>制服宮侑ICO</c:v>
                  </c:pt>
                  <c:pt idx="15">
                    <c:v>制服宮治ICO</c:v>
                  </c:pt>
                  <c:pt idx="16">
                    <c:v>制服角名倫太郎ICO</c:v>
                  </c:pt>
                  <c:pt idx="17">
                    <c:v>制服北信介ICO</c:v>
                  </c:pt>
                  <c:pt idx="18">
                    <c:v>花火角名倫太郎ICO</c:v>
                  </c:pt>
                  <c:pt idx="19">
                    <c:v>スパイ北信介ICO</c:v>
                  </c:pt>
                  <c:pt idx="20">
                    <c:v>カンフー宮侑ICO</c:v>
                  </c:pt>
                  <c:pt idx="21">
                    <c:v>カンフー宮治ICO</c:v>
                  </c:pt>
                  <c:pt idx="22">
                    <c:v>Xmas2赤木路成ICO</c:v>
                  </c:pt>
                  <c:pt idx="23">
                    <c:v>Xmas2銀島結ICO</c:v>
                  </c:pt>
                  <c:pt idx="24">
                    <c:v>新年2宮侑ICO</c:v>
                  </c:pt>
                  <c:pt idx="25">
                    <c:v>新年2北信介ICO</c:v>
                  </c:pt>
                  <c:pt idx="26">
                    <c:v>路地裏2角名倫太郎ICO</c:v>
                  </c:pt>
                  <c:pt idx="27">
                    <c:v>遊園地宮治ICO</c:v>
                  </c:pt>
                  <c:pt idx="28">
                    <c:v>職業体験2北信介ICO</c:v>
                  </c:pt>
                  <c:pt idx="29">
                    <c:v>サバゲ2宮侑ICO</c:v>
                  </c:pt>
                  <c:pt idx="30">
                    <c:v>水着2角名倫太郎ICO</c:v>
                  </c:pt>
                  <c:pt idx="31">
                    <c:v>夏祭り2宮治ICO</c:v>
                  </c:pt>
                  <c:pt idx="32">
                    <c:v>夏祭り2尾白アランICO</c:v>
                  </c:pt>
                  <c:pt idx="33">
                    <c:v>寝正月角名倫太郎ICO</c:v>
                  </c:pt>
                  <c:pt idx="34">
                    <c:v>和装体験北信介ICO</c:v>
                  </c:pt>
                  <c:pt idx="35">
                    <c:v>和装体験大耳練ICO</c:v>
                  </c:pt>
                  <c:pt idx="36">
                    <c:v>3周年宮侑ICO</c:v>
                  </c:pt>
                  <c:pt idx="37">
                    <c:v>3周年宮治ICO</c:v>
                  </c:pt>
                  <c:pt idx="38">
                    <c:v>3周年角名倫太郎ICO</c:v>
                  </c:pt>
                  <c:pt idx="39">
                    <c:v>思い出宮侑ICO</c:v>
                  </c:pt>
                  <c:pt idx="40">
                    <c:v>思い出宮治ICO</c:v>
                  </c:pt>
                  <c:pt idx="41">
                    <c:v>思い出北信介ICO</c:v>
                  </c:pt>
                  <c:pt idx="42">
                    <c:v>文化祭宮侑ICO</c:v>
                  </c:pt>
                </c15:dlblRangeCache>
              </c15:datalabelsRange>
            </c:ext>
            <c:ext xmlns:c16="http://schemas.microsoft.com/office/drawing/2014/chart" uri="{C3380CC4-5D6E-409C-BE32-E72D297353CC}">
              <c16:uniqueId val="{00000032-D64C-4F4B-A79B-996E4DDA24D1}"/>
            </c:ext>
          </c:extLst>
        </c:ser>
        <c:ser>
          <c:idx val="5"/>
          <c:order val="5"/>
          <c:tx>
            <c:v>白鳥沢学園高校</c:v>
          </c:tx>
          <c:spPr>
            <a:ln w="25400" cap="rnd">
              <a:noFill/>
              <a:round/>
            </a:ln>
            <a:effectLst/>
          </c:spPr>
          <c:marker>
            <c:symbol val="triangle"/>
            <c:size val="10"/>
            <c:spPr>
              <a:solidFill>
                <a:srgbClr val="7030A0"/>
              </a:solidFill>
              <a:ln w="9525">
                <a:noFill/>
              </a:ln>
              <a:effectLst/>
            </c:spPr>
          </c:marker>
          <c:dLbls>
            <c:dLbl>
              <c:idx val="0"/>
              <c:tx>
                <c:rich>
                  <a:bodyPr/>
                  <a:lstStyle/>
                  <a:p>
                    <a:fld id="{4E0CCE71-614E-4E7C-8F99-C4D5BFE0AF9B}"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3-D64C-4F4B-A79B-996E4DDA24D1}"/>
                </c:ext>
              </c:extLst>
            </c:dLbl>
            <c:dLbl>
              <c:idx val="1"/>
              <c:layout>
                <c:manualLayout>
                  <c:x val="-7.4289315565211232E-3"/>
                  <c:y val="-4.0116438983904303E-3"/>
                </c:manualLayout>
              </c:layout>
              <c:tx>
                <c:rich>
                  <a:bodyPr/>
                  <a:lstStyle/>
                  <a:p>
                    <a:fld id="{8609B9E3-301B-4E21-AF83-C7CD0F7FE11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D64C-4F4B-A79B-996E4DDA24D1}"/>
                </c:ext>
              </c:extLst>
            </c:dLbl>
            <c:dLbl>
              <c:idx val="2"/>
              <c:layout>
                <c:manualLayout>
                  <c:x val="-6.2905113236968605E-3"/>
                  <c:y val="-1.9780976834593185E-2"/>
                </c:manualLayout>
              </c:layout>
              <c:tx>
                <c:rich>
                  <a:bodyPr/>
                  <a:lstStyle/>
                  <a:p>
                    <a:fld id="{212A5465-7EEE-4176-B774-944494152DC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D64C-4F4B-A79B-996E4DDA24D1}"/>
                </c:ext>
              </c:extLst>
            </c:dLbl>
            <c:dLbl>
              <c:idx val="3"/>
              <c:layout>
                <c:manualLayout>
                  <c:x val="-0.16949326632933528"/>
                  <c:y val="1.1513556348383171E-2"/>
                </c:manualLayout>
              </c:layout>
              <c:tx>
                <c:rich>
                  <a:bodyPr/>
                  <a:lstStyle/>
                  <a:p>
                    <a:fld id="{A55471AB-3404-4BA3-B632-C2AFEFBF9B9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6-D64C-4F4B-A79B-996E4DDA24D1}"/>
                </c:ext>
              </c:extLst>
            </c:dLbl>
            <c:dLbl>
              <c:idx val="4"/>
              <c:layout>
                <c:manualLayout>
                  <c:x val="-2.5221888512481187E-2"/>
                  <c:y val="-7.8064731887675263E-3"/>
                </c:manualLayout>
              </c:layout>
              <c:tx>
                <c:rich>
                  <a:bodyPr/>
                  <a:lstStyle/>
                  <a:p>
                    <a:fld id="{6CBA7C46-52E9-4769-9F61-0E1C819F966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7-D64C-4F4B-A79B-996E4DDA24D1}"/>
                </c:ext>
              </c:extLst>
            </c:dLbl>
            <c:dLbl>
              <c:idx val="5"/>
              <c:layout>
                <c:manualLayout>
                  <c:x val="-1.1029995250624678E-2"/>
                  <c:y val="-1.96343119189866E-3"/>
                </c:manualLayout>
              </c:layout>
              <c:tx>
                <c:rich>
                  <a:bodyPr/>
                  <a:lstStyle/>
                  <a:p>
                    <a:fld id="{088054A2-D174-442E-8ABF-ACB4226193B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8-D64C-4F4B-A79B-996E4DDA24D1}"/>
                </c:ext>
              </c:extLst>
            </c:dLbl>
            <c:dLbl>
              <c:idx val="6"/>
              <c:layout>
                <c:manualLayout>
                  <c:x val="7.4226582486519102E-3"/>
                  <c:y val="-1.0101563940229697E-2"/>
                </c:manualLayout>
              </c:layout>
              <c:tx>
                <c:rich>
                  <a:bodyPr/>
                  <a:lstStyle/>
                  <a:p>
                    <a:fld id="{57BDFB5C-BBCA-4B6B-926B-EDE9794D987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D64C-4F4B-A79B-996E4DDA24D1}"/>
                </c:ext>
              </c:extLst>
            </c:dLbl>
            <c:dLbl>
              <c:idx val="7"/>
              <c:layout>
                <c:manualLayout>
                  <c:x val="-5.5876947705089261E-2"/>
                  <c:y val="4.0738226217716417E-2"/>
                </c:manualLayout>
              </c:layout>
              <c:tx>
                <c:rich>
                  <a:bodyPr/>
                  <a:lstStyle/>
                  <a:p>
                    <a:fld id="{23EB72FF-BFFE-42F0-AA36-B489DEC4925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A-D64C-4F4B-A79B-996E4DDA24D1}"/>
                </c:ext>
              </c:extLst>
            </c:dLbl>
            <c:dLbl>
              <c:idx val="8"/>
              <c:layout>
                <c:manualLayout>
                  <c:x val="2.5763573176078813E-2"/>
                  <c:y val="4.5370534487487848E-3"/>
                </c:manualLayout>
              </c:layout>
              <c:tx>
                <c:rich>
                  <a:bodyPr/>
                  <a:lstStyle/>
                  <a:p>
                    <a:fld id="{C55FC213-72DD-4C5D-BD12-5AB8B8C6F28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B-D64C-4F4B-A79B-996E4DDA24D1}"/>
                </c:ext>
              </c:extLst>
            </c:dLbl>
            <c:dLbl>
              <c:idx val="9"/>
              <c:layout>
                <c:manualLayout>
                  <c:x val="-5.7185853431879437E-2"/>
                  <c:y val="-2.8431264221892454E-2"/>
                </c:manualLayout>
              </c:layout>
              <c:tx>
                <c:rich>
                  <a:bodyPr/>
                  <a:lstStyle/>
                  <a:p>
                    <a:fld id="{60F171A2-A792-4927-A6F6-0211B33E5AA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D64C-4F4B-A79B-996E4DDA24D1}"/>
                </c:ext>
              </c:extLst>
            </c:dLbl>
            <c:dLbl>
              <c:idx val="10"/>
              <c:layout>
                <c:manualLayout>
                  <c:x val="1.6501257779948396E-2"/>
                  <c:y val="-7.3040844769860893E-3"/>
                </c:manualLayout>
              </c:layout>
              <c:tx>
                <c:rich>
                  <a:bodyPr/>
                  <a:lstStyle/>
                  <a:p>
                    <a:fld id="{8007CB21-4FF1-4BDA-9699-3F19AC10123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D-D64C-4F4B-A79B-996E4DDA24D1}"/>
                </c:ext>
              </c:extLst>
            </c:dLbl>
            <c:dLbl>
              <c:idx val="11"/>
              <c:layout>
                <c:manualLayout>
                  <c:x val="-1.4355374084519262E-2"/>
                  <c:y val="-1.6439724801624488E-2"/>
                </c:manualLayout>
              </c:layout>
              <c:tx>
                <c:rich>
                  <a:bodyPr/>
                  <a:lstStyle/>
                  <a:p>
                    <a:fld id="{1A9AC404-B35A-46E4-BFC6-292806844E5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E-D64C-4F4B-A79B-996E4DDA24D1}"/>
                </c:ext>
              </c:extLst>
            </c:dLbl>
            <c:dLbl>
              <c:idx val="12"/>
              <c:layout>
                <c:manualLayout>
                  <c:x val="-3.6870362143978881E-2"/>
                  <c:y val="-1.5884887412241516E-2"/>
                </c:manualLayout>
              </c:layout>
              <c:tx>
                <c:rich>
                  <a:bodyPr/>
                  <a:lstStyle/>
                  <a:p>
                    <a:fld id="{06BA593A-9B56-4947-AD52-BE86CD57A0A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F-D64C-4F4B-A79B-996E4DDA24D1}"/>
                </c:ext>
              </c:extLst>
            </c:dLbl>
            <c:dLbl>
              <c:idx val="13"/>
              <c:layout>
                <c:manualLayout>
                  <c:x val="2.8283510047930838E-2"/>
                  <c:y val="-9.2720097936023135E-3"/>
                </c:manualLayout>
              </c:layout>
              <c:tx>
                <c:rich>
                  <a:bodyPr/>
                  <a:lstStyle/>
                  <a:p>
                    <a:fld id="{BBC2C48D-B256-44E9-8DFE-F4CF6FEA2CF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A8-47E0-B0E9-8FC18BF2E7E1}"/>
                </c:ext>
              </c:extLst>
            </c:dLbl>
            <c:dLbl>
              <c:idx val="14"/>
              <c:layout>
                <c:manualLayout>
                  <c:x val="3.4820883188630712E-2"/>
                  <c:y val="-8.5388521495663762E-3"/>
                </c:manualLayout>
              </c:layout>
              <c:tx>
                <c:rich>
                  <a:bodyPr/>
                  <a:lstStyle/>
                  <a:p>
                    <a:fld id="{070595D8-1E8E-43CF-BDB0-E454BA59135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6EF-403C-A8B2-CF61F56A6C6A}"/>
                </c:ext>
              </c:extLst>
            </c:dLbl>
            <c:dLbl>
              <c:idx val="15"/>
              <c:layout>
                <c:manualLayout>
                  <c:x val="-3.9801802530203663E-2"/>
                  <c:y val="-1.7443612804523941E-2"/>
                </c:manualLayout>
              </c:layout>
              <c:tx>
                <c:rich>
                  <a:bodyPr/>
                  <a:lstStyle/>
                  <a:p>
                    <a:fld id="{AF5CB683-1504-4C11-B83F-AAF121F2795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4E6-4D47-8822-E73981152E2C}"/>
                </c:ext>
              </c:extLst>
            </c:dLbl>
            <c:dLbl>
              <c:idx val="16"/>
              <c:layout>
                <c:manualLayout>
                  <c:x val="9.9761657679406437E-3"/>
                  <c:y val="-3.5546512618714883E-3"/>
                </c:manualLayout>
              </c:layout>
              <c:tx>
                <c:rich>
                  <a:bodyPr/>
                  <a:lstStyle/>
                  <a:p>
                    <a:fld id="{A6F8BA1F-5551-4998-A7BC-EAD70A67C1F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273-468F-841C-652A74DA9FC2}"/>
                </c:ext>
              </c:extLst>
            </c:dLbl>
            <c:dLbl>
              <c:idx val="17"/>
              <c:layout>
                <c:manualLayout>
                  <c:x val="2.7250945341834521E-2"/>
                  <c:y val="-1.7770926292459747E-2"/>
                </c:manualLayout>
              </c:layout>
              <c:tx>
                <c:rich>
                  <a:bodyPr/>
                  <a:lstStyle/>
                  <a:p>
                    <a:fld id="{9FBF8FC6-1D2F-461F-B20A-EAD7FCD8EC2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091-41DE-830A-6D2C7C0064A5}"/>
                </c:ext>
              </c:extLst>
            </c:dLbl>
            <c:dLbl>
              <c:idx val="18"/>
              <c:layout>
                <c:manualLayout>
                  <c:x val="4.4066057592575475E-3"/>
                  <c:y val="-1.4985862499850965E-2"/>
                </c:manualLayout>
              </c:layout>
              <c:tx>
                <c:rich>
                  <a:bodyPr/>
                  <a:lstStyle/>
                  <a:p>
                    <a:fld id="{735DFC42-3A7A-4B65-B06F-638C4639DCC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2BF-4DC0-AE06-56FA463D4CB7}"/>
                </c:ext>
              </c:extLst>
            </c:dLbl>
            <c:dLbl>
              <c:idx val="19"/>
              <c:layout>
                <c:manualLayout>
                  <c:x val="-5.1453662291714945E-3"/>
                  <c:y val="-1.1915379905917782E-2"/>
                </c:manualLayout>
              </c:layout>
              <c:tx>
                <c:rich>
                  <a:bodyPr/>
                  <a:lstStyle/>
                  <a:p>
                    <a:fld id="{1DDCBF6B-D280-4E40-8A38-BC4ED24CBA8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150-48F9-8DFE-08DE4A949361}"/>
                </c:ext>
              </c:extLst>
            </c:dLbl>
            <c:dLbl>
              <c:idx val="20"/>
              <c:layout>
                <c:manualLayout>
                  <c:x val="2.1148052653742488E-2"/>
                  <c:y val="5.9635622906751271E-4"/>
                </c:manualLayout>
              </c:layout>
              <c:tx>
                <c:rich>
                  <a:bodyPr/>
                  <a:lstStyle/>
                  <a:p>
                    <a:fld id="{1C2A5FCB-EA9D-4780-BA12-CF3AD06AF32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E61-4EAA-95FF-D1233EB955D4}"/>
                </c:ext>
              </c:extLst>
            </c:dLbl>
            <c:dLbl>
              <c:idx val="21"/>
              <c:layout>
                <c:manualLayout>
                  <c:x val="-9.4143266564428989E-3"/>
                  <c:y val="-5.7177911875333351E-3"/>
                </c:manualLayout>
              </c:layout>
              <c:tx>
                <c:rich>
                  <a:bodyPr/>
                  <a:lstStyle/>
                  <a:p>
                    <a:fld id="{90B97D3F-409F-42BD-B6AD-DAF9B2C6F34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B3B-41A4-9BCD-3E86C059D4FD}"/>
                </c:ext>
              </c:extLst>
            </c:dLbl>
            <c:dLbl>
              <c:idx val="22"/>
              <c:layout>
                <c:manualLayout>
                  <c:x val="-2.0719522202926866E-3"/>
                  <c:y val="-3.3482227388580096E-3"/>
                </c:manualLayout>
              </c:layout>
              <c:tx>
                <c:rich>
                  <a:bodyPr/>
                  <a:lstStyle/>
                  <a:p>
                    <a:fld id="{39B637E6-D00C-4F51-822F-CE177475451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732-4BEA-B4B2-F905D412AEF1}"/>
                </c:ext>
              </c:extLst>
            </c:dLbl>
            <c:dLbl>
              <c:idx val="23"/>
              <c:layout>
                <c:manualLayout>
                  <c:x val="2.6221815246618291E-2"/>
                  <c:y val="-1.5072655657912225E-3"/>
                </c:manualLayout>
              </c:layout>
              <c:tx>
                <c:rich>
                  <a:bodyPr/>
                  <a:lstStyle/>
                  <a:p>
                    <a:fld id="{1ABFF77D-A6BE-4FE1-9977-C9244626D0D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69C-46E6-878F-82C03CA5C4B5}"/>
                </c:ext>
              </c:extLst>
            </c:dLbl>
            <c:dLbl>
              <c:idx val="24"/>
              <c:layout>
                <c:manualLayout>
                  <c:x val="1.4823794934701019E-2"/>
                  <c:y val="-1.3226952622833466E-2"/>
                </c:manualLayout>
              </c:layout>
              <c:tx>
                <c:rich>
                  <a:bodyPr/>
                  <a:lstStyle/>
                  <a:p>
                    <a:fld id="{80756DB9-7079-4D95-BF63-0FD8574F4FA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E0A-49B8-A432-C731C833D6C0}"/>
                </c:ext>
              </c:extLst>
            </c:dLbl>
            <c:dLbl>
              <c:idx val="25"/>
              <c:layout>
                <c:manualLayout>
                  <c:x val="2.6436756908591284E-3"/>
                  <c:y val="-1.3013247897458396E-2"/>
                </c:manualLayout>
              </c:layout>
              <c:tx>
                <c:rich>
                  <a:bodyPr/>
                  <a:lstStyle/>
                  <a:p>
                    <a:fld id="{4105EE86-7356-4E1E-A4CF-526606878C2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3A0-4915-8B29-B4510559E505}"/>
                </c:ext>
              </c:extLst>
            </c:dLbl>
            <c:dLbl>
              <c:idx val="26"/>
              <c:layout>
                <c:manualLayout>
                  <c:x val="-6.3671420050134798E-4"/>
                  <c:y val="-2.1047517955664934E-2"/>
                </c:manualLayout>
              </c:layout>
              <c:tx>
                <c:rich>
                  <a:bodyPr/>
                  <a:lstStyle/>
                  <a:p>
                    <a:fld id="{AE8FCB3A-9757-4BEF-8AC3-11B6FFD505E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E31-4D7C-8F55-9425027CAFBD}"/>
                </c:ext>
              </c:extLst>
            </c:dLbl>
            <c:dLbl>
              <c:idx val="27"/>
              <c:layout>
                <c:manualLayout>
                  <c:x val="1.8302391403855884E-2"/>
                  <c:y val="-6.3939470878764957E-3"/>
                </c:manualLayout>
              </c:layout>
              <c:tx>
                <c:rich>
                  <a:bodyPr/>
                  <a:lstStyle/>
                  <a:p>
                    <a:fld id="{6F9F9BC5-573C-4087-AA16-428BC30ED66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266-4105-AD4A-0C003FC7F07A}"/>
                </c:ext>
              </c:extLst>
            </c:dLbl>
            <c:dLbl>
              <c:idx val="28"/>
              <c:layout>
                <c:manualLayout>
                  <c:x val="-3.1435209384236037E-2"/>
                  <c:y val="-1.1750817138685829E-2"/>
                </c:manualLayout>
              </c:layout>
              <c:tx>
                <c:rich>
                  <a:bodyPr/>
                  <a:lstStyle/>
                  <a:p>
                    <a:fld id="{0CF0091F-7CEB-4512-9096-2BC71BD3A41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1C6-496E-8850-66C365965492}"/>
                </c:ext>
              </c:extLst>
            </c:dLbl>
            <c:dLbl>
              <c:idx val="29"/>
              <c:layout>
                <c:manualLayout>
                  <c:x val="-1.961144543200407E-2"/>
                  <c:y val="-1.3967435075615818E-2"/>
                </c:manualLayout>
              </c:layout>
              <c:tx>
                <c:rich>
                  <a:bodyPr/>
                  <a:lstStyle/>
                  <a:p>
                    <a:fld id="{6B9F0370-C698-44CB-B3B3-BA751CA1FCC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AAC-4626-B4E9-437FF1FB4C5E}"/>
                </c:ext>
              </c:extLst>
            </c:dLbl>
            <c:dLbl>
              <c:idx val="30"/>
              <c:tx>
                <c:rich>
                  <a:bodyPr/>
                  <a:lstStyle/>
                  <a:p>
                    <a:fld id="{29F33BFB-DFD3-43AE-BA73-B3DCDF9B0BC4}"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3AC0-4D67-A0C8-49C62EA6EF01}"/>
                </c:ext>
              </c:extLst>
            </c:dLbl>
            <c:dLbl>
              <c:idx val="31"/>
              <c:layout>
                <c:manualLayout>
                  <c:x val="1.1819380206823974E-2"/>
                  <c:y val="-2.2524253728042351E-3"/>
                </c:manualLayout>
              </c:layout>
              <c:tx>
                <c:rich>
                  <a:bodyPr/>
                  <a:lstStyle/>
                  <a:p>
                    <a:fld id="{5BE7E49E-4DDA-483F-89E9-802D279CDF7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EF0-4BC3-8F80-58631E6D4F8D}"/>
                </c:ext>
              </c:extLst>
            </c:dLbl>
            <c:dLbl>
              <c:idx val="32"/>
              <c:layout>
                <c:manualLayout>
                  <c:x val="3.185684588283464E-2"/>
                  <c:y val="-7.0773173628348616E-3"/>
                </c:manualLayout>
              </c:layout>
              <c:tx>
                <c:rich>
                  <a:bodyPr/>
                  <a:lstStyle/>
                  <a:p>
                    <a:fld id="{8433D75C-A940-4C37-AA1D-384DD7A876C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706-4AE3-8C83-72AF13295A79}"/>
                </c:ext>
              </c:extLst>
            </c:dLbl>
            <c:dLbl>
              <c:idx val="33"/>
              <c:tx>
                <c:rich>
                  <a:bodyPr/>
                  <a:lstStyle/>
                  <a:p>
                    <a:fld id="{365B9FF2-D9DB-4F2E-97FB-2D3ED73A1396}"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0073-4C52-A0A4-120694083BFE}"/>
                </c:ext>
              </c:extLst>
            </c:dLbl>
            <c:dLbl>
              <c:idx val="34"/>
              <c:tx>
                <c:rich>
                  <a:bodyPr/>
                  <a:lstStyle/>
                  <a:p>
                    <a:fld id="{66C4C1D7-E47D-4B2F-AA4A-F14A2C489370}"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6C7F-4F32-B61F-43D8CB3C2043}"/>
                </c:ext>
              </c:extLst>
            </c:dLbl>
            <c:dLbl>
              <c:idx val="35"/>
              <c:layout>
                <c:manualLayout>
                  <c:x val="-1.3255989650233984E-2"/>
                  <c:y val="4.9829491839264292E-3"/>
                </c:manualLayout>
              </c:layout>
              <c:tx>
                <c:rich>
                  <a:bodyPr/>
                  <a:lstStyle/>
                  <a:p>
                    <a:fld id="{15C2B58A-3A35-4B5B-AC06-94BBA31A2BE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616-4A2D-99DD-D56C7E0EC00D}"/>
                </c:ext>
              </c:extLst>
            </c:dLbl>
            <c:dLbl>
              <c:idx val="36"/>
              <c:tx>
                <c:rich>
                  <a:bodyPr/>
                  <a:lstStyle/>
                  <a:p>
                    <a:fld id="{E4CF0DAF-D013-445C-83FA-E6D7C94E62B8}"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22D-44F7-A3A2-A75E76D01534}"/>
                </c:ext>
              </c:extLst>
            </c:dLbl>
            <c:dLbl>
              <c:idx val="37"/>
              <c:tx>
                <c:rich>
                  <a:bodyPr/>
                  <a:lstStyle/>
                  <a:p>
                    <a:fld id="{013969AD-3BD7-4F39-923B-B64121E51ECE}"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F26-4F3F-A982-DB29243FD132}"/>
                </c:ext>
              </c:extLst>
            </c:dLbl>
            <c:dLbl>
              <c:idx val="38"/>
              <c:layout>
                <c:manualLayout>
                  <c:x val="3.7273238470300764E-2"/>
                  <c:y val="5.4286668100284111E-3"/>
                </c:manualLayout>
              </c:layout>
              <c:tx>
                <c:rich>
                  <a:bodyPr/>
                  <a:lstStyle/>
                  <a:p>
                    <a:fld id="{3D94BC5B-38C9-4601-A62D-33E3F8F834A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F26-4F3F-A982-DB29243FD132}"/>
                </c:ext>
              </c:extLst>
            </c:dLbl>
            <c:dLbl>
              <c:idx val="39"/>
              <c:tx>
                <c:rich>
                  <a:bodyPr/>
                  <a:lstStyle/>
                  <a:p>
                    <a:fld id="{81B1D293-7479-4E97-97C1-8786E48AFC7B}"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1F26-4F3F-A982-DB29243FD132}"/>
                </c:ext>
              </c:extLst>
            </c:dLbl>
            <c:dLbl>
              <c:idx val="40"/>
              <c:tx>
                <c:rich>
                  <a:bodyPr/>
                  <a:lstStyle/>
                  <a:p>
                    <a:fld id="{F5B91BD4-F73D-41EE-A5ED-F53DA4633594}"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1F26-4F3F-A982-DB29243FD132}"/>
                </c:ext>
              </c:extLst>
            </c:dLbl>
            <c:dLbl>
              <c:idx val="41"/>
              <c:layout>
                <c:manualLayout>
                  <c:x val="2.0158050253037494E-2"/>
                  <c:y val="3.4167713352086562E-4"/>
                </c:manualLayout>
              </c:layout>
              <c:tx>
                <c:rich>
                  <a:bodyPr/>
                  <a:lstStyle/>
                  <a:p>
                    <a:fld id="{7538FD84-1867-4BA2-8DF0-DAD6264CCFE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1F26-4F3F-A982-DB29243FD132}"/>
                </c:ext>
              </c:extLst>
            </c:dLbl>
            <c:dLbl>
              <c:idx val="4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1F26-4F3F-A982-DB29243FD132}"/>
                </c:ext>
              </c:extLst>
            </c:dLbl>
            <c:dLbl>
              <c:idx val="4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1F26-4F3F-A982-DB29243FD132}"/>
                </c:ext>
              </c:extLst>
            </c:dLbl>
            <c:dLbl>
              <c:idx val="4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1F26-4F3F-A982-DB29243FD132}"/>
                </c:ext>
              </c:extLst>
            </c:dLbl>
            <c:dLbl>
              <c:idx val="4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1F26-4F3F-A982-DB29243FD132}"/>
                </c:ext>
              </c:extLst>
            </c:dLbl>
            <c:dLbl>
              <c:idx val="4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1F26-4F3F-A982-DB29243FD132}"/>
                </c:ext>
              </c:extLst>
            </c:dLbl>
            <c:dLbl>
              <c:idx val="4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1F26-4F3F-A982-DB29243FD132}"/>
                </c:ext>
              </c:extLst>
            </c:dLbl>
            <c:dLbl>
              <c:idx val="4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1F26-4F3F-A982-DB29243FD132}"/>
                </c:ext>
              </c:extLst>
            </c:dLbl>
            <c:dLbl>
              <c:idx val="4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1F26-4F3F-A982-DB29243FD132}"/>
                </c:ext>
              </c:extLst>
            </c:dLbl>
            <c:dLbl>
              <c:idx val="5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1F26-4F3F-A982-DB29243FD132}"/>
                </c:ext>
              </c:extLst>
            </c:dLbl>
            <c:dLbl>
              <c:idx val="5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1F26-4F3F-A982-DB29243FD132}"/>
                </c:ext>
              </c:extLst>
            </c:dLbl>
            <c:dLbl>
              <c:idx val="5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1F26-4F3F-A982-DB29243FD132}"/>
                </c:ext>
              </c:extLst>
            </c:dLbl>
            <c:dLbl>
              <c:idx val="5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1F26-4F3F-A982-DB29243FD132}"/>
                </c:ext>
              </c:extLst>
            </c:dLbl>
            <c:dLbl>
              <c:idx val="5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1F26-4F3F-A982-DB29243FD132}"/>
                </c:ext>
              </c:extLst>
            </c:dLbl>
            <c:dLbl>
              <c:idx val="5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1F26-4F3F-A982-DB29243FD132}"/>
                </c:ext>
              </c:extLst>
            </c:dLbl>
            <c:dLbl>
              <c:idx val="5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1F26-4F3F-A982-DB29243FD132}"/>
                </c:ext>
              </c:extLst>
            </c:dLbl>
            <c:dLbl>
              <c:idx val="5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1F26-4F3F-A982-DB29243FD132}"/>
                </c:ext>
              </c:extLst>
            </c:dLbl>
            <c:dLbl>
              <c:idx val="5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1F26-4F3F-A982-DB29243FD132}"/>
                </c:ext>
              </c:extLst>
            </c:dLbl>
            <c:dLbl>
              <c:idx val="5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1F26-4F3F-A982-DB29243FD132}"/>
                </c:ext>
              </c:extLst>
            </c:dLbl>
            <c:dLbl>
              <c:idx val="6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1F26-4F3F-A982-DB29243FD132}"/>
                </c:ext>
              </c:extLst>
            </c:dLbl>
            <c:dLbl>
              <c:idx val="6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1F26-4F3F-A982-DB29243FD132}"/>
                </c:ext>
              </c:extLst>
            </c:dLbl>
            <c:dLbl>
              <c:idx val="6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1F26-4F3F-A982-DB29243FD132}"/>
                </c:ext>
              </c:extLst>
            </c:dLbl>
            <c:dLbl>
              <c:idx val="6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1F26-4F3F-A982-DB29243FD132}"/>
                </c:ext>
              </c:extLst>
            </c:dLbl>
            <c:dLbl>
              <c:idx val="6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1F26-4F3F-A982-DB29243FD132}"/>
                </c:ext>
              </c:extLst>
            </c:dLbl>
            <c:dLbl>
              <c:idx val="6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1F26-4F3F-A982-DB29243FD132}"/>
                </c:ext>
              </c:extLst>
            </c:dLbl>
            <c:dLbl>
              <c:idx val="6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1F26-4F3F-A982-DB29243FD132}"/>
                </c:ext>
              </c:extLst>
            </c:dLbl>
            <c:dLbl>
              <c:idx val="6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1F26-4F3F-A982-DB29243FD132}"/>
                </c:ext>
              </c:extLst>
            </c:dLbl>
            <c:dLbl>
              <c:idx val="6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1F26-4F3F-A982-DB29243FD132}"/>
                </c:ext>
              </c:extLst>
            </c:dLbl>
            <c:dLbl>
              <c:idx val="6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1F26-4F3F-A982-DB29243FD132}"/>
                </c:ext>
              </c:extLst>
            </c:dLbl>
            <c:dLbl>
              <c:idx val="7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1F26-4F3F-A982-DB29243FD132}"/>
                </c:ext>
              </c:extLst>
            </c:dLbl>
            <c:dLbl>
              <c:idx val="7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1F26-4F3F-A982-DB29243FD132}"/>
                </c:ext>
              </c:extLst>
            </c:dLbl>
            <c:dLbl>
              <c:idx val="7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1F26-4F3F-A982-DB29243FD132}"/>
                </c:ext>
              </c:extLst>
            </c:dLbl>
            <c:dLbl>
              <c:idx val="7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1F26-4F3F-A982-DB29243FD132}"/>
                </c:ext>
              </c:extLst>
            </c:dLbl>
            <c:dLbl>
              <c:idx val="7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1F26-4F3F-A982-DB29243FD132}"/>
                </c:ext>
              </c:extLst>
            </c:dLbl>
            <c:dLbl>
              <c:idx val="7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1F26-4F3F-A982-DB29243FD132}"/>
                </c:ext>
              </c:extLst>
            </c:dLbl>
            <c:dLbl>
              <c:idx val="7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1F26-4F3F-A982-DB29243FD132}"/>
                </c:ext>
              </c:extLst>
            </c:dLbl>
            <c:dLbl>
              <c:idx val="7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1F26-4F3F-A982-DB29243FD132}"/>
                </c:ext>
              </c:extLst>
            </c:dLbl>
            <c:dLbl>
              <c:idx val="7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1F26-4F3F-A982-DB29243FD132}"/>
                </c:ext>
              </c:extLst>
            </c:dLbl>
            <c:dLbl>
              <c:idx val="7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1F26-4F3F-A982-DB29243FD132}"/>
                </c:ext>
              </c:extLst>
            </c:dLbl>
            <c:dLbl>
              <c:idx val="8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1F26-4F3F-A982-DB29243FD132}"/>
                </c:ext>
              </c:extLst>
            </c:dLbl>
            <c:dLbl>
              <c:idx val="8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1F26-4F3F-A982-DB29243FD132}"/>
                </c:ext>
              </c:extLst>
            </c:dLbl>
            <c:dLbl>
              <c:idx val="8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1F26-4F3F-A982-DB29243FD132}"/>
                </c:ext>
              </c:extLst>
            </c:dLbl>
            <c:dLbl>
              <c:idx val="8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1F26-4F3F-A982-DB29243FD132}"/>
                </c:ext>
              </c:extLst>
            </c:dLbl>
            <c:dLbl>
              <c:idx val="8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1F26-4F3F-A982-DB29243FD132}"/>
                </c:ext>
              </c:extLst>
            </c:dLbl>
            <c:dLbl>
              <c:idx val="8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1F26-4F3F-A982-DB29243FD132}"/>
                </c:ext>
              </c:extLst>
            </c:dLbl>
            <c:dLbl>
              <c:idx val="8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1F26-4F3F-A982-DB29243FD132}"/>
                </c:ext>
              </c:extLst>
            </c:dLbl>
            <c:dLbl>
              <c:idx val="8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1F26-4F3F-A982-DB29243FD132}"/>
                </c:ext>
              </c:extLst>
            </c:dLbl>
            <c:dLbl>
              <c:idx val="8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1F26-4F3F-A982-DB29243FD132}"/>
                </c:ext>
              </c:extLst>
            </c:dLbl>
            <c:dLbl>
              <c:idx val="8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1F26-4F3F-A982-DB29243FD132}"/>
                </c:ext>
              </c:extLst>
            </c:dLbl>
            <c:dLbl>
              <c:idx val="9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1F26-4F3F-A982-DB29243FD132}"/>
                </c:ext>
              </c:extLst>
            </c:dLbl>
            <c:dLbl>
              <c:idx val="9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1F26-4F3F-A982-DB29243FD132}"/>
                </c:ext>
              </c:extLst>
            </c:dLbl>
            <c:dLbl>
              <c:idx val="9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1F26-4F3F-A982-DB29243FD132}"/>
                </c:ext>
              </c:extLst>
            </c:dLbl>
            <c:dLbl>
              <c:idx val="9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1F26-4F3F-A982-DB29243FD132}"/>
                </c:ext>
              </c:extLst>
            </c:dLbl>
            <c:dLbl>
              <c:idx val="9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1F26-4F3F-A982-DB29243FD132}"/>
                </c:ext>
              </c:extLst>
            </c:dLbl>
            <c:dLbl>
              <c:idx val="9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1F26-4F3F-A982-DB29243FD132}"/>
                </c:ext>
              </c:extLst>
            </c:dLbl>
            <c:dLbl>
              <c:idx val="9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1F26-4F3F-A982-DB29243FD132}"/>
                </c:ext>
              </c:extLst>
            </c:dLbl>
            <c:dLbl>
              <c:idx val="9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1F26-4F3F-A982-DB29243FD132}"/>
                </c:ext>
              </c:extLst>
            </c:dLbl>
            <c:dLbl>
              <c:idx val="9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1F26-4F3F-A982-DB29243FD132}"/>
                </c:ext>
              </c:extLst>
            </c:dLbl>
            <c:dLbl>
              <c:idx val="9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8F7-4451-A37E-3564B5B837E6}"/>
                </c:ext>
              </c:extLst>
            </c:dLbl>
            <c:dLbl>
              <c:idx val="10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DFC5-4353-8CA3-32E71D258208}"/>
                </c:ext>
              </c:extLst>
            </c:dLbl>
            <c:dLbl>
              <c:idx val="10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2EA3-49A0-9427-300B5B51AD70}"/>
                </c:ext>
              </c:extLst>
            </c:dLbl>
            <c:dLbl>
              <c:idx val="10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131-4BC0-9B4D-AED2CAAC57ED}"/>
                </c:ext>
              </c:extLst>
            </c:dLbl>
            <c:dLbl>
              <c:idx val="10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3B7-4FA4-BB84-197E950376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白鳥沢!$E$2:$E$105</c:f>
              <c:numCache>
                <c:formatCode>General</c:formatCode>
                <c:ptCount val="104"/>
                <c:pt idx="0">
                  <c:v>472</c:v>
                </c:pt>
                <c:pt idx="1">
                  <c:v>474</c:v>
                </c:pt>
                <c:pt idx="2">
                  <c:v>478</c:v>
                </c:pt>
                <c:pt idx="3">
                  <c:v>468</c:v>
                </c:pt>
                <c:pt idx="4">
                  <c:v>478</c:v>
                </c:pt>
                <c:pt idx="5">
                  <c:v>470</c:v>
                </c:pt>
                <c:pt idx="6">
                  <c:v>469</c:v>
                </c:pt>
                <c:pt idx="7">
                  <c:v>470</c:v>
                </c:pt>
                <c:pt idx="8">
                  <c:v>472</c:v>
                </c:pt>
                <c:pt idx="9">
                  <c:v>473</c:v>
                </c:pt>
                <c:pt idx="10">
                  <c:v>478</c:v>
                </c:pt>
                <c:pt idx="11">
                  <c:v>481</c:v>
                </c:pt>
                <c:pt idx="12">
                  <c:v>480</c:v>
                </c:pt>
                <c:pt idx="13">
                  <c:v>480</c:v>
                </c:pt>
                <c:pt idx="14">
                  <c:v>468</c:v>
                </c:pt>
                <c:pt idx="15">
                  <c:v>489</c:v>
                </c:pt>
                <c:pt idx="16">
                  <c:v>477</c:v>
                </c:pt>
                <c:pt idx="17">
                  <c:v>471</c:v>
                </c:pt>
                <c:pt idx="18">
                  <c:v>489</c:v>
                </c:pt>
                <c:pt idx="19">
                  <c:v>482</c:v>
                </c:pt>
                <c:pt idx="20">
                  <c:v>491</c:v>
                </c:pt>
                <c:pt idx="21">
                  <c:v>474</c:v>
                </c:pt>
                <c:pt idx="22">
                  <c:v>490</c:v>
                </c:pt>
                <c:pt idx="23">
                  <c:v>486</c:v>
                </c:pt>
                <c:pt idx="24">
                  <c:v>475</c:v>
                </c:pt>
                <c:pt idx="25">
                  <c:v>490</c:v>
                </c:pt>
                <c:pt idx="26">
                  <c:v>478</c:v>
                </c:pt>
                <c:pt idx="27">
                  <c:v>482</c:v>
                </c:pt>
                <c:pt idx="28">
                  <c:v>488</c:v>
                </c:pt>
                <c:pt idx="29">
                  <c:v>477</c:v>
                </c:pt>
                <c:pt idx="30">
                  <c:v>475</c:v>
                </c:pt>
                <c:pt idx="31">
                  <c:v>490</c:v>
                </c:pt>
                <c:pt idx="32">
                  <c:v>494</c:v>
                </c:pt>
                <c:pt idx="33">
                  <c:v>482</c:v>
                </c:pt>
                <c:pt idx="34">
                  <c:v>493</c:v>
                </c:pt>
                <c:pt idx="35">
                  <c:v>478</c:v>
                </c:pt>
                <c:pt idx="36">
                  <c:v>479</c:v>
                </c:pt>
                <c:pt idx="37">
                  <c:v>488</c:v>
                </c:pt>
                <c:pt idx="38">
                  <c:v>496</c:v>
                </c:pt>
                <c:pt idx="39">
                  <c:v>472</c:v>
                </c:pt>
                <c:pt idx="40">
                  <c:v>484</c:v>
                </c:pt>
                <c:pt idx="41">
                  <c:v>485</c:v>
                </c:pt>
              </c:numCache>
            </c:numRef>
          </c:xVal>
          <c:yVal>
            <c:numRef>
              <c:f>白鳥沢!$D$2:$D$38105</c:f>
              <c:numCache>
                <c:formatCode>General</c:formatCode>
                <c:ptCount val="38104"/>
                <c:pt idx="0">
                  <c:v>497</c:v>
                </c:pt>
                <c:pt idx="1">
                  <c:v>477</c:v>
                </c:pt>
                <c:pt idx="2">
                  <c:v>484</c:v>
                </c:pt>
                <c:pt idx="3">
                  <c:v>489</c:v>
                </c:pt>
                <c:pt idx="4">
                  <c:v>484</c:v>
                </c:pt>
                <c:pt idx="5">
                  <c:v>477</c:v>
                </c:pt>
                <c:pt idx="6">
                  <c:v>479</c:v>
                </c:pt>
                <c:pt idx="7">
                  <c:v>456</c:v>
                </c:pt>
                <c:pt idx="8">
                  <c:v>511</c:v>
                </c:pt>
                <c:pt idx="9">
                  <c:v>489</c:v>
                </c:pt>
                <c:pt idx="10">
                  <c:v>483</c:v>
                </c:pt>
                <c:pt idx="11">
                  <c:v>512</c:v>
                </c:pt>
                <c:pt idx="12">
                  <c:v>486</c:v>
                </c:pt>
                <c:pt idx="13">
                  <c:v>497</c:v>
                </c:pt>
                <c:pt idx="14">
                  <c:v>504</c:v>
                </c:pt>
                <c:pt idx="15">
                  <c:v>489</c:v>
                </c:pt>
                <c:pt idx="16">
                  <c:v>494</c:v>
                </c:pt>
                <c:pt idx="17">
                  <c:v>492</c:v>
                </c:pt>
                <c:pt idx="18">
                  <c:v>486</c:v>
                </c:pt>
                <c:pt idx="19">
                  <c:v>511</c:v>
                </c:pt>
                <c:pt idx="20">
                  <c:v>495</c:v>
                </c:pt>
                <c:pt idx="21">
                  <c:v>507</c:v>
                </c:pt>
                <c:pt idx="22">
                  <c:v>486</c:v>
                </c:pt>
                <c:pt idx="23">
                  <c:v>518</c:v>
                </c:pt>
                <c:pt idx="24">
                  <c:v>489</c:v>
                </c:pt>
                <c:pt idx="25">
                  <c:v>497</c:v>
                </c:pt>
                <c:pt idx="26">
                  <c:v>505</c:v>
                </c:pt>
                <c:pt idx="27">
                  <c:v>483</c:v>
                </c:pt>
                <c:pt idx="28">
                  <c:v>516</c:v>
                </c:pt>
                <c:pt idx="29">
                  <c:v>506</c:v>
                </c:pt>
                <c:pt idx="30">
                  <c:v>497</c:v>
                </c:pt>
                <c:pt idx="31">
                  <c:v>524</c:v>
                </c:pt>
                <c:pt idx="32">
                  <c:v>491</c:v>
                </c:pt>
                <c:pt idx="33">
                  <c:v>480</c:v>
                </c:pt>
                <c:pt idx="34">
                  <c:v>522</c:v>
                </c:pt>
                <c:pt idx="35">
                  <c:v>513</c:v>
                </c:pt>
                <c:pt idx="36">
                  <c:v>503</c:v>
                </c:pt>
                <c:pt idx="37">
                  <c:v>488</c:v>
                </c:pt>
                <c:pt idx="38">
                  <c:v>490</c:v>
                </c:pt>
                <c:pt idx="39">
                  <c:v>499</c:v>
                </c:pt>
                <c:pt idx="40">
                  <c:v>492</c:v>
                </c:pt>
                <c:pt idx="41">
                  <c:v>480</c:v>
                </c:pt>
              </c:numCache>
            </c:numRef>
          </c:yVal>
          <c:smooth val="0"/>
          <c:extLst>
            <c:ext xmlns:c15="http://schemas.microsoft.com/office/drawing/2012/chart" uri="{02D57815-91ED-43cb-92C2-25804820EDAC}">
              <c15:datalabelsRange>
                <c15:f>白鳥沢!$F$2:$F$113</c15:f>
                <c15:dlblRangeCache>
                  <c:ptCount val="112"/>
                  <c:pt idx="0">
                    <c:v>牛島若利ICO</c:v>
                  </c:pt>
                  <c:pt idx="1">
                    <c:v>天童覚ICO</c:v>
                  </c:pt>
                  <c:pt idx="2">
                    <c:v>五色工ICO</c:v>
                  </c:pt>
                  <c:pt idx="3">
                    <c:v>白布賢二郎ICO</c:v>
                  </c:pt>
                  <c:pt idx="4">
                    <c:v>大平獅音ICO</c:v>
                  </c:pt>
                  <c:pt idx="5">
                    <c:v>川西太一ICO</c:v>
                  </c:pt>
                  <c:pt idx="6">
                    <c:v>瀬見英太ICO</c:v>
                  </c:pt>
                  <c:pt idx="7">
                    <c:v>山形隼人ICO</c:v>
                  </c:pt>
                  <c:pt idx="8">
                    <c:v>新年牛島若利ICO</c:v>
                  </c:pt>
                  <c:pt idx="9">
                    <c:v>雪遊び瀬見英太ICO</c:v>
                  </c:pt>
                  <c:pt idx="10">
                    <c:v>路地裏川西太一ICO</c:v>
                  </c:pt>
                  <c:pt idx="11">
                    <c:v>制服牛島若利ICO</c:v>
                  </c:pt>
                  <c:pt idx="12">
                    <c:v>制服天童覚ICO</c:v>
                  </c:pt>
                  <c:pt idx="13">
                    <c:v>制服五色工ICO</c:v>
                  </c:pt>
                  <c:pt idx="14">
                    <c:v>制服白布賢二郎ICO</c:v>
                  </c:pt>
                  <c:pt idx="15">
                    <c:v>バカンス五色工ICO</c:v>
                  </c:pt>
                  <c:pt idx="16">
                    <c:v>バカンス白布賢二郎ICO</c:v>
                  </c:pt>
                  <c:pt idx="17">
                    <c:v>バカンス瀬見英太ICO</c:v>
                  </c:pt>
                  <c:pt idx="18">
                    <c:v>仮装天童覚ICO</c:v>
                  </c:pt>
                  <c:pt idx="19">
                    <c:v>文化祭2牛島若利ICO</c:v>
                  </c:pt>
                  <c:pt idx="20">
                    <c:v>Xmas2五色工ICO</c:v>
                  </c:pt>
                  <c:pt idx="21">
                    <c:v>路地裏2白布賢二郎ICO</c:v>
                  </c:pt>
                  <c:pt idx="22">
                    <c:v>遊園地天童覚ICO</c:v>
                  </c:pt>
                  <c:pt idx="23">
                    <c:v>妖牛島若利ICO</c:v>
                  </c:pt>
                  <c:pt idx="24">
                    <c:v>アート2瀬見英太ICO</c:v>
                  </c:pt>
                  <c:pt idx="25">
                    <c:v>サバゲ2五色工ICO</c:v>
                  </c:pt>
                  <c:pt idx="26">
                    <c:v>水着牛島若利ICO</c:v>
                  </c:pt>
                  <c:pt idx="27">
                    <c:v>水着天童覚ICO</c:v>
                  </c:pt>
                  <c:pt idx="28">
                    <c:v>ハロウィン牛島若利ICO</c:v>
                  </c:pt>
                  <c:pt idx="29">
                    <c:v>文化祭3白布賢二郎ICO</c:v>
                  </c:pt>
                  <c:pt idx="30">
                    <c:v>文化祭3瀬見英太ICO</c:v>
                  </c:pt>
                  <c:pt idx="31">
                    <c:v>Xmas3牛島若利ICO</c:v>
                  </c:pt>
                  <c:pt idx="32">
                    <c:v>Xmas3天童覚ICO</c:v>
                  </c:pt>
                  <c:pt idx="33">
                    <c:v>寝正月川西太一ICO</c:v>
                  </c:pt>
                  <c:pt idx="34">
                    <c:v>3周年牛島若利ICO</c:v>
                  </c:pt>
                  <c:pt idx="35">
                    <c:v>3周年白布賢二郎ICO</c:v>
                  </c:pt>
                  <c:pt idx="36">
                    <c:v>3周年瀬見英太ICO</c:v>
                  </c:pt>
                  <c:pt idx="37">
                    <c:v>格ゲー大平獅音ICO</c:v>
                  </c:pt>
                  <c:pt idx="38">
                    <c:v>思い出天童覚ICO</c:v>
                  </c:pt>
                  <c:pt idx="39">
                    <c:v>探偵白布賢二郎ICO</c:v>
                  </c:pt>
                  <c:pt idx="40">
                    <c:v>職業体験五色工ICO</c:v>
                  </c:pt>
                  <c:pt idx="41">
                    <c:v>文化祭天童覚ICO</c:v>
                  </c:pt>
                </c15:dlblRangeCache>
              </c15:datalabelsRange>
            </c:ext>
            <c:ext xmlns:c16="http://schemas.microsoft.com/office/drawing/2014/chart" uri="{C3380CC4-5D6E-409C-BE32-E72D297353CC}">
              <c16:uniqueId val="{00000040-D64C-4F4B-A79B-996E4DDA24D1}"/>
            </c:ext>
          </c:extLst>
        </c:ser>
        <c:ser>
          <c:idx val="6"/>
          <c:order val="6"/>
          <c:tx>
            <c:v>烏野高校</c:v>
          </c:tx>
          <c:spPr>
            <a:ln w="25400" cap="rnd">
              <a:noFill/>
              <a:round/>
            </a:ln>
            <a:effectLst/>
          </c:spPr>
          <c:marker>
            <c:symbol val="circle"/>
            <c:size val="8"/>
            <c:spPr>
              <a:solidFill>
                <a:srgbClr val="FF9900"/>
              </a:solidFill>
              <a:ln w="12700">
                <a:solidFill>
                  <a:schemeClr val="tx1"/>
                </a:solidFill>
              </a:ln>
              <a:effectLst/>
            </c:spPr>
          </c:marker>
          <c:dLbls>
            <c:dLbl>
              <c:idx val="0"/>
              <c:tx>
                <c:rich>
                  <a:bodyPr/>
                  <a:lstStyle/>
                  <a:p>
                    <a:fld id="{35F15FD2-8D17-46B1-B215-3D6CC30F2363}"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1-D64C-4F4B-A79B-996E4DDA24D1}"/>
                </c:ext>
              </c:extLst>
            </c:dLbl>
            <c:dLbl>
              <c:idx val="1"/>
              <c:tx>
                <c:rich>
                  <a:bodyPr/>
                  <a:lstStyle/>
                  <a:p>
                    <a:fld id="{3EC29791-D945-40C7-B71B-104C064E73BA}"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2-D64C-4F4B-A79B-996E4DDA24D1}"/>
                </c:ext>
              </c:extLst>
            </c:dLbl>
            <c:dLbl>
              <c:idx val="2"/>
              <c:layout>
                <c:manualLayout>
                  <c:x val="-5.4219425516331373E-4"/>
                  <c:y val="-4.8370376200833716E-3"/>
                </c:manualLayout>
              </c:layout>
              <c:tx>
                <c:rich>
                  <a:bodyPr/>
                  <a:lstStyle/>
                  <a:p>
                    <a:fld id="{50A3E0F2-2509-4576-AD4A-788EF106BE9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3-D64C-4F4B-A79B-996E4DDA24D1}"/>
                </c:ext>
              </c:extLst>
            </c:dLbl>
            <c:dLbl>
              <c:idx val="3"/>
              <c:tx>
                <c:rich>
                  <a:bodyPr/>
                  <a:lstStyle/>
                  <a:p>
                    <a:fld id="{CB22A056-94E9-4C5C-8ABB-BB190950AD72}"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4-D64C-4F4B-A79B-996E4DDA24D1}"/>
                </c:ext>
              </c:extLst>
            </c:dLbl>
            <c:dLbl>
              <c:idx val="4"/>
              <c:tx>
                <c:rich>
                  <a:bodyPr/>
                  <a:lstStyle/>
                  <a:p>
                    <a:fld id="{0860F38F-BD21-4290-AC03-B87820765B67}"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5-D64C-4F4B-A79B-996E4DDA24D1}"/>
                </c:ext>
              </c:extLst>
            </c:dLbl>
            <c:dLbl>
              <c:idx val="5"/>
              <c:layout>
                <c:manualLayout>
                  <c:x val="-0.17368089350968655"/>
                  <c:y val="-4.1245220002888598E-2"/>
                </c:manualLayout>
              </c:layout>
              <c:tx>
                <c:rich>
                  <a:bodyPr/>
                  <a:lstStyle/>
                  <a:p>
                    <a:fld id="{8097DB3D-4A5A-4EE4-8EB8-C4902B0EACB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6-D64C-4F4B-A79B-996E4DDA24D1}"/>
                </c:ext>
              </c:extLst>
            </c:dLbl>
            <c:dLbl>
              <c:idx val="6"/>
              <c:layout>
                <c:manualLayout>
                  <c:x val="2.0089961666215114E-2"/>
                  <c:y val="-1.9103158629278666E-2"/>
                </c:manualLayout>
              </c:layout>
              <c:tx>
                <c:rich>
                  <a:bodyPr/>
                  <a:lstStyle/>
                  <a:p>
                    <a:fld id="{29160FEC-AB2A-4DE8-9CAC-DD59BCFC30B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7-D64C-4F4B-A79B-996E4DDA24D1}"/>
                </c:ext>
              </c:extLst>
            </c:dLbl>
            <c:dLbl>
              <c:idx val="7"/>
              <c:tx>
                <c:rich>
                  <a:bodyPr/>
                  <a:lstStyle/>
                  <a:p>
                    <a:fld id="{80AB3FB4-814D-4997-A7CF-F20C1903A879}"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48-D64C-4F4B-A79B-996E4DDA24D1}"/>
                </c:ext>
              </c:extLst>
            </c:dLbl>
            <c:dLbl>
              <c:idx val="8"/>
              <c:layout>
                <c:manualLayout>
                  <c:x val="-2.2901158638880818E-3"/>
                  <c:y val="8.0826885550591733E-3"/>
                </c:manualLayout>
              </c:layout>
              <c:tx>
                <c:rich>
                  <a:bodyPr/>
                  <a:lstStyle/>
                  <a:p>
                    <a:fld id="{E20B3109-44D7-4899-BE32-A2FE2088B70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9-D64C-4F4B-A79B-996E4DDA24D1}"/>
                </c:ext>
              </c:extLst>
            </c:dLbl>
            <c:dLbl>
              <c:idx val="9"/>
              <c:layout>
                <c:manualLayout>
                  <c:x val="-5.6063060569687764E-4"/>
                  <c:y val="-1.5675677850034541E-3"/>
                </c:manualLayout>
              </c:layout>
              <c:tx>
                <c:rich>
                  <a:bodyPr/>
                  <a:lstStyle/>
                  <a:p>
                    <a:fld id="{19E2D244-F7C2-4B77-8051-6CE75970E36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A-D64C-4F4B-A79B-996E4DDA24D1}"/>
                </c:ext>
              </c:extLst>
            </c:dLbl>
            <c:dLbl>
              <c:idx val="10"/>
              <c:layout>
                <c:manualLayout>
                  <c:x val="-0.10099537075618238"/>
                  <c:y val="-8.6721591171298675E-4"/>
                </c:manualLayout>
              </c:layout>
              <c:tx>
                <c:rich>
                  <a:bodyPr/>
                  <a:lstStyle/>
                  <a:p>
                    <a:fld id="{3F66F016-20C8-4135-A6D9-58425DE2C85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B-D64C-4F4B-A79B-996E4DDA24D1}"/>
                </c:ext>
              </c:extLst>
            </c:dLbl>
            <c:dLbl>
              <c:idx val="11"/>
              <c:layout>
                <c:manualLayout>
                  <c:x val="-5.3079846035765176E-2"/>
                  <c:y val="-2.0388273481749923E-3"/>
                </c:manualLayout>
              </c:layout>
              <c:tx>
                <c:rich>
                  <a:bodyPr/>
                  <a:lstStyle/>
                  <a:p>
                    <a:fld id="{530F1C2D-0958-42CE-84D4-9BFF7C6976F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C-D64C-4F4B-A79B-996E4DDA24D1}"/>
                </c:ext>
              </c:extLst>
            </c:dLbl>
            <c:dLbl>
              <c:idx val="12"/>
              <c:layout>
                <c:manualLayout>
                  <c:x val="5.2556676110705955E-2"/>
                  <c:y val="6.4115289107136873E-3"/>
                </c:manualLayout>
              </c:layout>
              <c:tx>
                <c:rich>
                  <a:bodyPr/>
                  <a:lstStyle/>
                  <a:p>
                    <a:fld id="{15ECED82-DF57-499B-9775-50FBCE6FB41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D-D64C-4F4B-A79B-996E4DDA24D1}"/>
                </c:ext>
              </c:extLst>
            </c:dLbl>
            <c:dLbl>
              <c:idx val="13"/>
              <c:layout>
                <c:manualLayout>
                  <c:x val="1.2248868060591604E-2"/>
                  <c:y val="-3.599054555683762E-3"/>
                </c:manualLayout>
              </c:layout>
              <c:tx>
                <c:rich>
                  <a:bodyPr/>
                  <a:lstStyle/>
                  <a:p>
                    <a:fld id="{E59F7EBC-FAA2-4618-B854-37CF07B2B4A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E-D64C-4F4B-A79B-996E4DDA24D1}"/>
                </c:ext>
              </c:extLst>
            </c:dLbl>
            <c:dLbl>
              <c:idx val="14"/>
              <c:layout>
                <c:manualLayout>
                  <c:x val="-4.4877467549767919E-3"/>
                  <c:y val="-1.623532937214717E-2"/>
                </c:manualLayout>
              </c:layout>
              <c:tx>
                <c:rich>
                  <a:bodyPr/>
                  <a:lstStyle/>
                  <a:p>
                    <a:fld id="{ABEF7FAE-F27F-4D4F-9CDF-1A089B6D30C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4F-D64C-4F4B-A79B-996E4DDA24D1}"/>
                </c:ext>
              </c:extLst>
            </c:dLbl>
            <c:dLbl>
              <c:idx val="15"/>
              <c:layout>
                <c:manualLayout>
                  <c:x val="-8.2334352778444711E-2"/>
                  <c:y val="-2.4762069875124033E-2"/>
                </c:manualLayout>
              </c:layout>
              <c:tx>
                <c:rich>
                  <a:bodyPr/>
                  <a:lstStyle/>
                  <a:p>
                    <a:fld id="{32B9B0AD-52E8-42F4-B2F9-E0F15F59DAB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0-D64C-4F4B-A79B-996E4DDA24D1}"/>
                </c:ext>
              </c:extLst>
            </c:dLbl>
            <c:dLbl>
              <c:idx val="16"/>
              <c:layout>
                <c:manualLayout>
                  <c:x val="-0.12720101252746052"/>
                  <c:y val="-2.4073825468252295E-2"/>
                </c:manualLayout>
              </c:layout>
              <c:tx>
                <c:rich>
                  <a:bodyPr/>
                  <a:lstStyle/>
                  <a:p>
                    <a:fld id="{88B5E03E-C05B-40AE-8AD8-8A82E3F17B6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1-D64C-4F4B-A79B-996E4DDA24D1}"/>
                </c:ext>
              </c:extLst>
            </c:dLbl>
            <c:dLbl>
              <c:idx val="17"/>
              <c:tx>
                <c:rich>
                  <a:bodyPr/>
                  <a:lstStyle/>
                  <a:p>
                    <a:fld id="{6846C1E1-BDD2-41FF-9FDB-FAE9AAE3FDDC}"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52-D64C-4F4B-A79B-996E4DDA24D1}"/>
                </c:ext>
              </c:extLst>
            </c:dLbl>
            <c:dLbl>
              <c:idx val="18"/>
              <c:layout>
                <c:manualLayout>
                  <c:x val="-7.2037250118714537E-3"/>
                  <c:y val="-1.1170007647582558E-2"/>
                </c:manualLayout>
              </c:layout>
              <c:tx>
                <c:rich>
                  <a:bodyPr/>
                  <a:lstStyle/>
                  <a:p>
                    <a:fld id="{4D8E26D1-AA77-4BE9-BCD5-693073F2F46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3-D64C-4F4B-A79B-996E4DDA24D1}"/>
                </c:ext>
              </c:extLst>
            </c:dLbl>
            <c:dLbl>
              <c:idx val="19"/>
              <c:layout>
                <c:manualLayout>
                  <c:x val="2.0805526715911869E-2"/>
                  <c:y val="-1.5168979755668019E-2"/>
                </c:manualLayout>
              </c:layout>
              <c:tx>
                <c:rich>
                  <a:bodyPr/>
                  <a:lstStyle/>
                  <a:p>
                    <a:fld id="{B48C72AE-C499-4C39-8BD2-2C63F69F107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4-D64C-4F4B-A79B-996E4DDA24D1}"/>
                </c:ext>
              </c:extLst>
            </c:dLbl>
            <c:dLbl>
              <c:idx val="20"/>
              <c:layout>
                <c:manualLayout>
                  <c:x val="3.0229402766189191E-2"/>
                  <c:y val="-2.1255879964663771E-2"/>
                </c:manualLayout>
              </c:layout>
              <c:tx>
                <c:rich>
                  <a:bodyPr/>
                  <a:lstStyle/>
                  <a:p>
                    <a:fld id="{20A31D5D-5AD1-4366-BCE9-49331344590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5-D64C-4F4B-A79B-996E4DDA24D1}"/>
                </c:ext>
              </c:extLst>
            </c:dLbl>
            <c:dLbl>
              <c:idx val="21"/>
              <c:layout>
                <c:manualLayout>
                  <c:x val="-1.7967901383916449E-2"/>
                  <c:y val="-5.49893806702117E-3"/>
                </c:manualLayout>
              </c:layout>
              <c:tx>
                <c:rich>
                  <a:bodyPr/>
                  <a:lstStyle/>
                  <a:p>
                    <a:fld id="{2D559E82-889B-4231-978A-A76E2BF5889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6-D64C-4F4B-A79B-996E4DDA24D1}"/>
                </c:ext>
              </c:extLst>
            </c:dLbl>
            <c:dLbl>
              <c:idx val="22"/>
              <c:layout>
                <c:manualLayout>
                  <c:x val="8.6601049155466299E-3"/>
                  <c:y val="-1.7019107819742673E-3"/>
                </c:manualLayout>
              </c:layout>
              <c:tx>
                <c:rich>
                  <a:bodyPr/>
                  <a:lstStyle/>
                  <a:p>
                    <a:fld id="{41450D7D-1AD8-4090-8D33-04EA9F2472B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7-D64C-4F4B-A79B-996E4DDA24D1}"/>
                </c:ext>
              </c:extLst>
            </c:dLbl>
            <c:dLbl>
              <c:idx val="23"/>
              <c:layout>
                <c:manualLayout>
                  <c:x val="-4.8243990875421326E-2"/>
                  <c:y val="5.8825595233115043E-3"/>
                </c:manualLayout>
              </c:layout>
              <c:tx>
                <c:rich>
                  <a:bodyPr/>
                  <a:lstStyle/>
                  <a:p>
                    <a:fld id="{1D488C46-74B5-4D77-A13A-2ACB094838F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8-D64C-4F4B-A79B-996E4DDA24D1}"/>
                </c:ext>
              </c:extLst>
            </c:dLbl>
            <c:dLbl>
              <c:idx val="24"/>
              <c:layout>
                <c:manualLayout>
                  <c:x val="-1.3261730126511008E-2"/>
                  <c:y val="-2.2810575173440397E-2"/>
                </c:manualLayout>
              </c:layout>
              <c:tx>
                <c:rich>
                  <a:bodyPr/>
                  <a:lstStyle/>
                  <a:p>
                    <a:fld id="{B924D4A1-4972-4939-868F-5106FBBDC63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9-D64C-4F4B-A79B-996E4DDA24D1}"/>
                </c:ext>
              </c:extLst>
            </c:dLbl>
            <c:dLbl>
              <c:idx val="25"/>
              <c:layout>
                <c:manualLayout>
                  <c:x val="2.295960443656796E-2"/>
                  <c:y val="6.0238365438912344E-3"/>
                </c:manualLayout>
              </c:layout>
              <c:tx>
                <c:rich>
                  <a:bodyPr/>
                  <a:lstStyle/>
                  <a:p>
                    <a:fld id="{FBB66ED3-1739-43F5-B798-0CCD81859A3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A-D64C-4F4B-A79B-996E4DDA24D1}"/>
                </c:ext>
              </c:extLst>
            </c:dLbl>
            <c:dLbl>
              <c:idx val="26"/>
              <c:layout>
                <c:manualLayout>
                  <c:x val="4.6639474579788691E-3"/>
                  <c:y val="-1.6680228451368614E-2"/>
                </c:manualLayout>
              </c:layout>
              <c:tx>
                <c:rich>
                  <a:bodyPr/>
                  <a:lstStyle/>
                  <a:p>
                    <a:fld id="{37E8EFF5-CA54-4CB5-B1D6-0973681F132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B-D64C-4F4B-A79B-996E4DDA24D1}"/>
                </c:ext>
              </c:extLst>
            </c:dLbl>
            <c:dLbl>
              <c:idx val="27"/>
              <c:layout>
                <c:manualLayout>
                  <c:x val="6.473209903941067E-2"/>
                  <c:y val="9.9675496003877664E-4"/>
                </c:manualLayout>
              </c:layout>
              <c:tx>
                <c:rich>
                  <a:bodyPr/>
                  <a:lstStyle/>
                  <a:p>
                    <a:fld id="{C5EE9EA9-5883-486E-9D9E-70C5D73A6CC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C-D64C-4F4B-A79B-996E4DDA24D1}"/>
                </c:ext>
              </c:extLst>
            </c:dLbl>
            <c:dLbl>
              <c:idx val="28"/>
              <c:layout>
                <c:manualLayout>
                  <c:x val="4.0557496778460843E-2"/>
                  <c:y val="3.620359907650117E-3"/>
                </c:manualLayout>
              </c:layout>
              <c:tx>
                <c:rich>
                  <a:bodyPr/>
                  <a:lstStyle/>
                  <a:p>
                    <a:fld id="{A9BB8EB7-B722-4BDD-A29E-0698D987F9A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A91-426F-8024-23152343A418}"/>
                </c:ext>
              </c:extLst>
            </c:dLbl>
            <c:dLbl>
              <c:idx val="29"/>
              <c:layout>
                <c:manualLayout>
                  <c:x val="-1.5010377043669624E-2"/>
                  <c:y val="-1.5475818515644538E-2"/>
                </c:manualLayout>
              </c:layout>
              <c:tx>
                <c:rich>
                  <a:bodyPr/>
                  <a:lstStyle/>
                  <a:p>
                    <a:fld id="{DD715642-D47D-4406-9305-B1704F7514D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F7E-4DAF-A2C8-D41EB6FDCAB7}"/>
                </c:ext>
              </c:extLst>
            </c:dLbl>
            <c:dLbl>
              <c:idx val="30"/>
              <c:layout>
                <c:manualLayout>
                  <c:x val="-3.993224165126528E-3"/>
                  <c:y val="-5.5467945229870832E-3"/>
                </c:manualLayout>
              </c:layout>
              <c:tx>
                <c:rich>
                  <a:bodyPr/>
                  <a:lstStyle/>
                  <a:p>
                    <a:fld id="{D6EE1CB8-076E-4C72-9AC6-02335CFC423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35D-4264-889F-58F8065EC991}"/>
                </c:ext>
              </c:extLst>
            </c:dLbl>
            <c:dLbl>
              <c:idx val="31"/>
              <c:layout>
                <c:manualLayout>
                  <c:x val="2.8239539106140604E-2"/>
                  <c:y val="4.1315535761559099E-3"/>
                </c:manualLayout>
              </c:layout>
              <c:tx>
                <c:rich>
                  <a:bodyPr/>
                  <a:lstStyle/>
                  <a:p>
                    <a:fld id="{F78D77A9-A44C-4E68-A7BD-FF6868952ED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BB9-4DF7-A142-5DB882B143CE}"/>
                </c:ext>
              </c:extLst>
            </c:dLbl>
            <c:dLbl>
              <c:idx val="32"/>
              <c:layout>
                <c:manualLayout>
                  <c:x val="3.8842989130709646E-2"/>
                  <c:y val="8.2757910399092333E-3"/>
                </c:manualLayout>
              </c:layout>
              <c:tx>
                <c:rich>
                  <a:bodyPr/>
                  <a:lstStyle/>
                  <a:p>
                    <a:fld id="{6A163084-5FD4-4E1E-8511-E95B72BC56F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1DF4-41BA-9F03-6129E1CEE35B}"/>
                </c:ext>
              </c:extLst>
            </c:dLbl>
            <c:dLbl>
              <c:idx val="33"/>
              <c:layout>
                <c:manualLayout>
                  <c:x val="-2.7314949779723173E-2"/>
                  <c:y val="-4.7775012999948067E-3"/>
                </c:manualLayout>
              </c:layout>
              <c:tx>
                <c:rich>
                  <a:bodyPr/>
                  <a:lstStyle/>
                  <a:p>
                    <a:fld id="{FD7F9739-5044-4B13-B6CA-BE2DE0E4DD2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1DF4-41BA-9F03-6129E1CEE35B}"/>
                </c:ext>
              </c:extLst>
            </c:dLbl>
            <c:dLbl>
              <c:idx val="34"/>
              <c:layout>
                <c:manualLayout>
                  <c:x val="6.3768465416158146E-2"/>
                  <c:y val="1.5808634172945915E-3"/>
                </c:manualLayout>
              </c:layout>
              <c:tx>
                <c:rich>
                  <a:bodyPr/>
                  <a:lstStyle/>
                  <a:p>
                    <a:fld id="{B6C953AC-FBAE-4A1F-B7D3-243BEB9D841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73C-470C-9374-94EC5BAB4577}"/>
                </c:ext>
              </c:extLst>
            </c:dLbl>
            <c:dLbl>
              <c:idx val="35"/>
              <c:layout>
                <c:manualLayout>
                  <c:x val="-3.022610739629069E-2"/>
                  <c:y val="-6.31183763366554E-3"/>
                </c:manualLayout>
              </c:layout>
              <c:tx>
                <c:rich>
                  <a:bodyPr/>
                  <a:lstStyle/>
                  <a:p>
                    <a:fld id="{8C0A4864-9B2D-4649-AF1F-413EE738341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07F-4BE4-A021-09D65A9B85E1}"/>
                </c:ext>
              </c:extLst>
            </c:dLbl>
            <c:dLbl>
              <c:idx val="36"/>
              <c:layout>
                <c:manualLayout>
                  <c:x val="6.834810239038637E-2"/>
                  <c:y val="2.638488834062341E-2"/>
                </c:manualLayout>
              </c:layout>
              <c:tx>
                <c:rich>
                  <a:bodyPr/>
                  <a:lstStyle/>
                  <a:p>
                    <a:fld id="{6110513E-1931-4D57-8BA5-608505683CF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855-4471-99AE-6CD12D4ECED0}"/>
                </c:ext>
              </c:extLst>
            </c:dLbl>
            <c:dLbl>
              <c:idx val="37"/>
              <c:layout>
                <c:manualLayout>
                  <c:x val="-2.7527013794743289E-3"/>
                  <c:y val="-1.3279933012352129E-2"/>
                </c:manualLayout>
              </c:layout>
              <c:tx>
                <c:rich>
                  <a:bodyPr/>
                  <a:lstStyle/>
                  <a:p>
                    <a:fld id="{CEE4FF19-9929-4082-B90C-A07BAAA2F55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CB9-4830-AB40-91AE88912C7F}"/>
                </c:ext>
              </c:extLst>
            </c:dLbl>
            <c:dLbl>
              <c:idx val="38"/>
              <c:layout>
                <c:manualLayout>
                  <c:x val="8.5910359116416358E-3"/>
                  <c:y val="-1.2979361187662574E-3"/>
                </c:manualLayout>
              </c:layout>
              <c:tx>
                <c:rich>
                  <a:bodyPr/>
                  <a:lstStyle/>
                  <a:p>
                    <a:fld id="{5E98143C-6514-40F2-856F-F8AE75531AB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FFA-4E80-A71B-896B264ADF7B}"/>
                </c:ext>
              </c:extLst>
            </c:dLbl>
            <c:dLbl>
              <c:idx val="39"/>
              <c:layout>
                <c:manualLayout>
                  <c:x val="2.6853221389100258E-3"/>
                  <c:y val="-4.7264848300202222E-3"/>
                </c:manualLayout>
              </c:layout>
              <c:tx>
                <c:rich>
                  <a:bodyPr/>
                  <a:lstStyle/>
                  <a:p>
                    <a:fld id="{CF96742A-07E1-4E7F-BD5E-724D7A672F6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94B-4071-9AE8-D7E70865A7BE}"/>
                </c:ext>
              </c:extLst>
            </c:dLbl>
            <c:dLbl>
              <c:idx val="40"/>
              <c:layout>
                <c:manualLayout>
                  <c:x val="-5.0810287896044824E-2"/>
                  <c:y val="8.7561631922469243E-4"/>
                </c:manualLayout>
              </c:layout>
              <c:tx>
                <c:rich>
                  <a:bodyPr/>
                  <a:lstStyle/>
                  <a:p>
                    <a:fld id="{ECD95B5B-C800-4538-9174-F824C77042C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0F82-4FFE-BCDB-F210F0955897}"/>
                </c:ext>
              </c:extLst>
            </c:dLbl>
            <c:dLbl>
              <c:idx val="41"/>
              <c:layout>
                <c:manualLayout>
                  <c:x val="2.2390367568807353E-2"/>
                  <c:y val="3.5553666601422472E-3"/>
                </c:manualLayout>
              </c:layout>
              <c:tx>
                <c:rich>
                  <a:bodyPr/>
                  <a:lstStyle/>
                  <a:p>
                    <a:fld id="{06A135D1-9CFB-4923-ACDE-490B5809939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55E-4FA2-93C5-6347E4FF1715}"/>
                </c:ext>
              </c:extLst>
            </c:dLbl>
            <c:dLbl>
              <c:idx val="42"/>
              <c:layout>
                <c:manualLayout>
                  <c:x val="2.5039002831760301E-2"/>
                  <c:y val="1.8496715136615916E-3"/>
                </c:manualLayout>
              </c:layout>
              <c:tx>
                <c:rich>
                  <a:bodyPr/>
                  <a:lstStyle/>
                  <a:p>
                    <a:fld id="{54C979F6-686F-458B-AFEA-B3683E75951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405F-412A-9B32-99C83BD42126}"/>
                </c:ext>
              </c:extLst>
            </c:dLbl>
            <c:dLbl>
              <c:idx val="43"/>
              <c:layout>
                <c:manualLayout>
                  <c:x val="1.3733754642659454E-2"/>
                  <c:y val="-6.0209220879407343E-4"/>
                </c:manualLayout>
              </c:layout>
              <c:tx>
                <c:rich>
                  <a:bodyPr/>
                  <a:lstStyle/>
                  <a:p>
                    <a:fld id="{97E4F888-C87A-404E-AB15-946F967FF43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8AE-4622-82B9-1F9960B20AD5}"/>
                </c:ext>
              </c:extLst>
            </c:dLbl>
            <c:dLbl>
              <c:idx val="44"/>
              <c:layout>
                <c:manualLayout>
                  <c:x val="2.6351566411758755E-2"/>
                  <c:y val="-5.5349358610817566E-3"/>
                </c:manualLayout>
              </c:layout>
              <c:tx>
                <c:rich>
                  <a:bodyPr/>
                  <a:lstStyle/>
                  <a:p>
                    <a:fld id="{4C7AFD95-5F35-4DA1-BCEF-4162DFD7CA7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EB3-4F44-832B-99DF90B4925F}"/>
                </c:ext>
              </c:extLst>
            </c:dLbl>
            <c:dLbl>
              <c:idx val="45"/>
              <c:tx>
                <c:rich>
                  <a:bodyPr/>
                  <a:lstStyle/>
                  <a:p>
                    <a:fld id="{98034F27-36CF-46DA-9814-043E71EA5A8E}"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FEA5-44B3-AB96-479B61F3C175}"/>
                </c:ext>
              </c:extLst>
            </c:dLbl>
            <c:dLbl>
              <c:idx val="46"/>
              <c:layout>
                <c:manualLayout>
                  <c:x val="9.6028149247840196E-3"/>
                  <c:y val="1.6240054574521592E-3"/>
                </c:manualLayout>
              </c:layout>
              <c:tx>
                <c:rich>
                  <a:bodyPr/>
                  <a:lstStyle/>
                  <a:p>
                    <a:fld id="{8F8FD792-1514-4E44-82BA-782CC7F3191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5DB-4493-A3B4-CE9424304391}"/>
                </c:ext>
              </c:extLst>
            </c:dLbl>
            <c:dLbl>
              <c:idx val="47"/>
              <c:layout>
                <c:manualLayout>
                  <c:x val="1.0011441686415823E-2"/>
                  <c:y val="-3.8154435080038993E-3"/>
                </c:manualLayout>
              </c:layout>
              <c:tx>
                <c:rich>
                  <a:bodyPr/>
                  <a:lstStyle/>
                  <a:p>
                    <a:fld id="{3F5E5EC8-D733-4213-AF9D-821B644BB4A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F5B-489D-89A0-0AF16BDB1A16}"/>
                </c:ext>
              </c:extLst>
            </c:dLbl>
            <c:dLbl>
              <c:idx val="48"/>
              <c:layout>
                <c:manualLayout>
                  <c:x val="-5.6012653108744599E-2"/>
                  <c:y val="2.974061788576763E-3"/>
                </c:manualLayout>
              </c:layout>
              <c:tx>
                <c:rich>
                  <a:bodyPr/>
                  <a:lstStyle/>
                  <a:p>
                    <a:fld id="{549267A5-3E72-4442-8A09-F247B7C4129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F4D-44EA-897F-4595D9F552AB}"/>
                </c:ext>
              </c:extLst>
            </c:dLbl>
            <c:dLbl>
              <c:idx val="49"/>
              <c:layout>
                <c:manualLayout>
                  <c:x val="1.7594954575181631E-3"/>
                  <c:y val="-3.8084620321246301E-3"/>
                </c:manualLayout>
              </c:layout>
              <c:tx>
                <c:rich>
                  <a:bodyPr/>
                  <a:lstStyle/>
                  <a:p>
                    <a:fld id="{AC46FB04-8938-4F9B-A93A-C1EFBE8B0F3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418-46D8-B6A4-6B5FFB31DFD2}"/>
                </c:ext>
              </c:extLst>
            </c:dLbl>
            <c:dLbl>
              <c:idx val="50"/>
              <c:layout>
                <c:manualLayout>
                  <c:x val="1.7874971721487286E-2"/>
                  <c:y val="-1.7850451944815655E-3"/>
                </c:manualLayout>
              </c:layout>
              <c:tx>
                <c:rich>
                  <a:bodyPr/>
                  <a:lstStyle/>
                  <a:p>
                    <a:fld id="{1992CAEA-4749-447C-AEF3-1C670A3DA1F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311-4E05-A3F8-9F04CB6904C9}"/>
                </c:ext>
              </c:extLst>
            </c:dLbl>
            <c:dLbl>
              <c:idx val="51"/>
              <c:layout>
                <c:manualLayout>
                  <c:x val="2.520736471819053E-3"/>
                  <c:y val="-4.2152183996080088E-3"/>
                </c:manualLayout>
              </c:layout>
              <c:tx>
                <c:rich>
                  <a:bodyPr/>
                  <a:lstStyle/>
                  <a:p>
                    <a:fld id="{91911C73-41EE-4EB8-92C7-6BE73D7EDBB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FACD-43FA-985C-7BBE390D600C}"/>
                </c:ext>
              </c:extLst>
            </c:dLbl>
            <c:dLbl>
              <c:idx val="52"/>
              <c:layout>
                <c:manualLayout>
                  <c:x val="2.7536010913232708E-2"/>
                  <c:y val="-1.3214029402192649E-2"/>
                </c:manualLayout>
              </c:layout>
              <c:tx>
                <c:rich>
                  <a:bodyPr/>
                  <a:lstStyle/>
                  <a:p>
                    <a:fld id="{5CFC73C7-969B-4D34-A2DE-1DDFEDF44DB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222-4CC2-AF45-0D422E58007F}"/>
                </c:ext>
              </c:extLst>
            </c:dLbl>
            <c:dLbl>
              <c:idx val="53"/>
              <c:layout>
                <c:manualLayout>
                  <c:x val="-2.1927801258404864E-2"/>
                  <c:y val="-1.1750817138685888E-2"/>
                </c:manualLayout>
              </c:layout>
              <c:tx>
                <c:rich>
                  <a:bodyPr/>
                  <a:lstStyle/>
                  <a:p>
                    <a:fld id="{64EC2C51-09C5-4CC7-95A6-7E9743F036D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EC2-4227-88F8-440AD2C174EC}"/>
                </c:ext>
              </c:extLst>
            </c:dLbl>
            <c:dLbl>
              <c:idx val="54"/>
              <c:tx>
                <c:rich>
                  <a:bodyPr/>
                  <a:lstStyle/>
                  <a:p>
                    <a:fld id="{4EFC707A-6207-4D73-86EF-0AE8D8160BEB}"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043-4360-8B6A-5AA7D15BE734}"/>
                </c:ext>
              </c:extLst>
            </c:dLbl>
            <c:dLbl>
              <c:idx val="55"/>
              <c:layout>
                <c:manualLayout>
                  <c:x val="-8.8506673425733338E-3"/>
                  <c:y val="-8.4108549647915129E-3"/>
                </c:manualLayout>
              </c:layout>
              <c:tx>
                <c:rich>
                  <a:bodyPr/>
                  <a:lstStyle/>
                  <a:p>
                    <a:fld id="{B1CAE508-8F3D-4902-B53F-C37F3BCF289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9F2-470A-AE19-BC059C140232}"/>
                </c:ext>
              </c:extLst>
            </c:dLbl>
            <c:dLbl>
              <c:idx val="56"/>
              <c:layout>
                <c:manualLayout>
                  <c:x val="2.9243436559608087E-2"/>
                  <c:y val="8.3003591730355149E-3"/>
                </c:manualLayout>
              </c:layout>
              <c:tx>
                <c:rich>
                  <a:bodyPr/>
                  <a:lstStyle/>
                  <a:p>
                    <a:fld id="{68729540-6D25-481A-944D-7333DF56DA9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EDD7-468F-9A16-42E28771C996}"/>
                </c:ext>
              </c:extLst>
            </c:dLbl>
            <c:dLbl>
              <c:idx val="57"/>
              <c:layout>
                <c:manualLayout>
                  <c:x val="-5.4500641244860301E-2"/>
                  <c:y val="-1.3872444339888877E-2"/>
                </c:manualLayout>
              </c:layout>
              <c:tx>
                <c:rich>
                  <a:bodyPr/>
                  <a:lstStyle/>
                  <a:p>
                    <a:fld id="{ACD958EB-5FEC-4A8B-9B2B-E1363C9F744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266-4105-AD4A-0C003FC7F07A}"/>
                </c:ext>
              </c:extLst>
            </c:dLbl>
            <c:dLbl>
              <c:idx val="58"/>
              <c:layout>
                <c:manualLayout>
                  <c:x val="-6.4107235648663344E-2"/>
                  <c:y val="5.4501806068610091E-3"/>
                </c:manualLayout>
              </c:layout>
              <c:tx>
                <c:rich>
                  <a:bodyPr/>
                  <a:lstStyle/>
                  <a:p>
                    <a:fld id="{739D21B2-F2EE-40AA-98EF-3B50A727DBB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1C6-496E-8850-66C365965492}"/>
                </c:ext>
              </c:extLst>
            </c:dLbl>
            <c:dLbl>
              <c:idx val="59"/>
              <c:layout>
                <c:manualLayout>
                  <c:x val="-8.1683865325937778E-3"/>
                  <c:y val="-1.5314444363791837E-2"/>
                </c:manualLayout>
              </c:layout>
              <c:tx>
                <c:rich>
                  <a:bodyPr/>
                  <a:lstStyle/>
                  <a:p>
                    <a:fld id="{46CF2F2F-CDDD-44F8-9B50-C8673258CC4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DCEF-4FEF-A329-330CAE196791}"/>
                </c:ext>
              </c:extLst>
            </c:dLbl>
            <c:dLbl>
              <c:idx val="60"/>
              <c:layout>
                <c:manualLayout>
                  <c:x val="-5.8580559121328424E-2"/>
                  <c:y val="-7.1607245718857196E-3"/>
                </c:manualLayout>
              </c:layout>
              <c:tx>
                <c:rich>
                  <a:bodyPr/>
                  <a:lstStyle/>
                  <a:p>
                    <a:fld id="{819A2E3A-AA26-4DE2-9164-1D1C5BFDC90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89B-4954-B8E0-6A660314BE0B}"/>
                </c:ext>
              </c:extLst>
            </c:dLbl>
            <c:dLbl>
              <c:idx val="61"/>
              <c:layout>
                <c:manualLayout>
                  <c:x val="-5.1704690494307724E-2"/>
                  <c:y val="-1.3189328887276176E-2"/>
                </c:manualLayout>
              </c:layout>
              <c:tx>
                <c:rich>
                  <a:bodyPr/>
                  <a:lstStyle/>
                  <a:p>
                    <a:fld id="{7AFE4A74-4FDA-4733-80FC-CC9A9E85855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AEA-4666-90D3-5C7D8CACA284}"/>
                </c:ext>
              </c:extLst>
            </c:dLbl>
            <c:dLbl>
              <c:idx val="62"/>
              <c:layout>
                <c:manualLayout>
                  <c:x val="1.5203899103080896E-2"/>
                  <c:y val="1.8641294752496843E-4"/>
                </c:manualLayout>
              </c:layout>
              <c:tx>
                <c:rich>
                  <a:bodyPr/>
                  <a:lstStyle/>
                  <a:p>
                    <a:fld id="{8FC5746E-7671-4644-81E9-779949DA69F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EA-4666-90D3-5C7D8CACA284}"/>
                </c:ext>
              </c:extLst>
            </c:dLbl>
            <c:dLbl>
              <c:idx val="63"/>
              <c:layout>
                <c:manualLayout>
                  <c:x val="2.9663091122698005E-3"/>
                  <c:y val="-2.0083437113688075E-2"/>
                </c:manualLayout>
              </c:layout>
              <c:tx>
                <c:rich>
                  <a:bodyPr/>
                  <a:lstStyle/>
                  <a:p>
                    <a:fld id="{3ADBF79C-5D90-4621-A124-AE3BB30B121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AEA-4666-90D3-5C7D8CACA284}"/>
                </c:ext>
              </c:extLst>
            </c:dLbl>
            <c:dLbl>
              <c:idx val="64"/>
              <c:layout>
                <c:manualLayout>
                  <c:x val="-2.8001978672130411E-2"/>
                  <c:y val="-1.5363370391450328E-2"/>
                </c:manualLayout>
              </c:layout>
              <c:tx>
                <c:rich>
                  <a:bodyPr/>
                  <a:lstStyle/>
                  <a:p>
                    <a:fld id="{B4F26D51-C28B-488B-B64F-1266D183C9F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AAEA-4666-90D3-5C7D8CACA284}"/>
                </c:ext>
              </c:extLst>
            </c:dLbl>
            <c:dLbl>
              <c:idx val="65"/>
              <c:layout>
                <c:manualLayout>
                  <c:x val="-2.8530168012454366E-2"/>
                  <c:y val="-1.496197558558773E-2"/>
                </c:manualLayout>
              </c:layout>
              <c:tx>
                <c:rich>
                  <a:bodyPr/>
                  <a:lstStyle/>
                  <a:p>
                    <a:fld id="{79A856EA-ECD2-4CB9-A6DC-3E29E45FEAE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AAEA-4666-90D3-5C7D8CACA284}"/>
                </c:ext>
              </c:extLst>
            </c:dLbl>
            <c:dLbl>
              <c:idx val="66"/>
              <c:layout>
                <c:manualLayout>
                  <c:x val="-3.566072410682767E-2"/>
                  <c:y val="-1.696894961490119E-2"/>
                </c:manualLayout>
              </c:layout>
              <c:tx>
                <c:rich>
                  <a:bodyPr/>
                  <a:lstStyle/>
                  <a:p>
                    <a:fld id="{6BDBBF15-9B1B-4654-A14B-B07B843B5AB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AAEA-4666-90D3-5C7D8CACA284}"/>
                </c:ext>
              </c:extLst>
            </c:dLbl>
            <c:dLbl>
              <c:idx val="67"/>
              <c:layout>
                <c:manualLayout>
                  <c:x val="-3.0907020043912083E-2"/>
                  <c:y val="-1.4159185973862181E-2"/>
                </c:manualLayout>
              </c:layout>
              <c:tx>
                <c:rich>
                  <a:bodyPr/>
                  <a:lstStyle/>
                  <a:p>
                    <a:fld id="{A642763F-D08D-4337-86D6-02B4AEA311B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AAEA-4666-90D3-5C7D8CACA284}"/>
                </c:ext>
              </c:extLst>
            </c:dLbl>
            <c:dLbl>
              <c:idx val="68"/>
              <c:layout>
                <c:manualLayout>
                  <c:x val="-2.5212864087123532E-2"/>
                  <c:y val="-9.9066384485710507E-3"/>
                </c:manualLayout>
              </c:layout>
              <c:tx>
                <c:rich>
                  <a:bodyPr/>
                  <a:lstStyle/>
                  <a:p>
                    <a:fld id="{6BB10607-1DFD-436D-A9AA-CED6339F55A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AAEA-4666-90D3-5C7D8CACA284}"/>
                </c:ext>
              </c:extLst>
            </c:dLbl>
            <c:dLbl>
              <c:idx val="69"/>
              <c:layout>
                <c:manualLayout>
                  <c:x val="-2.0374799828717319E-3"/>
                  <c:y val="-1.6567554809038595E-2"/>
                </c:manualLayout>
              </c:layout>
              <c:tx>
                <c:rich>
                  <a:bodyPr/>
                  <a:lstStyle/>
                  <a:p>
                    <a:fld id="{B466D2D2-C7F4-4981-983F-0FE40A432BA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AAEA-4666-90D3-5C7D8CACA284}"/>
                </c:ext>
              </c:extLst>
            </c:dLbl>
            <c:dLbl>
              <c:idx val="70"/>
              <c:layout>
                <c:manualLayout>
                  <c:x val="-1.0279671946181868E-2"/>
                  <c:y val="-1.126023732425264E-2"/>
                </c:manualLayout>
              </c:layout>
              <c:tx>
                <c:rich>
                  <a:bodyPr/>
                  <a:lstStyle/>
                  <a:p>
                    <a:fld id="{4F2FE5B2-009F-4445-A38A-F8CCC260EB3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AAEA-4666-90D3-5C7D8CACA284}"/>
                </c:ext>
              </c:extLst>
            </c:dLbl>
            <c:dLbl>
              <c:idx val="71"/>
              <c:tx>
                <c:rich>
                  <a:bodyPr/>
                  <a:lstStyle/>
                  <a:p>
                    <a:fld id="{97BF10C8-73A3-4DCD-BBDB-3E07A52F5403}"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AAEA-4666-90D3-5C7D8CACA284}"/>
                </c:ext>
              </c:extLst>
            </c:dLbl>
            <c:dLbl>
              <c:idx val="72"/>
              <c:tx>
                <c:rich>
                  <a:bodyPr/>
                  <a:lstStyle/>
                  <a:p>
                    <a:fld id="{12AB33E7-71CF-4270-90D3-A1FA40BB3631}"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AAEA-4666-90D3-5C7D8CACA284}"/>
                </c:ext>
              </c:extLst>
            </c:dLbl>
            <c:dLbl>
              <c:idx val="73"/>
              <c:tx>
                <c:rich>
                  <a:bodyPr/>
                  <a:lstStyle/>
                  <a:p>
                    <a:fld id="{B98DAB72-CF99-431E-B8D0-975C81E6B107}"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AAEA-4666-90D3-5C7D8CACA284}"/>
                </c:ext>
              </c:extLst>
            </c:dLbl>
            <c:dLbl>
              <c:idx val="74"/>
              <c:tx>
                <c:rich>
                  <a:bodyPr/>
                  <a:lstStyle/>
                  <a:p>
                    <a:fld id="{A56553C9-A207-4C27-9420-86C8197714BD}"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AAEA-4666-90D3-5C7D8CACA284}"/>
                </c:ext>
              </c:extLst>
            </c:dLbl>
            <c:dLbl>
              <c:idx val="75"/>
              <c:tx>
                <c:rich>
                  <a:bodyPr/>
                  <a:lstStyle/>
                  <a:p>
                    <a:fld id="{A60F1E14-1827-420E-A0A4-E3250C40E929}"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AAEA-4666-90D3-5C7D8CACA284}"/>
                </c:ext>
              </c:extLst>
            </c:dLbl>
            <c:dLbl>
              <c:idx val="76"/>
              <c:tx>
                <c:rich>
                  <a:bodyPr/>
                  <a:lstStyle/>
                  <a:p>
                    <a:fld id="{D6BD40BD-210B-4FBA-B68C-47DF1F3F3BC4}"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AAEA-4666-90D3-5C7D8CACA284}"/>
                </c:ext>
              </c:extLst>
            </c:dLbl>
            <c:dLbl>
              <c:idx val="77"/>
              <c:tx>
                <c:rich>
                  <a:bodyPr/>
                  <a:lstStyle/>
                  <a:p>
                    <a:fld id="{B94CB979-0B6F-43D8-ACA2-7B0E53B7BA9B}"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1-AAEA-4666-90D3-5C7D8CACA284}"/>
                </c:ext>
              </c:extLst>
            </c:dLbl>
            <c:dLbl>
              <c:idx val="78"/>
              <c:layout>
                <c:manualLayout>
                  <c:x val="-4.7459870865128859E-2"/>
                  <c:y val="-6.1096584984582066E-3"/>
                </c:manualLayout>
              </c:layout>
              <c:tx>
                <c:rich>
                  <a:bodyPr/>
                  <a:lstStyle/>
                  <a:p>
                    <a:fld id="{DEE9CE8E-5F6D-44A7-9433-9648AF6CB20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AAEA-4666-90D3-5C7D8CACA284}"/>
                </c:ext>
              </c:extLst>
            </c:dLbl>
            <c:dLbl>
              <c:idx val="7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AAEA-4666-90D3-5C7D8CACA284}"/>
                </c:ext>
              </c:extLst>
            </c:dLbl>
            <c:dLbl>
              <c:idx val="8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AAEA-4666-90D3-5C7D8CACA284}"/>
                </c:ext>
              </c:extLst>
            </c:dLbl>
            <c:dLbl>
              <c:idx val="8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AAEA-4666-90D3-5C7D8CACA284}"/>
                </c:ext>
              </c:extLst>
            </c:dLbl>
            <c:dLbl>
              <c:idx val="8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AAEA-4666-90D3-5C7D8CACA284}"/>
                </c:ext>
              </c:extLst>
            </c:dLbl>
            <c:dLbl>
              <c:idx val="8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AAEA-4666-90D3-5C7D8CACA284}"/>
                </c:ext>
              </c:extLst>
            </c:dLbl>
            <c:dLbl>
              <c:idx val="8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AAEA-4666-90D3-5C7D8CACA284}"/>
                </c:ext>
              </c:extLst>
            </c:dLbl>
            <c:dLbl>
              <c:idx val="8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AAEA-4666-90D3-5C7D8CACA284}"/>
                </c:ext>
              </c:extLst>
            </c:dLbl>
            <c:dLbl>
              <c:idx val="8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AAEA-4666-90D3-5C7D8CACA284}"/>
                </c:ext>
              </c:extLst>
            </c:dLbl>
            <c:dLbl>
              <c:idx val="8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AAEA-4666-90D3-5C7D8CACA284}"/>
                </c:ext>
              </c:extLst>
            </c:dLbl>
            <c:dLbl>
              <c:idx val="8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AAEA-4666-90D3-5C7D8CACA284}"/>
                </c:ext>
              </c:extLst>
            </c:dLbl>
            <c:dLbl>
              <c:idx val="8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AAEA-4666-90D3-5C7D8CACA284}"/>
                </c:ext>
              </c:extLst>
            </c:dLbl>
            <c:dLbl>
              <c:idx val="9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AAEA-4666-90D3-5C7D8CACA284}"/>
                </c:ext>
              </c:extLst>
            </c:dLbl>
            <c:dLbl>
              <c:idx val="9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AAEA-4666-90D3-5C7D8CACA284}"/>
                </c:ext>
              </c:extLst>
            </c:dLbl>
            <c:dLbl>
              <c:idx val="9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AAEA-4666-90D3-5C7D8CACA284}"/>
                </c:ext>
              </c:extLst>
            </c:dLbl>
            <c:dLbl>
              <c:idx val="9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AAEA-4666-90D3-5C7D8CACA284}"/>
                </c:ext>
              </c:extLst>
            </c:dLbl>
            <c:dLbl>
              <c:idx val="9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AAEA-4666-90D3-5C7D8CACA284}"/>
                </c:ext>
              </c:extLst>
            </c:dLbl>
            <c:dLbl>
              <c:idx val="9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AAEA-4666-90D3-5C7D8CACA284}"/>
                </c:ext>
              </c:extLst>
            </c:dLbl>
            <c:dLbl>
              <c:idx val="9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AAEA-4666-90D3-5C7D8CACA284}"/>
                </c:ext>
              </c:extLst>
            </c:dLbl>
            <c:dLbl>
              <c:idx val="9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AAEA-4666-90D3-5C7D8CACA284}"/>
                </c:ext>
              </c:extLst>
            </c:dLbl>
            <c:dLbl>
              <c:idx val="9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0ED-431B-B03B-C3CEDC1862BE}"/>
                </c:ext>
              </c:extLst>
            </c:dLbl>
            <c:dLbl>
              <c:idx val="9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4B9-4252-A6EA-0EB3FDE93AF2}"/>
                </c:ext>
              </c:extLst>
            </c:dLbl>
            <c:dLbl>
              <c:idx val="10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BDAF-412F-A373-0AC8A459C4D5}"/>
                </c:ext>
              </c:extLst>
            </c:dLbl>
            <c:dLbl>
              <c:idx val="10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319-4E3F-86C2-B309F566F53E}"/>
                </c:ext>
              </c:extLst>
            </c:dLbl>
            <c:dLbl>
              <c:idx val="10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E75C-46CE-8680-7C6D1669DF3F}"/>
                </c:ext>
              </c:extLst>
            </c:dLbl>
            <c:dLbl>
              <c:idx val="10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FB2-4370-8D31-20AB8FA9D75C}"/>
                </c:ext>
              </c:extLst>
            </c:dLbl>
            <c:dLbl>
              <c:idx val="10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6706-4AE3-8C83-72AF13295A79}"/>
                </c:ext>
              </c:extLst>
            </c:dLbl>
            <c:dLbl>
              <c:idx val="10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08C-4044-ABC3-F9577481EDE5}"/>
                </c:ext>
              </c:extLst>
            </c:dLbl>
            <c:dLbl>
              <c:idx val="10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583-430D-B663-F26FEC754B5D}"/>
                </c:ext>
              </c:extLst>
            </c:dLbl>
            <c:dLbl>
              <c:idx val="10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188F-4619-B21F-97251C9BECE1}"/>
                </c:ext>
              </c:extLst>
            </c:dLbl>
            <c:dLbl>
              <c:idx val="10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0E02-47E0-A685-905E6B440693}"/>
                </c:ext>
              </c:extLst>
            </c:dLbl>
            <c:dLbl>
              <c:idx val="10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88E2-4608-B65F-D18630D63CD0}"/>
                </c:ext>
              </c:extLst>
            </c:dLbl>
            <c:dLbl>
              <c:idx val="11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A534-4E3A-8B1D-91C164BA2BCD}"/>
                </c:ext>
              </c:extLst>
            </c:dLbl>
            <c:dLbl>
              <c:idx val="11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843D-4F39-8649-64ABC1A84E58}"/>
                </c:ext>
              </c:extLst>
            </c:dLbl>
            <c:dLbl>
              <c:idx val="11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0AA-4D3F-BB4B-5537F7144591}"/>
                </c:ext>
              </c:extLst>
            </c:dLbl>
            <c:dLbl>
              <c:idx val="11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A40-4E4C-B7C0-C5751B6BC60E}"/>
                </c:ext>
              </c:extLst>
            </c:dLbl>
            <c:dLbl>
              <c:idx val="11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1965-48BB-AA68-FAF3F7841339}"/>
                </c:ext>
              </c:extLst>
            </c:dLbl>
            <c:dLbl>
              <c:idx val="11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0F58-4CC2-B4E0-2114728366FA}"/>
                </c:ext>
              </c:extLst>
            </c:dLbl>
            <c:dLbl>
              <c:idx val="11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3B7-4FA4-BB84-197E950376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烏野!$E$2:$E$118</c:f>
              <c:numCache>
                <c:formatCode>General</c:formatCode>
                <c:ptCount val="117"/>
                <c:pt idx="0">
                  <c:v>493</c:v>
                </c:pt>
                <c:pt idx="1">
                  <c:v>465</c:v>
                </c:pt>
                <c:pt idx="2">
                  <c:v>472</c:v>
                </c:pt>
                <c:pt idx="3">
                  <c:v>469</c:v>
                </c:pt>
                <c:pt idx="4">
                  <c:v>479</c:v>
                </c:pt>
                <c:pt idx="5">
                  <c:v>463</c:v>
                </c:pt>
                <c:pt idx="6">
                  <c:v>477</c:v>
                </c:pt>
                <c:pt idx="7">
                  <c:v>462</c:v>
                </c:pt>
                <c:pt idx="8">
                  <c:v>465</c:v>
                </c:pt>
                <c:pt idx="9">
                  <c:v>461</c:v>
                </c:pt>
                <c:pt idx="10">
                  <c:v>460</c:v>
                </c:pt>
                <c:pt idx="11">
                  <c:v>460</c:v>
                </c:pt>
                <c:pt idx="12">
                  <c:v>471</c:v>
                </c:pt>
                <c:pt idx="13">
                  <c:v>493</c:v>
                </c:pt>
                <c:pt idx="14">
                  <c:v>472</c:v>
                </c:pt>
                <c:pt idx="15">
                  <c:v>476</c:v>
                </c:pt>
                <c:pt idx="16">
                  <c:v>501</c:v>
                </c:pt>
                <c:pt idx="17">
                  <c:v>472</c:v>
                </c:pt>
                <c:pt idx="18">
                  <c:v>483</c:v>
                </c:pt>
                <c:pt idx="19">
                  <c:v>474</c:v>
                </c:pt>
                <c:pt idx="20">
                  <c:v>476</c:v>
                </c:pt>
                <c:pt idx="21">
                  <c:v>482</c:v>
                </c:pt>
                <c:pt idx="22">
                  <c:v>469</c:v>
                </c:pt>
                <c:pt idx="23">
                  <c:v>494</c:v>
                </c:pt>
                <c:pt idx="24">
                  <c:v>467</c:v>
                </c:pt>
                <c:pt idx="25">
                  <c:v>501</c:v>
                </c:pt>
                <c:pt idx="26">
                  <c:v>469</c:v>
                </c:pt>
                <c:pt idx="27">
                  <c:v>487</c:v>
                </c:pt>
                <c:pt idx="28">
                  <c:v>469</c:v>
                </c:pt>
                <c:pt idx="29">
                  <c:v>507</c:v>
                </c:pt>
                <c:pt idx="30">
                  <c:v>475</c:v>
                </c:pt>
                <c:pt idx="31">
                  <c:v>487</c:v>
                </c:pt>
                <c:pt idx="32">
                  <c:v>473</c:v>
                </c:pt>
                <c:pt idx="33">
                  <c:v>479</c:v>
                </c:pt>
                <c:pt idx="34">
                  <c:v>475</c:v>
                </c:pt>
                <c:pt idx="35">
                  <c:v>499</c:v>
                </c:pt>
                <c:pt idx="36">
                  <c:v>509</c:v>
                </c:pt>
                <c:pt idx="37">
                  <c:v>475</c:v>
                </c:pt>
                <c:pt idx="38">
                  <c:v>485</c:v>
                </c:pt>
                <c:pt idx="39">
                  <c:v>482</c:v>
                </c:pt>
                <c:pt idx="40">
                  <c:v>470</c:v>
                </c:pt>
                <c:pt idx="41">
                  <c:v>483</c:v>
                </c:pt>
                <c:pt idx="42">
                  <c:v>466</c:v>
                </c:pt>
                <c:pt idx="43">
                  <c:v>453</c:v>
                </c:pt>
                <c:pt idx="44">
                  <c:v>490</c:v>
                </c:pt>
                <c:pt idx="45">
                  <c:v>477</c:v>
                </c:pt>
                <c:pt idx="46">
                  <c:v>493</c:v>
                </c:pt>
                <c:pt idx="47">
                  <c:v>500</c:v>
                </c:pt>
                <c:pt idx="48">
                  <c:v>510</c:v>
                </c:pt>
                <c:pt idx="49">
                  <c:v>466</c:v>
                </c:pt>
                <c:pt idx="50">
                  <c:v>477</c:v>
                </c:pt>
                <c:pt idx="51">
                  <c:v>493</c:v>
                </c:pt>
                <c:pt idx="52">
                  <c:v>480</c:v>
                </c:pt>
                <c:pt idx="53">
                  <c:v>475</c:v>
                </c:pt>
                <c:pt idx="54">
                  <c:v>466</c:v>
                </c:pt>
                <c:pt idx="55">
                  <c:v>481</c:v>
                </c:pt>
                <c:pt idx="56">
                  <c:v>499</c:v>
                </c:pt>
                <c:pt idx="57">
                  <c:v>483</c:v>
                </c:pt>
                <c:pt idx="58">
                  <c:v>514</c:v>
                </c:pt>
                <c:pt idx="59">
                  <c:v>505</c:v>
                </c:pt>
                <c:pt idx="60">
                  <c:v>479</c:v>
                </c:pt>
                <c:pt idx="61">
                  <c:v>479</c:v>
                </c:pt>
                <c:pt idx="62">
                  <c:v>488</c:v>
                </c:pt>
                <c:pt idx="63">
                  <c:v>497</c:v>
                </c:pt>
                <c:pt idx="64">
                  <c:v>513</c:v>
                </c:pt>
                <c:pt idx="65">
                  <c:v>481</c:v>
                </c:pt>
                <c:pt idx="66">
                  <c:v>520</c:v>
                </c:pt>
                <c:pt idx="67">
                  <c:v>481</c:v>
                </c:pt>
                <c:pt idx="68">
                  <c:v>461</c:v>
                </c:pt>
                <c:pt idx="69">
                  <c:v>493</c:v>
                </c:pt>
                <c:pt idx="70">
                  <c:v>501</c:v>
                </c:pt>
                <c:pt idx="71">
                  <c:v>487</c:v>
                </c:pt>
                <c:pt idx="72">
                  <c:v>511</c:v>
                </c:pt>
                <c:pt idx="73">
                  <c:v>507</c:v>
                </c:pt>
                <c:pt idx="74">
                  <c:v>467</c:v>
                </c:pt>
                <c:pt idx="75">
                  <c:v>467</c:v>
                </c:pt>
                <c:pt idx="76">
                  <c:v>474</c:v>
                </c:pt>
                <c:pt idx="77">
                  <c:v>485</c:v>
                </c:pt>
                <c:pt idx="78">
                  <c:v>464</c:v>
                </c:pt>
              </c:numCache>
            </c:numRef>
          </c:xVal>
          <c:yVal>
            <c:numRef>
              <c:f>烏野!$D$2:$D$118</c:f>
              <c:numCache>
                <c:formatCode>General</c:formatCode>
                <c:ptCount val="117"/>
                <c:pt idx="0">
                  <c:v>453</c:v>
                </c:pt>
                <c:pt idx="1">
                  <c:v>498</c:v>
                </c:pt>
                <c:pt idx="2">
                  <c:v>466</c:v>
                </c:pt>
                <c:pt idx="3">
                  <c:v>475</c:v>
                </c:pt>
                <c:pt idx="4">
                  <c:v>470</c:v>
                </c:pt>
                <c:pt idx="5">
                  <c:v>469</c:v>
                </c:pt>
                <c:pt idx="6">
                  <c:v>473</c:v>
                </c:pt>
                <c:pt idx="7">
                  <c:v>477</c:v>
                </c:pt>
                <c:pt idx="8">
                  <c:v>485</c:v>
                </c:pt>
                <c:pt idx="9">
                  <c:v>459</c:v>
                </c:pt>
                <c:pt idx="10">
                  <c:v>469</c:v>
                </c:pt>
                <c:pt idx="11">
                  <c:v>464</c:v>
                </c:pt>
                <c:pt idx="12">
                  <c:v>516</c:v>
                </c:pt>
                <c:pt idx="13">
                  <c:v>480</c:v>
                </c:pt>
                <c:pt idx="14">
                  <c:v>474</c:v>
                </c:pt>
                <c:pt idx="15">
                  <c:v>482</c:v>
                </c:pt>
                <c:pt idx="16">
                  <c:v>460</c:v>
                </c:pt>
                <c:pt idx="17">
                  <c:v>515</c:v>
                </c:pt>
                <c:pt idx="18">
                  <c:v>470</c:v>
                </c:pt>
                <c:pt idx="19">
                  <c:v>490</c:v>
                </c:pt>
                <c:pt idx="20">
                  <c:v>471</c:v>
                </c:pt>
                <c:pt idx="21">
                  <c:v>483</c:v>
                </c:pt>
                <c:pt idx="22">
                  <c:v>466</c:v>
                </c:pt>
                <c:pt idx="23">
                  <c:v>478</c:v>
                </c:pt>
                <c:pt idx="24">
                  <c:v>496</c:v>
                </c:pt>
                <c:pt idx="25">
                  <c:v>459</c:v>
                </c:pt>
                <c:pt idx="26">
                  <c:v>508</c:v>
                </c:pt>
                <c:pt idx="27">
                  <c:v>476</c:v>
                </c:pt>
                <c:pt idx="28">
                  <c:v>477</c:v>
                </c:pt>
                <c:pt idx="29">
                  <c:v>463</c:v>
                </c:pt>
                <c:pt idx="30">
                  <c:v>513</c:v>
                </c:pt>
                <c:pt idx="31">
                  <c:v>475</c:v>
                </c:pt>
                <c:pt idx="32">
                  <c:v>472</c:v>
                </c:pt>
                <c:pt idx="33">
                  <c:v>489</c:v>
                </c:pt>
                <c:pt idx="34">
                  <c:v>481</c:v>
                </c:pt>
                <c:pt idx="35">
                  <c:v>484</c:v>
                </c:pt>
                <c:pt idx="36">
                  <c:v>462</c:v>
                </c:pt>
                <c:pt idx="37">
                  <c:v>522</c:v>
                </c:pt>
                <c:pt idx="38">
                  <c:v>478</c:v>
                </c:pt>
                <c:pt idx="39">
                  <c:v>487</c:v>
                </c:pt>
                <c:pt idx="40">
                  <c:v>493</c:v>
                </c:pt>
                <c:pt idx="41">
                  <c:v>481</c:v>
                </c:pt>
                <c:pt idx="42">
                  <c:v>487</c:v>
                </c:pt>
                <c:pt idx="43">
                  <c:v>477</c:v>
                </c:pt>
                <c:pt idx="44">
                  <c:v>485</c:v>
                </c:pt>
                <c:pt idx="45">
                  <c:v>522</c:v>
                </c:pt>
                <c:pt idx="46">
                  <c:v>479</c:v>
                </c:pt>
                <c:pt idx="47">
                  <c:v>484</c:v>
                </c:pt>
                <c:pt idx="48">
                  <c:v>463</c:v>
                </c:pt>
                <c:pt idx="49">
                  <c:v>477</c:v>
                </c:pt>
                <c:pt idx="50">
                  <c:v>522</c:v>
                </c:pt>
                <c:pt idx="51">
                  <c:v>481</c:v>
                </c:pt>
                <c:pt idx="52">
                  <c:v>472</c:v>
                </c:pt>
                <c:pt idx="53">
                  <c:v>483</c:v>
                </c:pt>
                <c:pt idx="54">
                  <c:v>489</c:v>
                </c:pt>
                <c:pt idx="55">
                  <c:v>493</c:v>
                </c:pt>
                <c:pt idx="56">
                  <c:v>483</c:v>
                </c:pt>
                <c:pt idx="57">
                  <c:v>495</c:v>
                </c:pt>
                <c:pt idx="58">
                  <c:v>467</c:v>
                </c:pt>
                <c:pt idx="59">
                  <c:v>488</c:v>
                </c:pt>
                <c:pt idx="60">
                  <c:v>528</c:v>
                </c:pt>
                <c:pt idx="61">
                  <c:v>478</c:v>
                </c:pt>
                <c:pt idx="62">
                  <c:v>488</c:v>
                </c:pt>
                <c:pt idx="63">
                  <c:v>485</c:v>
                </c:pt>
                <c:pt idx="64">
                  <c:v>469</c:v>
                </c:pt>
                <c:pt idx="65">
                  <c:v>494</c:v>
                </c:pt>
                <c:pt idx="66">
                  <c:v>471</c:v>
                </c:pt>
                <c:pt idx="67">
                  <c:v>528</c:v>
                </c:pt>
                <c:pt idx="68">
                  <c:v>500</c:v>
                </c:pt>
                <c:pt idx="69">
                  <c:v>451</c:v>
                </c:pt>
                <c:pt idx="70">
                  <c:v>491</c:v>
                </c:pt>
                <c:pt idx="71">
                  <c:v>501</c:v>
                </c:pt>
                <c:pt idx="72">
                  <c:v>492</c:v>
                </c:pt>
                <c:pt idx="73">
                  <c:v>453</c:v>
                </c:pt>
                <c:pt idx="74">
                  <c:v>510</c:v>
                </c:pt>
                <c:pt idx="75">
                  <c:v>468</c:v>
                </c:pt>
                <c:pt idx="76">
                  <c:v>478</c:v>
                </c:pt>
                <c:pt idx="77">
                  <c:v>479</c:v>
                </c:pt>
                <c:pt idx="78">
                  <c:v>489</c:v>
                </c:pt>
              </c:numCache>
            </c:numRef>
          </c:yVal>
          <c:smooth val="0"/>
          <c:extLst>
            <c:ext xmlns:c15="http://schemas.microsoft.com/office/drawing/2012/chart" uri="{02D57815-91ED-43cb-92C2-25804820EDAC}">
              <c15:datalabelsRange>
                <c15:f>烏野!$F$2:$F$118</c15:f>
                <c15:dlblRangeCache>
                  <c:ptCount val="117"/>
                  <c:pt idx="0">
                    <c:v>日向翔陽ICO</c:v>
                  </c:pt>
                  <c:pt idx="1">
                    <c:v>影山飛雄ICO</c:v>
                  </c:pt>
                  <c:pt idx="2">
                    <c:v>月島蛍ICO</c:v>
                  </c:pt>
                  <c:pt idx="3">
                    <c:v>山口忠ICO</c:v>
                  </c:pt>
                  <c:pt idx="4">
                    <c:v>西谷夕ICO</c:v>
                  </c:pt>
                  <c:pt idx="5">
                    <c:v>田中龍之介ICO</c:v>
                  </c:pt>
                  <c:pt idx="6">
                    <c:v>澤村大地ICO</c:v>
                  </c:pt>
                  <c:pt idx="7">
                    <c:v>菅原考支ICO</c:v>
                  </c:pt>
                  <c:pt idx="8">
                    <c:v>東峰旭ICO</c:v>
                  </c:pt>
                  <c:pt idx="9">
                    <c:v>縁下力ICO</c:v>
                  </c:pt>
                  <c:pt idx="10">
                    <c:v>木下久志ICO</c:v>
                  </c:pt>
                  <c:pt idx="11">
                    <c:v>成田一仁ICO</c:v>
                  </c:pt>
                  <c:pt idx="12">
                    <c:v>Xmas影山飛雄ICO</c:v>
                  </c:pt>
                  <c:pt idx="13">
                    <c:v>Xmas西谷夕ICO</c:v>
                  </c:pt>
                  <c:pt idx="14">
                    <c:v>新年田中龍之介ICO</c:v>
                  </c:pt>
                  <c:pt idx="15">
                    <c:v>雪遊び山口忠ICO</c:v>
                  </c:pt>
                  <c:pt idx="16">
                    <c:v>1周年日向翔陽ICO</c:v>
                  </c:pt>
                  <c:pt idx="17">
                    <c:v>1周年影山飛雄ICO</c:v>
                  </c:pt>
                  <c:pt idx="18">
                    <c:v>1周年月島蛍ICO</c:v>
                  </c:pt>
                  <c:pt idx="19">
                    <c:v>サバゲ東峰旭ICO</c:v>
                  </c:pt>
                  <c:pt idx="20">
                    <c:v>RPG田中龍之介ICO</c:v>
                  </c:pt>
                  <c:pt idx="21">
                    <c:v>RPG澤村大地ICO</c:v>
                  </c:pt>
                  <c:pt idx="22">
                    <c:v>RPG縁下力ICO</c:v>
                  </c:pt>
                  <c:pt idx="23">
                    <c:v>バーガー西谷夕ICO</c:v>
                  </c:pt>
                  <c:pt idx="24">
                    <c:v>梅雨菅原考支ICO</c:v>
                  </c:pt>
                  <c:pt idx="25">
                    <c:v>制服日向翔陽ICO</c:v>
                  </c:pt>
                  <c:pt idx="26">
                    <c:v>制服影山飛雄ICO</c:v>
                  </c:pt>
                  <c:pt idx="27">
                    <c:v>制服西谷夕ICO</c:v>
                  </c:pt>
                  <c:pt idx="28">
                    <c:v>制服田中龍之介ICO</c:v>
                  </c:pt>
                  <c:pt idx="29">
                    <c:v>王冠日向翔陽ICO</c:v>
                  </c:pt>
                  <c:pt idx="30">
                    <c:v>王冠影山飛雄ICO</c:v>
                  </c:pt>
                  <c:pt idx="31">
                    <c:v>花火月島蛍ICO</c:v>
                  </c:pt>
                  <c:pt idx="32">
                    <c:v>花火縁下力ICO</c:v>
                  </c:pt>
                  <c:pt idx="33">
                    <c:v>スパイ山口忠ICO</c:v>
                  </c:pt>
                  <c:pt idx="34">
                    <c:v>仮装田中龍之介ICO</c:v>
                  </c:pt>
                  <c:pt idx="35">
                    <c:v>文化祭2西谷夕ICO</c:v>
                  </c:pt>
                  <c:pt idx="36">
                    <c:v>ジャージ日向翔陽ICO</c:v>
                  </c:pt>
                  <c:pt idx="37">
                    <c:v>ジャージ影山飛雄ICO</c:v>
                  </c:pt>
                  <c:pt idx="38">
                    <c:v>ジャージ月島蛍ICO</c:v>
                  </c:pt>
                  <c:pt idx="39">
                    <c:v>ジャージ山口忠ICO</c:v>
                  </c:pt>
                  <c:pt idx="40">
                    <c:v>Xmas2菅原考支ICO</c:v>
                  </c:pt>
                  <c:pt idx="41">
                    <c:v>プール掃除澤村大地ICO</c:v>
                  </c:pt>
                  <c:pt idx="42">
                    <c:v>プール掃除菅原考支ICO</c:v>
                  </c:pt>
                  <c:pt idx="43">
                    <c:v>プール掃除東峰旭ICO</c:v>
                  </c:pt>
                  <c:pt idx="44">
                    <c:v>新年2澤村大地ICO</c:v>
                  </c:pt>
                  <c:pt idx="45">
                    <c:v>2周年影山飛雄ICO</c:v>
                  </c:pt>
                  <c:pt idx="46">
                    <c:v>2周年月島蛍ICO</c:v>
                  </c:pt>
                  <c:pt idx="47">
                    <c:v>2周年西谷夕ICO</c:v>
                  </c:pt>
                  <c:pt idx="48">
                    <c:v>遊園地日向翔陽ICO</c:v>
                  </c:pt>
                  <c:pt idx="49">
                    <c:v>妖木下久志ICO</c:v>
                  </c:pt>
                  <c:pt idx="50">
                    <c:v>中学生影山飛雄ICO</c:v>
                  </c:pt>
                  <c:pt idx="51">
                    <c:v>アート2月島蛍ICO</c:v>
                  </c:pt>
                  <c:pt idx="52">
                    <c:v>水着月島蛍ICO</c:v>
                  </c:pt>
                  <c:pt idx="53">
                    <c:v>水着山口忠ICO</c:v>
                  </c:pt>
                  <c:pt idx="54">
                    <c:v>夏祭り2菅原考支ICO</c:v>
                  </c:pt>
                  <c:pt idx="55">
                    <c:v>夏祭り2東峰旭ICO</c:v>
                  </c:pt>
                  <c:pt idx="56">
                    <c:v>焼き芋月島蛍ICO</c:v>
                  </c:pt>
                  <c:pt idx="57">
                    <c:v>焼き芋山口忠ICO</c:v>
                  </c:pt>
                  <c:pt idx="58">
                    <c:v>ハロウィン日向翔陽ICO</c:v>
                  </c:pt>
                  <c:pt idx="59">
                    <c:v>ハロウィン西谷夕ICO</c:v>
                  </c:pt>
                  <c:pt idx="60">
                    <c:v>文化祭3影山飛雄ICO</c:v>
                  </c:pt>
                  <c:pt idx="61">
                    <c:v>Xmas3田中龍之介ICO</c:v>
                  </c:pt>
                  <c:pt idx="62">
                    <c:v>Xmas3澤村大地ICO</c:v>
                  </c:pt>
                  <c:pt idx="63">
                    <c:v>寝正月月島蛍ICO</c:v>
                  </c:pt>
                  <c:pt idx="64">
                    <c:v>和装体験日向翔陽ICO</c:v>
                  </c:pt>
                  <c:pt idx="65">
                    <c:v>和装体験東峰旭ICO</c:v>
                  </c:pt>
                  <c:pt idx="66">
                    <c:v>格ゲー日向翔陽ICO</c:v>
                  </c:pt>
                  <c:pt idx="67">
                    <c:v>格ゲー影山飛雄ICO</c:v>
                  </c:pt>
                  <c:pt idx="68">
                    <c:v>格ゲー清水潔子ICO</c:v>
                  </c:pt>
                  <c:pt idx="69">
                    <c:v>格ゲー谷地仁花ICO</c:v>
                  </c:pt>
                  <c:pt idx="70">
                    <c:v>思い出月島蛍ICO</c:v>
                  </c:pt>
                  <c:pt idx="71">
                    <c:v>思い出山口忠ICO</c:v>
                  </c:pt>
                  <c:pt idx="72">
                    <c:v>思い出西谷夕ICO</c:v>
                  </c:pt>
                  <c:pt idx="73">
                    <c:v>夏祭り日向翔陽ICO</c:v>
                  </c:pt>
                  <c:pt idx="74">
                    <c:v>夏祭り影山飛雄ICO</c:v>
                  </c:pt>
                  <c:pt idx="75">
                    <c:v>探偵縁下力ICO</c:v>
                  </c:pt>
                  <c:pt idx="76">
                    <c:v>職業体験月島蛍ICO</c:v>
                  </c:pt>
                  <c:pt idx="77">
                    <c:v>文化祭澤村大地ICO</c:v>
                  </c:pt>
                  <c:pt idx="78">
                    <c:v>文化祭菅原考支ICO</c:v>
                  </c:pt>
                </c15:dlblRangeCache>
              </c15:datalabelsRange>
            </c:ext>
            <c:ext xmlns:c16="http://schemas.microsoft.com/office/drawing/2014/chart" uri="{C3380CC4-5D6E-409C-BE32-E72D297353CC}">
              <c16:uniqueId val="{0000005D-D64C-4F4B-A79B-996E4DDA24D1}"/>
            </c:ext>
          </c:extLst>
        </c:ser>
        <c:ser>
          <c:idx val="7"/>
          <c:order val="7"/>
          <c:tx>
            <c:v>梟谷学園高校</c:v>
          </c:tx>
          <c:spPr>
            <a:ln w="25400" cap="rnd">
              <a:noFill/>
              <a:round/>
            </a:ln>
            <a:effectLst/>
          </c:spPr>
          <c:marker>
            <c:symbol val="diamond"/>
            <c:size val="10"/>
            <c:spPr>
              <a:solidFill>
                <a:srgbClr val="FFFF00"/>
              </a:solidFill>
              <a:ln w="9525">
                <a:solidFill>
                  <a:schemeClr val="bg1">
                    <a:lumMod val="50000"/>
                  </a:schemeClr>
                </a:solidFill>
              </a:ln>
              <a:effectLst/>
            </c:spPr>
          </c:marker>
          <c:dLbls>
            <c:dLbl>
              <c:idx val="0"/>
              <c:layout>
                <c:manualLayout>
                  <c:x val="-8.1138504814558636E-3"/>
                  <c:y val="-8.8710942580582011E-3"/>
                </c:manualLayout>
              </c:layout>
              <c:tx>
                <c:rich>
                  <a:bodyPr/>
                  <a:lstStyle/>
                  <a:p>
                    <a:fld id="{F95D167C-6E88-4B83-9515-1D9C417222C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E-D64C-4F4B-A79B-996E4DDA24D1}"/>
                </c:ext>
              </c:extLst>
            </c:dLbl>
            <c:dLbl>
              <c:idx val="1"/>
              <c:layout>
                <c:manualLayout>
                  <c:x val="1.3142120810024199E-2"/>
                  <c:y val="-2.4550794671994523E-2"/>
                </c:manualLayout>
              </c:layout>
              <c:tx>
                <c:rich>
                  <a:bodyPr/>
                  <a:lstStyle/>
                  <a:p>
                    <a:fld id="{829485A2-8148-4C32-9429-65496F92FE2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5F-D64C-4F4B-A79B-996E4DDA24D1}"/>
                </c:ext>
              </c:extLst>
            </c:dLbl>
            <c:dLbl>
              <c:idx val="2"/>
              <c:layout>
                <c:manualLayout>
                  <c:x val="-2.5828292382994E-2"/>
                  <c:y val="7.2848732439451331E-3"/>
                </c:manualLayout>
              </c:layout>
              <c:tx>
                <c:rich>
                  <a:bodyPr/>
                  <a:lstStyle/>
                  <a:p>
                    <a:fld id="{6FDE4533-305B-4A68-844B-F065CF2F5F4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0-D64C-4F4B-A79B-996E4DDA24D1}"/>
                </c:ext>
              </c:extLst>
            </c:dLbl>
            <c:dLbl>
              <c:idx val="3"/>
              <c:layout>
                <c:manualLayout>
                  <c:x val="4.054692743655821E-2"/>
                  <c:y val="9.0493192064271439E-4"/>
                </c:manualLayout>
              </c:layout>
              <c:tx>
                <c:rich>
                  <a:bodyPr/>
                  <a:lstStyle/>
                  <a:p>
                    <a:fld id="{86EEC17B-06BA-4F26-B6A6-0044876FF13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1-D64C-4F4B-A79B-996E4DDA24D1}"/>
                </c:ext>
              </c:extLst>
            </c:dLbl>
            <c:dLbl>
              <c:idx val="4"/>
              <c:layout>
                <c:manualLayout>
                  <c:x val="-5.3800190222300759E-2"/>
                  <c:y val="-7.446322224242961E-3"/>
                </c:manualLayout>
              </c:layout>
              <c:tx>
                <c:rich>
                  <a:bodyPr/>
                  <a:lstStyle/>
                  <a:p>
                    <a:fld id="{C5978F3F-5590-4850-B84D-984A0C86A3B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2-D64C-4F4B-A79B-996E4DDA24D1}"/>
                </c:ext>
              </c:extLst>
            </c:dLbl>
            <c:dLbl>
              <c:idx val="5"/>
              <c:layout>
                <c:manualLayout>
                  <c:x val="2.7829569087783125E-4"/>
                  <c:y val="4.2802529567728823E-3"/>
                </c:manualLayout>
              </c:layout>
              <c:tx>
                <c:rich>
                  <a:bodyPr/>
                  <a:lstStyle/>
                  <a:p>
                    <a:fld id="{136BD1F6-2317-40F2-A5CF-064600BDACE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3-D64C-4F4B-A79B-996E4DDA24D1}"/>
                </c:ext>
              </c:extLst>
            </c:dLbl>
            <c:dLbl>
              <c:idx val="6"/>
              <c:layout>
                <c:manualLayout>
                  <c:x val="3.8706692118662608E-3"/>
                  <c:y val="-4.6693668619340531E-3"/>
                </c:manualLayout>
              </c:layout>
              <c:tx>
                <c:rich>
                  <a:bodyPr/>
                  <a:lstStyle/>
                  <a:p>
                    <a:fld id="{7C896116-222E-4BDB-A37C-7F9C73DF7A1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4-D64C-4F4B-A79B-996E4DDA24D1}"/>
                </c:ext>
              </c:extLst>
            </c:dLbl>
            <c:dLbl>
              <c:idx val="7"/>
              <c:layout>
                <c:manualLayout>
                  <c:x val="7.0874587922115711E-3"/>
                  <c:y val="-1.3831459138669722E-3"/>
                </c:manualLayout>
              </c:layout>
              <c:tx>
                <c:rich>
                  <a:bodyPr/>
                  <a:lstStyle/>
                  <a:p>
                    <a:fld id="{87B84FE2-B540-4DAE-8809-7AD73D996D5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5-D64C-4F4B-A79B-996E4DDA24D1}"/>
                </c:ext>
              </c:extLst>
            </c:dLbl>
            <c:dLbl>
              <c:idx val="8"/>
              <c:layout>
                <c:manualLayout>
                  <c:x val="2.6471469949321921E-2"/>
                  <c:y val="-7.76763247722823E-3"/>
                </c:manualLayout>
              </c:layout>
              <c:tx>
                <c:rich>
                  <a:bodyPr/>
                  <a:lstStyle/>
                  <a:p>
                    <a:fld id="{9ED0D552-95D0-4440-8965-43BF600C20A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6-D64C-4F4B-A79B-996E4DDA24D1}"/>
                </c:ext>
              </c:extLst>
            </c:dLbl>
            <c:dLbl>
              <c:idx val="9"/>
              <c:layout>
                <c:manualLayout>
                  <c:x val="7.2243348298426865E-3"/>
                  <c:y val="-2.5451703917719836E-3"/>
                </c:manualLayout>
              </c:layout>
              <c:tx>
                <c:rich>
                  <a:bodyPr/>
                  <a:lstStyle/>
                  <a:p>
                    <a:fld id="{C6E55532-477A-410F-9D24-C810A158DBA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7-D64C-4F4B-A79B-996E4DDA24D1}"/>
                </c:ext>
              </c:extLst>
            </c:dLbl>
            <c:dLbl>
              <c:idx val="10"/>
              <c:layout>
                <c:manualLayout>
                  <c:x val="1.5230938144989832E-2"/>
                  <c:y val="8.209543670705928E-3"/>
                </c:manualLayout>
              </c:layout>
              <c:tx>
                <c:rich>
                  <a:bodyPr/>
                  <a:lstStyle/>
                  <a:p>
                    <a:fld id="{407C8667-6190-4BB5-A290-E9B1F8446F8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8BC-4BA4-BE87-A64C9E5DD061}"/>
                </c:ext>
              </c:extLst>
            </c:dLbl>
            <c:dLbl>
              <c:idx val="11"/>
              <c:layout>
                <c:manualLayout>
                  <c:x val="5.6019614939957271E-3"/>
                  <c:y val="-1.6797948882032239E-3"/>
                </c:manualLayout>
              </c:layout>
              <c:tx>
                <c:rich>
                  <a:bodyPr/>
                  <a:lstStyle/>
                  <a:p>
                    <a:fld id="{0BFE5DAA-1EE6-4524-B2B8-679F68264F1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FE3-44C4-B0DF-B68D9E8EF872}"/>
                </c:ext>
              </c:extLst>
            </c:dLbl>
            <c:dLbl>
              <c:idx val="12"/>
              <c:layout>
                <c:manualLayout>
                  <c:x val="-6.471920826092609E-4"/>
                  <c:y val="-7.8312796091052923E-3"/>
                </c:manualLayout>
              </c:layout>
              <c:tx>
                <c:rich>
                  <a:bodyPr/>
                  <a:lstStyle/>
                  <a:p>
                    <a:fld id="{257AF706-D429-4DF4-8090-0C7101993C6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0CB-4EEC-8482-1B5531E2F8FD}"/>
                </c:ext>
              </c:extLst>
            </c:dLbl>
            <c:dLbl>
              <c:idx val="13"/>
              <c:layout>
                <c:manualLayout>
                  <c:x val="-2.2193155925161806E-3"/>
                  <c:y val="-1.0251812137858266E-2"/>
                </c:manualLayout>
              </c:layout>
              <c:tx>
                <c:rich>
                  <a:bodyPr/>
                  <a:lstStyle/>
                  <a:p>
                    <a:fld id="{F2DB6EB1-7891-4C26-A2BB-EBEA25B6C64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163E-47CE-A8CE-C7C5DFEDB5DE}"/>
                </c:ext>
              </c:extLst>
            </c:dLbl>
            <c:dLbl>
              <c:idx val="14"/>
              <c:layout>
                <c:manualLayout>
                  <c:x val="-8.1499352189656024E-2"/>
                  <c:y val="2.1087418452995294E-2"/>
                </c:manualLayout>
              </c:layout>
              <c:tx>
                <c:rich>
                  <a:bodyPr/>
                  <a:lstStyle/>
                  <a:p>
                    <a:fld id="{918504F2-79A6-4376-856F-E4379136B9F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83C-4F84-8FAE-985FFBB7C9E6}"/>
                </c:ext>
              </c:extLst>
            </c:dLbl>
            <c:dLbl>
              <c:idx val="15"/>
              <c:layout>
                <c:manualLayout>
                  <c:x val="-3.7071931242406188E-2"/>
                  <c:y val="-6.8041902549831881E-3"/>
                </c:manualLayout>
              </c:layout>
              <c:tx>
                <c:rich>
                  <a:bodyPr/>
                  <a:lstStyle/>
                  <a:p>
                    <a:fld id="{7A7FDC6D-4220-442D-9B8D-186B974EB75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265-448E-8D85-5627A95BC81A}"/>
                </c:ext>
              </c:extLst>
            </c:dLbl>
            <c:dLbl>
              <c:idx val="16"/>
              <c:layout>
                <c:manualLayout>
                  <c:x val="-1.0129174317788871E-3"/>
                  <c:y val="-5.9165594384164872E-3"/>
                </c:manualLayout>
              </c:layout>
              <c:tx>
                <c:rich>
                  <a:bodyPr/>
                  <a:lstStyle/>
                  <a:p>
                    <a:fld id="{96B454E0-63FE-4548-9517-7A33B0EE245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2776-4065-B7F5-20E3FE05711F}"/>
                </c:ext>
              </c:extLst>
            </c:dLbl>
            <c:dLbl>
              <c:idx val="17"/>
              <c:layout>
                <c:manualLayout>
                  <c:x val="1.3271562340498672E-2"/>
                  <c:y val="1.4298587178508942E-3"/>
                </c:manualLayout>
              </c:layout>
              <c:tx>
                <c:rich>
                  <a:bodyPr/>
                  <a:lstStyle/>
                  <a:p>
                    <a:fld id="{DBE2C929-DB63-4646-9805-0CC48700D77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128-4D96-BCDD-3B931814E678}"/>
                </c:ext>
              </c:extLst>
            </c:dLbl>
            <c:dLbl>
              <c:idx val="18"/>
              <c:layout>
                <c:manualLayout>
                  <c:x val="8.5374645000338596E-3"/>
                  <c:y val="1.9970592797969346E-2"/>
                </c:manualLayout>
              </c:layout>
              <c:tx>
                <c:rich>
                  <a:bodyPr/>
                  <a:lstStyle/>
                  <a:p>
                    <a:fld id="{03FBCBDA-9728-4B91-82A2-29C12989E92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4B35-4568-8322-0B24B2D4D606}"/>
                </c:ext>
              </c:extLst>
            </c:dLbl>
            <c:dLbl>
              <c:idx val="19"/>
              <c:layout>
                <c:manualLayout>
                  <c:x val="3.1390089476301661E-2"/>
                  <c:y val="1.3970393207245453E-2"/>
                </c:manualLayout>
              </c:layout>
              <c:tx>
                <c:rich>
                  <a:bodyPr/>
                  <a:lstStyle/>
                  <a:p>
                    <a:fld id="{91E826D2-FA52-4FE9-823A-D0B4F3C74E6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DEA5-409C-9C55-3AC3299D044F}"/>
                </c:ext>
              </c:extLst>
            </c:dLbl>
            <c:dLbl>
              <c:idx val="20"/>
              <c:tx>
                <c:rich>
                  <a:bodyPr/>
                  <a:lstStyle/>
                  <a:p>
                    <a:fld id="{A18F3D94-FA4A-4EE2-A9FC-58E6AF2962C2}"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C0F-4CEB-AC9B-0E7248B3D3CC}"/>
                </c:ext>
              </c:extLst>
            </c:dLbl>
            <c:dLbl>
              <c:idx val="21"/>
              <c:layout>
                <c:manualLayout>
                  <c:x val="-4.0724484978223403E-2"/>
                  <c:y val="1.5134940751538347E-2"/>
                </c:manualLayout>
              </c:layout>
              <c:tx>
                <c:rich>
                  <a:bodyPr/>
                  <a:lstStyle/>
                  <a:p>
                    <a:fld id="{284E08E6-F38D-4826-BF9B-27B9F8AD544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0E4-495F-8D19-B14006973D2B}"/>
                </c:ext>
              </c:extLst>
            </c:dLbl>
            <c:dLbl>
              <c:idx val="22"/>
              <c:layout>
                <c:manualLayout>
                  <c:x val="-4.0596301900221888E-3"/>
                  <c:y val="-1.2093229658015448E-4"/>
                </c:manualLayout>
              </c:layout>
              <c:tx>
                <c:rich>
                  <a:bodyPr/>
                  <a:lstStyle/>
                  <a:p>
                    <a:fld id="{E5C6B5AE-3355-4A47-8210-71A696AE933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DA4-45FA-9131-57AB3234EB3D}"/>
                </c:ext>
              </c:extLst>
            </c:dLbl>
            <c:dLbl>
              <c:idx val="23"/>
              <c:layout>
                <c:manualLayout>
                  <c:x val="1.9142839772013039E-2"/>
                  <c:y val="9.2215255688166207E-4"/>
                </c:manualLayout>
              </c:layout>
              <c:tx>
                <c:rich>
                  <a:bodyPr/>
                  <a:lstStyle/>
                  <a:p>
                    <a:fld id="{7A61EA93-6988-451F-87A7-924C93F45C6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C7A-45DF-80B8-166C5A9CC667}"/>
                </c:ext>
              </c:extLst>
            </c:dLbl>
            <c:dLbl>
              <c:idx val="24"/>
              <c:tx>
                <c:rich>
                  <a:bodyPr/>
                  <a:lstStyle/>
                  <a:p>
                    <a:fld id="{6D5C7717-0505-4E0A-B59D-9DF8E47F9877}"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F15-4C7B-A0BE-ADAA7459AB0B}"/>
                </c:ext>
              </c:extLst>
            </c:dLbl>
            <c:dLbl>
              <c:idx val="25"/>
              <c:tx>
                <c:rich>
                  <a:bodyPr/>
                  <a:lstStyle/>
                  <a:p>
                    <a:fld id="{42E3D00D-12A5-49E4-8DBB-EB3C2B36C86F}"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BC9B-4858-9551-C9EF0C03A4D1}"/>
                </c:ext>
              </c:extLst>
            </c:dLbl>
            <c:dLbl>
              <c:idx val="26"/>
              <c:layout>
                <c:manualLayout>
                  <c:x val="-3.6437957791291754E-2"/>
                  <c:y val="-9.2393515067660491E-3"/>
                </c:manualLayout>
              </c:layout>
              <c:tx>
                <c:rich>
                  <a:bodyPr/>
                  <a:lstStyle/>
                  <a:p>
                    <a:fld id="{282F9925-6EC2-408E-B8DD-DDBF5406784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C1A9-4AF7-931B-9599D3C75D3B}"/>
                </c:ext>
              </c:extLst>
            </c:dLbl>
            <c:dLbl>
              <c:idx val="27"/>
              <c:layout>
                <c:manualLayout>
                  <c:x val="8.7748342722167843E-3"/>
                  <c:y val="5.2214152518051012E-3"/>
                </c:manualLayout>
              </c:layout>
              <c:tx>
                <c:rich>
                  <a:bodyPr/>
                  <a:lstStyle/>
                  <a:p>
                    <a:fld id="{C19D9437-E60C-4AA5-9075-B7B17184B23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A8B6-4220-A4CD-19F7D77977A2}"/>
                </c:ext>
              </c:extLst>
            </c:dLbl>
            <c:dLbl>
              <c:idx val="28"/>
              <c:tx>
                <c:rich>
                  <a:bodyPr/>
                  <a:lstStyle/>
                  <a:p>
                    <a:fld id="{0087E79A-0CC4-4E3B-87DC-CCBEBE3FCFFB}"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28F7-4451-A37E-3564B5B837E6}"/>
                </c:ext>
              </c:extLst>
            </c:dLbl>
            <c:dLbl>
              <c:idx val="29"/>
              <c:layout>
                <c:manualLayout>
                  <c:x val="-6.2191353689519772E-3"/>
                  <c:y val="-2.3229408736819931E-2"/>
                </c:manualLayout>
              </c:layout>
              <c:tx>
                <c:rich>
                  <a:bodyPr/>
                  <a:lstStyle/>
                  <a:p>
                    <a:fld id="{D4871B8F-BD20-4759-B8C1-C32512BAE5B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70F-4DD7-9596-41E9CADF31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梟谷!$E$2:$E$31</c:f>
              <c:numCache>
                <c:formatCode>General</c:formatCode>
                <c:ptCount val="30"/>
                <c:pt idx="0">
                  <c:v>481</c:v>
                </c:pt>
                <c:pt idx="1">
                  <c:v>479</c:v>
                </c:pt>
                <c:pt idx="2">
                  <c:v>483</c:v>
                </c:pt>
                <c:pt idx="3">
                  <c:v>474</c:v>
                </c:pt>
                <c:pt idx="4">
                  <c:v>463</c:v>
                </c:pt>
                <c:pt idx="5">
                  <c:v>471</c:v>
                </c:pt>
                <c:pt idx="6">
                  <c:v>472</c:v>
                </c:pt>
                <c:pt idx="7">
                  <c:v>490</c:v>
                </c:pt>
                <c:pt idx="8">
                  <c:v>481</c:v>
                </c:pt>
                <c:pt idx="9">
                  <c:v>488</c:v>
                </c:pt>
                <c:pt idx="10">
                  <c:v>493</c:v>
                </c:pt>
                <c:pt idx="11">
                  <c:v>492</c:v>
                </c:pt>
                <c:pt idx="12">
                  <c:v>471</c:v>
                </c:pt>
                <c:pt idx="13">
                  <c:v>478</c:v>
                </c:pt>
                <c:pt idx="14">
                  <c:v>493</c:v>
                </c:pt>
                <c:pt idx="15">
                  <c:v>482</c:v>
                </c:pt>
                <c:pt idx="16">
                  <c:v>497</c:v>
                </c:pt>
                <c:pt idx="17">
                  <c:v>480</c:v>
                </c:pt>
                <c:pt idx="18">
                  <c:v>495</c:v>
                </c:pt>
                <c:pt idx="19">
                  <c:v>498</c:v>
                </c:pt>
                <c:pt idx="20">
                  <c:v>482</c:v>
                </c:pt>
                <c:pt idx="21">
                  <c:v>489</c:v>
                </c:pt>
                <c:pt idx="22">
                  <c:v>479</c:v>
                </c:pt>
                <c:pt idx="23">
                  <c:v>483</c:v>
                </c:pt>
                <c:pt idx="24">
                  <c:v>502</c:v>
                </c:pt>
                <c:pt idx="25">
                  <c:v>487</c:v>
                </c:pt>
                <c:pt idx="26">
                  <c:v>487</c:v>
                </c:pt>
                <c:pt idx="27">
                  <c:v>476</c:v>
                </c:pt>
                <c:pt idx="28">
                  <c:v>506</c:v>
                </c:pt>
                <c:pt idx="29">
                  <c:v>485</c:v>
                </c:pt>
              </c:numCache>
            </c:numRef>
          </c:xVal>
          <c:yVal>
            <c:numRef>
              <c:f>梟谷!$D$2:$D$31</c:f>
              <c:numCache>
                <c:formatCode>General</c:formatCode>
                <c:ptCount val="30"/>
                <c:pt idx="0">
                  <c:v>488</c:v>
                </c:pt>
                <c:pt idx="1">
                  <c:v>483</c:v>
                </c:pt>
                <c:pt idx="2">
                  <c:v>479</c:v>
                </c:pt>
                <c:pt idx="3">
                  <c:v>456</c:v>
                </c:pt>
                <c:pt idx="4">
                  <c:v>462</c:v>
                </c:pt>
                <c:pt idx="5">
                  <c:v>476</c:v>
                </c:pt>
                <c:pt idx="6">
                  <c:v>492</c:v>
                </c:pt>
                <c:pt idx="7">
                  <c:v>494</c:v>
                </c:pt>
                <c:pt idx="8">
                  <c:v>498</c:v>
                </c:pt>
                <c:pt idx="9">
                  <c:v>489</c:v>
                </c:pt>
                <c:pt idx="10">
                  <c:v>500</c:v>
                </c:pt>
                <c:pt idx="11">
                  <c:v>493</c:v>
                </c:pt>
                <c:pt idx="12">
                  <c:v>507</c:v>
                </c:pt>
                <c:pt idx="13">
                  <c:v>510</c:v>
                </c:pt>
                <c:pt idx="14">
                  <c:v>485</c:v>
                </c:pt>
                <c:pt idx="15">
                  <c:v>462</c:v>
                </c:pt>
                <c:pt idx="16">
                  <c:v>497</c:v>
                </c:pt>
                <c:pt idx="17">
                  <c:v>509</c:v>
                </c:pt>
                <c:pt idx="18">
                  <c:v>491</c:v>
                </c:pt>
                <c:pt idx="19">
                  <c:v>506</c:v>
                </c:pt>
                <c:pt idx="20">
                  <c:v>516</c:v>
                </c:pt>
                <c:pt idx="21">
                  <c:v>487</c:v>
                </c:pt>
                <c:pt idx="22">
                  <c:v>482</c:v>
                </c:pt>
                <c:pt idx="23">
                  <c:v>516</c:v>
                </c:pt>
                <c:pt idx="24">
                  <c:v>512</c:v>
                </c:pt>
                <c:pt idx="25">
                  <c:v>521</c:v>
                </c:pt>
                <c:pt idx="26">
                  <c:v>496</c:v>
                </c:pt>
                <c:pt idx="27">
                  <c:v>502</c:v>
                </c:pt>
                <c:pt idx="28">
                  <c:v>510</c:v>
                </c:pt>
                <c:pt idx="29">
                  <c:v>491</c:v>
                </c:pt>
              </c:numCache>
            </c:numRef>
          </c:yVal>
          <c:smooth val="0"/>
          <c:extLst>
            <c:ext xmlns:c15="http://schemas.microsoft.com/office/drawing/2012/chart" uri="{02D57815-91ED-43cb-92C2-25804820EDAC}">
              <c15:datalabelsRange>
                <c15:f>梟谷!$F$2:$F$110</c15:f>
                <c15:dlblRangeCache>
                  <c:ptCount val="109"/>
                  <c:pt idx="0">
                    <c:v>木兎光太郎ICO</c:v>
                  </c:pt>
                  <c:pt idx="1">
                    <c:v>木葉秋紀ICO</c:v>
                  </c:pt>
                  <c:pt idx="2">
                    <c:v>猿杙大和ICO</c:v>
                  </c:pt>
                  <c:pt idx="3">
                    <c:v>小見春樹ICO</c:v>
                  </c:pt>
                  <c:pt idx="4">
                    <c:v>尾長渉ICO</c:v>
                  </c:pt>
                  <c:pt idx="5">
                    <c:v>鷲尾辰生ICO</c:v>
                  </c:pt>
                  <c:pt idx="6">
                    <c:v>赤葦京治ICO</c:v>
                  </c:pt>
                  <c:pt idx="7">
                    <c:v>Xmas木兎光太郎ICO</c:v>
                  </c:pt>
                  <c:pt idx="8">
                    <c:v>バーガー赤葦京治ICO</c:v>
                  </c:pt>
                  <c:pt idx="9">
                    <c:v>梅雨木葉秋紀ICO</c:v>
                  </c:pt>
                  <c:pt idx="10">
                    <c:v>キャンプ木兎光太郎ICO</c:v>
                  </c:pt>
                  <c:pt idx="11">
                    <c:v>制服木兎光太郎ICO</c:v>
                  </c:pt>
                  <c:pt idx="12">
                    <c:v>制服赤葦京治ICO</c:v>
                  </c:pt>
                  <c:pt idx="13">
                    <c:v>仮装赤葦京治ICO</c:v>
                  </c:pt>
                  <c:pt idx="14">
                    <c:v>路地裏2木葉秋紀ICO</c:v>
                  </c:pt>
                  <c:pt idx="15">
                    <c:v>路地裏2小見春樹ICO</c:v>
                  </c:pt>
                  <c:pt idx="16">
                    <c:v>2周年木兎光太郎ICO</c:v>
                  </c:pt>
                  <c:pt idx="17">
                    <c:v>妖赤葦京治ICO</c:v>
                  </c:pt>
                  <c:pt idx="18">
                    <c:v>水着2木葉秋紀ICO</c:v>
                  </c:pt>
                  <c:pt idx="19">
                    <c:v>焼き芋木兎光太郎ICO</c:v>
                  </c:pt>
                  <c:pt idx="20">
                    <c:v>焼き芋赤葦京治ICO</c:v>
                  </c:pt>
                  <c:pt idx="21">
                    <c:v>ハロウィン猿杙大和ICO</c:v>
                  </c:pt>
                  <c:pt idx="22">
                    <c:v>ハロウィン鷲尾辰生ICO</c:v>
                  </c:pt>
                  <c:pt idx="23">
                    <c:v>Xmas3赤葦京治ICO</c:v>
                  </c:pt>
                  <c:pt idx="24">
                    <c:v>3周年木兎光太郎ICO</c:v>
                  </c:pt>
                  <c:pt idx="25">
                    <c:v>3周年赤葦京治ICO</c:v>
                  </c:pt>
                  <c:pt idx="26">
                    <c:v>夏祭り木兎光太郎ICO</c:v>
                  </c:pt>
                  <c:pt idx="27">
                    <c:v>夏祭り赤葦京治ICO</c:v>
                  </c:pt>
                  <c:pt idx="28">
                    <c:v>梅雨2木兎光太郎ICO</c:v>
                  </c:pt>
                  <c:pt idx="29">
                    <c:v>探偵木葉秋紀ICO</c:v>
                  </c:pt>
                </c15:dlblRangeCache>
              </c15:datalabelsRange>
            </c:ext>
            <c:ext xmlns:c16="http://schemas.microsoft.com/office/drawing/2014/chart" uri="{C3380CC4-5D6E-409C-BE32-E72D297353CC}">
              <c16:uniqueId val="{00000068-D64C-4F4B-A79B-996E4DDA24D1}"/>
            </c:ext>
          </c:extLst>
        </c:ser>
        <c:ser>
          <c:idx val="8"/>
          <c:order val="8"/>
          <c:tx>
            <c:v>条善寺高校</c:v>
          </c:tx>
          <c:spPr>
            <a:ln w="25400" cap="rnd">
              <a:noFill/>
              <a:round/>
            </a:ln>
            <a:effectLst/>
          </c:spPr>
          <c:marker>
            <c:symbol val="circle"/>
            <c:size val="10"/>
            <c:spPr>
              <a:solidFill>
                <a:srgbClr val="FFCC00"/>
              </a:solidFill>
              <a:ln w="9525">
                <a:noFill/>
              </a:ln>
              <a:effectLst/>
            </c:spPr>
          </c:marker>
          <c:dLbls>
            <c:dLbl>
              <c:idx val="0"/>
              <c:layout>
                <c:manualLayout>
                  <c:x val="-2.6324734720208971E-2"/>
                  <c:y val="-1.0736925020248263E-2"/>
                </c:manualLayout>
              </c:layout>
              <c:tx>
                <c:rich>
                  <a:bodyPr/>
                  <a:lstStyle/>
                  <a:p>
                    <a:fld id="{C1D52CDE-9506-448D-B4DA-75B41F1AD77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9-D64C-4F4B-A79B-996E4DDA24D1}"/>
                </c:ext>
              </c:extLst>
            </c:dLbl>
            <c:dLbl>
              <c:idx val="1"/>
              <c:layout>
                <c:manualLayout>
                  <c:x val="-4.7664331577717968E-2"/>
                  <c:y val="4.2255649472415936E-3"/>
                </c:manualLayout>
              </c:layout>
              <c:tx>
                <c:rich>
                  <a:bodyPr/>
                  <a:lstStyle/>
                  <a:p>
                    <a:fld id="{4219E41A-7D07-4F90-ABA5-E4E18572994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A-D64C-4F4B-A79B-996E4DDA24D1}"/>
                </c:ext>
              </c:extLst>
            </c:dLbl>
            <c:dLbl>
              <c:idx val="2"/>
              <c:layout>
                <c:manualLayout>
                  <c:x val="-2.7866266333674606E-2"/>
                  <c:y val="-1.2941381961375321E-2"/>
                </c:manualLayout>
              </c:layout>
              <c:tx>
                <c:rich>
                  <a:bodyPr/>
                  <a:lstStyle/>
                  <a:p>
                    <a:fld id="{EE8DEDE9-0E3F-4080-8F5C-8F5F93D488F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B-D64C-4F4B-A79B-996E4DDA24D1}"/>
                </c:ext>
              </c:extLst>
            </c:dLbl>
            <c:dLbl>
              <c:idx val="3"/>
              <c:layout>
                <c:manualLayout>
                  <c:x val="-9.8363031964948791E-2"/>
                  <c:y val="-3.0768337609512038E-2"/>
                </c:manualLayout>
              </c:layout>
              <c:tx>
                <c:rich>
                  <a:bodyPr/>
                  <a:lstStyle/>
                  <a:p>
                    <a:fld id="{F816D102-83AE-4B5C-BC8A-4F12948F6F6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C-D64C-4F4B-A79B-996E4DDA24D1}"/>
                </c:ext>
              </c:extLst>
            </c:dLbl>
            <c:dLbl>
              <c:idx val="4"/>
              <c:layout>
                <c:manualLayout>
                  <c:x val="2.8236601882508905E-3"/>
                  <c:y val="2.7773467533984578E-3"/>
                </c:manualLayout>
              </c:layout>
              <c:tx>
                <c:rich>
                  <a:bodyPr/>
                  <a:lstStyle/>
                  <a:p>
                    <a:fld id="{FCD9365D-0374-452F-BC6D-A20BDD65F53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D-D64C-4F4B-A79B-996E4DDA24D1}"/>
                </c:ext>
              </c:extLst>
            </c:dLbl>
            <c:dLbl>
              <c:idx val="5"/>
              <c:layout>
                <c:manualLayout>
                  <c:x val="6.9748349396614234E-3"/>
                  <c:y val="-8.36990403996506E-3"/>
                </c:manualLayout>
              </c:layout>
              <c:tx>
                <c:rich>
                  <a:bodyPr/>
                  <a:lstStyle/>
                  <a:p>
                    <a:fld id="{4F183A8B-57B0-4518-A094-8E3CFBAA51A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E-D64C-4F4B-A79B-996E4DDA24D1}"/>
                </c:ext>
              </c:extLst>
            </c:dLbl>
            <c:dLbl>
              <c:idx val="6"/>
              <c:layout>
                <c:manualLayout>
                  <c:x val="-5.5763641249109014E-2"/>
                  <c:y val="1.5332212223207645E-2"/>
                </c:manualLayout>
              </c:layout>
              <c:tx>
                <c:rich>
                  <a:bodyPr/>
                  <a:lstStyle/>
                  <a:p>
                    <a:fld id="{067BBC0F-E59D-4C6D-A307-2AA0AC613CB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6F-D64C-4F4B-A79B-996E4DDA24D1}"/>
                </c:ext>
              </c:extLst>
            </c:dLbl>
            <c:dLbl>
              <c:idx val="7"/>
              <c:layout>
                <c:manualLayout>
                  <c:x val="-7.2988776573503195E-2"/>
                  <c:y val="-1.2834443120058566E-2"/>
                </c:manualLayout>
              </c:layout>
              <c:tx>
                <c:rich>
                  <a:bodyPr/>
                  <a:lstStyle/>
                  <a:p>
                    <a:fld id="{7B5263CC-0F47-465A-9DF9-96D7B35D64E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0-D64C-4F4B-A79B-996E4DDA24D1}"/>
                </c:ext>
              </c:extLst>
            </c:dLbl>
            <c:dLbl>
              <c:idx val="8"/>
              <c:layout>
                <c:manualLayout>
                  <c:x val="-4.846981468622559E-2"/>
                  <c:y val="-1.2844317728704646E-2"/>
                </c:manualLayout>
              </c:layout>
              <c:tx>
                <c:rich>
                  <a:bodyPr/>
                  <a:lstStyle/>
                  <a:p>
                    <a:fld id="{415FF3E5-A081-4639-9463-58B32998B19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1-D64C-4F4B-A79B-996E4DDA24D1}"/>
                </c:ext>
              </c:extLst>
            </c:dLbl>
            <c:dLbl>
              <c:idx val="9"/>
              <c:layout>
                <c:manualLayout>
                  <c:x val="-4.6392681568267466E-2"/>
                  <c:y val="1.28038571386792E-2"/>
                </c:manualLayout>
              </c:layout>
              <c:tx>
                <c:rich>
                  <a:bodyPr/>
                  <a:lstStyle/>
                  <a:p>
                    <a:fld id="{3660974E-C401-4C07-8274-BCD64E97751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063-4AC0-B6E2-4B36A85EBBA7}"/>
                </c:ext>
              </c:extLst>
            </c:dLbl>
            <c:dLbl>
              <c:idx val="10"/>
              <c:layout>
                <c:manualLayout>
                  <c:x val="-6.0606029663620243E-3"/>
                  <c:y val="-9.6718381497133774E-3"/>
                </c:manualLayout>
              </c:layout>
              <c:tx>
                <c:rich>
                  <a:bodyPr/>
                  <a:lstStyle/>
                  <a:p>
                    <a:fld id="{4CE7BB35-0753-43B4-957D-1C667E44EC4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3F2-42CE-B98E-21EE064FEA4A}"/>
                </c:ext>
              </c:extLst>
            </c:dLbl>
            <c:dLbl>
              <c:idx val="11"/>
              <c:layout>
                <c:manualLayout>
                  <c:x val="-5.5122766220750519E-2"/>
                  <c:y val="-7.4903763782582043E-3"/>
                </c:manualLayout>
              </c:layout>
              <c:tx>
                <c:rich>
                  <a:bodyPr/>
                  <a:lstStyle/>
                  <a:p>
                    <a:fld id="{701F1857-1FA3-4E20-AB71-D835B350743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21A-4B2D-9318-F25EA65B2F86}"/>
                </c:ext>
              </c:extLst>
            </c:dLbl>
            <c:dLbl>
              <c:idx val="12"/>
              <c:tx>
                <c:rich>
                  <a:bodyPr/>
                  <a:lstStyle/>
                  <a:p>
                    <a:fld id="{68FDE4A7-085F-436B-8FE1-1A8777EF63D8}"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470-43EF-B7FF-EACE00A11D81}"/>
                </c:ext>
              </c:extLst>
            </c:dLbl>
            <c:dLbl>
              <c:idx val="13"/>
              <c:layout>
                <c:manualLayout>
                  <c:x val="3.2536880133983488E-2"/>
                  <c:y val="-4.1969105864275283E-2"/>
                </c:manualLayout>
              </c:layout>
              <c:tx>
                <c:rich>
                  <a:bodyPr/>
                  <a:lstStyle/>
                  <a:p>
                    <a:fld id="{0AF1F8CF-2B77-4565-A732-68D528E8F8B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F131-4BC0-9B4D-AED2CAAC57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条善寺!$E$2:$E$15</c:f>
              <c:numCache>
                <c:formatCode>General</c:formatCode>
                <c:ptCount val="14"/>
                <c:pt idx="0">
                  <c:v>467</c:v>
                </c:pt>
                <c:pt idx="1">
                  <c:v>470</c:v>
                </c:pt>
                <c:pt idx="2">
                  <c:v>464</c:v>
                </c:pt>
                <c:pt idx="3">
                  <c:v>462</c:v>
                </c:pt>
                <c:pt idx="4">
                  <c:v>469</c:v>
                </c:pt>
                <c:pt idx="5">
                  <c:v>470</c:v>
                </c:pt>
                <c:pt idx="6">
                  <c:v>469</c:v>
                </c:pt>
                <c:pt idx="7">
                  <c:v>476</c:v>
                </c:pt>
                <c:pt idx="8">
                  <c:v>473</c:v>
                </c:pt>
                <c:pt idx="9">
                  <c:v>468</c:v>
                </c:pt>
                <c:pt idx="10">
                  <c:v>477</c:v>
                </c:pt>
                <c:pt idx="11">
                  <c:v>480</c:v>
                </c:pt>
                <c:pt idx="12">
                  <c:v>478</c:v>
                </c:pt>
                <c:pt idx="13">
                  <c:v>482</c:v>
                </c:pt>
              </c:numCache>
            </c:numRef>
          </c:xVal>
          <c:yVal>
            <c:numRef>
              <c:f>条善寺!$D$2:$D$15</c:f>
              <c:numCache>
                <c:formatCode>General</c:formatCode>
                <c:ptCount val="14"/>
                <c:pt idx="0">
                  <c:v>479</c:v>
                </c:pt>
                <c:pt idx="1">
                  <c:v>464</c:v>
                </c:pt>
                <c:pt idx="2">
                  <c:v>469</c:v>
                </c:pt>
                <c:pt idx="3">
                  <c:v>470</c:v>
                </c:pt>
                <c:pt idx="4">
                  <c:v>461</c:v>
                </c:pt>
                <c:pt idx="5">
                  <c:v>469</c:v>
                </c:pt>
                <c:pt idx="6">
                  <c:v>456</c:v>
                </c:pt>
                <c:pt idx="7">
                  <c:v>484</c:v>
                </c:pt>
                <c:pt idx="8">
                  <c:v>487</c:v>
                </c:pt>
                <c:pt idx="9">
                  <c:v>479</c:v>
                </c:pt>
                <c:pt idx="10">
                  <c:v>493</c:v>
                </c:pt>
                <c:pt idx="11">
                  <c:v>491</c:v>
                </c:pt>
                <c:pt idx="12">
                  <c:v>470</c:v>
                </c:pt>
                <c:pt idx="13">
                  <c:v>499</c:v>
                </c:pt>
              </c:numCache>
            </c:numRef>
          </c:yVal>
          <c:smooth val="0"/>
          <c:extLst>
            <c:ext xmlns:c15="http://schemas.microsoft.com/office/drawing/2012/chart" uri="{02D57815-91ED-43cb-92C2-25804820EDAC}">
              <c15:datalabelsRange>
                <c15:f>条善寺!$F$2:$F$102</c15:f>
                <c15:dlblRangeCache>
                  <c:ptCount val="101"/>
                  <c:pt idx="0">
                    <c:v>照島游児ICO</c:v>
                  </c:pt>
                  <c:pt idx="1">
                    <c:v>母畑和馬ICO</c:v>
                  </c:pt>
                  <c:pt idx="2">
                    <c:v>二岐丈晴ICO</c:v>
                  </c:pt>
                  <c:pt idx="3">
                    <c:v>沼尻凛太郎ICO</c:v>
                  </c:pt>
                  <c:pt idx="4">
                    <c:v>飯坂信義ICO</c:v>
                  </c:pt>
                  <c:pt idx="5">
                    <c:v>東山勝道ICO</c:v>
                  </c:pt>
                  <c:pt idx="6">
                    <c:v>土湯新ICO</c:v>
                  </c:pt>
                  <c:pt idx="7">
                    <c:v>雪遊び照島游児ICO</c:v>
                  </c:pt>
                  <c:pt idx="8">
                    <c:v>制服照島游児ICO</c:v>
                  </c:pt>
                  <c:pt idx="9">
                    <c:v>制服二岐丈晴ICO</c:v>
                  </c:pt>
                  <c:pt idx="10">
                    <c:v>スパイ照島游児ICO</c:v>
                  </c:pt>
                  <c:pt idx="11">
                    <c:v>妖照島游児ICO</c:v>
                  </c:pt>
                  <c:pt idx="12">
                    <c:v>アート2母畑和馬ICO</c:v>
                  </c:pt>
                  <c:pt idx="13">
                    <c:v>格ゲー照島游児ICO</c:v>
                  </c:pt>
                </c15:dlblRangeCache>
              </c15:datalabelsRange>
            </c:ext>
            <c:ext xmlns:c16="http://schemas.microsoft.com/office/drawing/2014/chart" uri="{C3380CC4-5D6E-409C-BE32-E72D297353CC}">
              <c16:uniqueId val="{00000072-D64C-4F4B-A79B-996E4DDA24D1}"/>
            </c:ext>
          </c:extLst>
        </c:ser>
        <c:ser>
          <c:idx val="9"/>
          <c:order val="9"/>
          <c:tx>
            <c:v>扇南高校</c:v>
          </c:tx>
          <c:spPr>
            <a:ln w="25400" cap="rnd">
              <a:noFill/>
              <a:round/>
            </a:ln>
            <a:effectLst/>
          </c:spPr>
          <c:marker>
            <c:symbol val="circle"/>
            <c:size val="10"/>
            <c:spPr>
              <a:solidFill>
                <a:srgbClr val="0070C0"/>
              </a:solidFill>
              <a:ln w="9525">
                <a:solidFill>
                  <a:schemeClr val="bg1"/>
                </a:solidFill>
              </a:ln>
              <a:effectLst/>
            </c:spPr>
          </c:marker>
          <c:dLbls>
            <c:dLbl>
              <c:idx val="0"/>
              <c:tx>
                <c:rich>
                  <a:bodyPr/>
                  <a:lstStyle/>
                  <a:p>
                    <a:fld id="{05628841-AEE3-455F-9A15-3816E8683407}"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3-D64C-4F4B-A79B-996E4DDA24D1}"/>
                </c:ext>
              </c:extLst>
            </c:dLbl>
            <c:dLbl>
              <c:idx val="1"/>
              <c:layout>
                <c:manualLayout>
                  <c:x val="-0.16238564555922291"/>
                  <c:y val="-2.3292685780874019E-2"/>
                </c:manualLayout>
              </c:layout>
              <c:tx>
                <c:rich>
                  <a:bodyPr/>
                  <a:lstStyle/>
                  <a:p>
                    <a:fld id="{77098EBF-C233-4275-922D-1DFBEEE8C9A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4-D64C-4F4B-A79B-996E4DDA24D1}"/>
                </c:ext>
              </c:extLst>
            </c:dLbl>
            <c:dLbl>
              <c:idx val="2"/>
              <c:layout>
                <c:manualLayout>
                  <c:x val="-4.1473715410277542E-2"/>
                  <c:y val="9.7182244721843516E-3"/>
                </c:manualLayout>
              </c:layout>
              <c:tx>
                <c:rich>
                  <a:bodyPr/>
                  <a:lstStyle/>
                  <a:p>
                    <a:fld id="{3125BC1C-0894-4F3A-9FA8-F73D0B7C92E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5-D64C-4F4B-A79B-996E4DDA24D1}"/>
                </c:ext>
              </c:extLst>
            </c:dLbl>
            <c:dLbl>
              <c:idx val="3"/>
              <c:layout>
                <c:manualLayout>
                  <c:x val="-4.8554922565431653E-2"/>
                  <c:y val="-5.4139356126812165E-3"/>
                </c:manualLayout>
              </c:layout>
              <c:tx>
                <c:rich>
                  <a:bodyPr/>
                  <a:lstStyle/>
                  <a:p>
                    <a:fld id="{64B46E8A-88D9-412D-B736-894EC790457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6-D64C-4F4B-A79B-996E4DDA24D1}"/>
                </c:ext>
              </c:extLst>
            </c:dLbl>
            <c:dLbl>
              <c:idx val="4"/>
              <c:layout>
                <c:manualLayout>
                  <c:x val="-0.17408085392413986"/>
                  <c:y val="-3.3177439890245401E-2"/>
                </c:manualLayout>
              </c:layout>
              <c:tx>
                <c:rich>
                  <a:bodyPr/>
                  <a:lstStyle/>
                  <a:p>
                    <a:fld id="{F1718017-1E05-4287-B549-F656DB4CD26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7-D64C-4F4B-A79B-996E4DDA24D1}"/>
                </c:ext>
              </c:extLst>
            </c:dLbl>
            <c:dLbl>
              <c:idx val="5"/>
              <c:layout>
                <c:manualLayout>
                  <c:x val="3.0944226824103072E-2"/>
                  <c:y val="1.2894841060582755E-2"/>
                </c:manualLayout>
              </c:layout>
              <c:tx>
                <c:rich>
                  <a:bodyPr/>
                  <a:lstStyle/>
                  <a:p>
                    <a:fld id="{C4B4943F-DF05-4717-913E-FACF8466D88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8-D64C-4F4B-A79B-996E4DDA24D1}"/>
                </c:ext>
              </c:extLst>
            </c:dLbl>
            <c:dLbl>
              <c:idx val="6"/>
              <c:layout>
                <c:manualLayout>
                  <c:x val="-7.295694389292795E-2"/>
                  <c:y val="-1.4849662590636836E-2"/>
                </c:manualLayout>
              </c:layout>
              <c:tx>
                <c:rich>
                  <a:bodyPr/>
                  <a:lstStyle/>
                  <a:p>
                    <a:fld id="{55E9E843-D2FD-46D3-840D-F1328D373AA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9-D64C-4F4B-A79B-996E4DDA24D1}"/>
                </c:ext>
              </c:extLst>
            </c:dLbl>
            <c:dLbl>
              <c:idx val="7"/>
              <c:layout>
                <c:manualLayout>
                  <c:x val="-1.8816577996632125E-2"/>
                  <c:y val="-1.5074702532350688E-2"/>
                </c:manualLayout>
              </c:layout>
              <c:tx>
                <c:rich>
                  <a:bodyPr/>
                  <a:lstStyle/>
                  <a:p>
                    <a:fld id="{2C54A104-F27C-4D45-9203-83374503A18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449-424A-9FD0-454125233FDE}"/>
                </c:ext>
              </c:extLst>
            </c:dLbl>
            <c:dLbl>
              <c:idx val="8"/>
              <c:layout>
                <c:manualLayout>
                  <c:x val="1.2023969313886728E-2"/>
                  <c:y val="-1.4084735707223449E-2"/>
                </c:manualLayout>
              </c:layout>
              <c:tx>
                <c:rich>
                  <a:bodyPr/>
                  <a:lstStyle/>
                  <a:p>
                    <a:fld id="{0CA90940-B75B-4075-AFB4-4C3265BEB44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E5A-4DCC-B463-41423DE5C0F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扇南!$E$2:$E$10</c:f>
              <c:numCache>
                <c:formatCode>General</c:formatCode>
                <c:ptCount val="9"/>
                <c:pt idx="0">
                  <c:v>465</c:v>
                </c:pt>
                <c:pt idx="1">
                  <c:v>465</c:v>
                </c:pt>
                <c:pt idx="2">
                  <c:v>468</c:v>
                </c:pt>
                <c:pt idx="3">
                  <c:v>466</c:v>
                </c:pt>
                <c:pt idx="4">
                  <c:v>465</c:v>
                </c:pt>
                <c:pt idx="5">
                  <c:v>470</c:v>
                </c:pt>
                <c:pt idx="6">
                  <c:v>463</c:v>
                </c:pt>
                <c:pt idx="7">
                  <c:v>472</c:v>
                </c:pt>
                <c:pt idx="8">
                  <c:v>473</c:v>
                </c:pt>
              </c:numCache>
            </c:numRef>
          </c:xVal>
          <c:yVal>
            <c:numRef>
              <c:f>扇南!$D$2:$D$10</c:f>
              <c:numCache>
                <c:formatCode>General</c:formatCode>
                <c:ptCount val="9"/>
                <c:pt idx="0">
                  <c:v>472</c:v>
                </c:pt>
                <c:pt idx="1">
                  <c:v>460</c:v>
                </c:pt>
                <c:pt idx="2">
                  <c:v>473</c:v>
                </c:pt>
                <c:pt idx="3">
                  <c:v>467</c:v>
                </c:pt>
                <c:pt idx="4">
                  <c:v>468</c:v>
                </c:pt>
                <c:pt idx="5">
                  <c:v>458</c:v>
                </c:pt>
                <c:pt idx="6">
                  <c:v>472</c:v>
                </c:pt>
                <c:pt idx="7">
                  <c:v>484</c:v>
                </c:pt>
                <c:pt idx="8">
                  <c:v>474</c:v>
                </c:pt>
              </c:numCache>
            </c:numRef>
          </c:yVal>
          <c:smooth val="0"/>
          <c:extLst>
            <c:ext xmlns:c15="http://schemas.microsoft.com/office/drawing/2012/chart" uri="{02D57815-91ED-43cb-92C2-25804820EDAC}">
              <c15:datalabelsRange>
                <c15:f>扇南!$F$2:$F$101</c15:f>
                <c15:dlblRangeCache>
                  <c:ptCount val="100"/>
                  <c:pt idx="0">
                    <c:v>十和田良樹ICO</c:v>
                  </c:pt>
                  <c:pt idx="1">
                    <c:v>森岳歩ICO</c:v>
                  </c:pt>
                  <c:pt idx="2">
                    <c:v>唐松拓巳ICO</c:v>
                  </c:pt>
                  <c:pt idx="3">
                    <c:v>田沢裕樹ICO</c:v>
                  </c:pt>
                  <c:pt idx="4">
                    <c:v>子安颯真ICO</c:v>
                  </c:pt>
                  <c:pt idx="5">
                    <c:v>横手駿ICO</c:v>
                  </c:pt>
                  <c:pt idx="6">
                    <c:v>夏瀬伊吹ICO</c:v>
                  </c:pt>
                  <c:pt idx="7">
                    <c:v>秋宮昇ICO</c:v>
                  </c:pt>
                  <c:pt idx="8">
                    <c:v>サバゲ2子安颯真ICO</c:v>
                  </c:pt>
                </c15:dlblRangeCache>
              </c15:datalabelsRange>
            </c:ext>
            <c:ext xmlns:c16="http://schemas.microsoft.com/office/drawing/2014/chart" uri="{C3380CC4-5D6E-409C-BE32-E72D297353CC}">
              <c16:uniqueId val="{0000007A-D64C-4F4B-A79B-996E4DDA24D1}"/>
            </c:ext>
          </c:extLst>
        </c:ser>
        <c:ser>
          <c:idx val="10"/>
          <c:order val="10"/>
          <c:tx>
            <c:v>常波高校</c:v>
          </c:tx>
          <c:spPr>
            <a:ln w="25400" cap="rnd">
              <a:noFill/>
              <a:round/>
            </a:ln>
            <a:effectLst/>
          </c:spPr>
          <c:marker>
            <c:symbol val="circle"/>
            <c:size val="10"/>
            <c:spPr>
              <a:solidFill>
                <a:srgbClr val="66CCFF"/>
              </a:solidFill>
              <a:ln w="9525">
                <a:noFill/>
              </a:ln>
              <a:effectLst/>
            </c:spPr>
          </c:marker>
          <c:dLbls>
            <c:dLbl>
              <c:idx val="0"/>
              <c:layout>
                <c:manualLayout>
                  <c:x val="-0.12922880728767625"/>
                  <c:y val="1.578984320789931E-2"/>
                </c:manualLayout>
              </c:layout>
              <c:tx>
                <c:rich>
                  <a:bodyPr/>
                  <a:lstStyle/>
                  <a:p>
                    <a:fld id="{7D93291C-67B1-4EE5-B939-30DE4522411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B-D64C-4F4B-A79B-996E4DDA24D1}"/>
                </c:ext>
              </c:extLst>
            </c:dLbl>
            <c:dLbl>
              <c:idx val="1"/>
              <c:layout>
                <c:manualLayout>
                  <c:x val="-3.7664925558746523E-2"/>
                  <c:y val="-4.8194475543233929E-3"/>
                </c:manualLayout>
              </c:layout>
              <c:tx>
                <c:rich>
                  <a:bodyPr/>
                  <a:lstStyle/>
                  <a:p>
                    <a:fld id="{A0AC5CCC-8511-4930-A5C8-920D501C270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C-D64C-4F4B-A79B-996E4DDA24D1}"/>
                </c:ext>
              </c:extLst>
            </c:dLbl>
            <c:dLbl>
              <c:idx val="2"/>
              <c:layout>
                <c:manualLayout>
                  <c:x val="-8.3574391513777366E-2"/>
                  <c:y val="8.3233211343044968E-4"/>
                </c:manualLayout>
              </c:layout>
              <c:tx>
                <c:rich>
                  <a:bodyPr/>
                  <a:lstStyle/>
                  <a:p>
                    <a:fld id="{9C89D0C9-698D-4253-AE6C-51DB87C35A8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D-D64C-4F4B-A79B-996E4DDA24D1}"/>
                </c:ext>
              </c:extLst>
            </c:dLbl>
            <c:dLbl>
              <c:idx val="3"/>
              <c:layout>
                <c:manualLayout>
                  <c:x val="3.6810436672145945E-2"/>
                  <c:y val="2.7623335449748188E-3"/>
                </c:manualLayout>
              </c:layout>
              <c:tx>
                <c:rich>
                  <a:bodyPr/>
                  <a:lstStyle/>
                  <a:p>
                    <a:fld id="{4CAD7732-4B73-4EC1-8CA3-8B80ACB190F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E-D64C-4F4B-A79B-996E4DDA24D1}"/>
                </c:ext>
              </c:extLst>
            </c:dLbl>
            <c:dLbl>
              <c:idx val="4"/>
              <c:tx>
                <c:rich>
                  <a:bodyPr/>
                  <a:lstStyle/>
                  <a:p>
                    <a:fld id="{CC563678-B53F-4AA8-84F4-59F2B12ED898}"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F-D64C-4F4B-A79B-996E4DDA24D1}"/>
                </c:ext>
              </c:extLst>
            </c:dLbl>
            <c:dLbl>
              <c:idx val="5"/>
              <c:layout>
                <c:manualLayout>
                  <c:x val="-0.16468111897802229"/>
                  <c:y val="-1.3642678623152176E-2"/>
                </c:manualLayout>
              </c:layout>
              <c:tx>
                <c:rich>
                  <a:bodyPr/>
                  <a:lstStyle/>
                  <a:p>
                    <a:fld id="{F07E5EFA-9915-45A8-A412-8671C656461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0-D64C-4F4B-A79B-996E4DDA24D1}"/>
                </c:ext>
              </c:extLst>
            </c:dLbl>
            <c:dLbl>
              <c:idx val="6"/>
              <c:layout>
                <c:manualLayout>
                  <c:x val="-4.0681155742848085E-2"/>
                  <c:y val="5.3963238332091351E-3"/>
                </c:manualLayout>
              </c:layout>
              <c:tx>
                <c:rich>
                  <a:bodyPr/>
                  <a:lstStyle/>
                  <a:p>
                    <a:fld id="{F756C408-F268-4F36-8CA4-CFDC02E9D9D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1-D64C-4F4B-A79B-996E4DDA24D1}"/>
                </c:ext>
              </c:extLst>
            </c:dLbl>
            <c:dLbl>
              <c:idx val="7"/>
              <c:layout>
                <c:manualLayout>
                  <c:x val="-6.6918183282283356E-2"/>
                  <c:y val="6.9269377527626831E-3"/>
                </c:manualLayout>
              </c:layout>
              <c:tx>
                <c:rich>
                  <a:bodyPr/>
                  <a:lstStyle/>
                  <a:p>
                    <a:fld id="{A21535D3-F13E-464F-B6E0-00250A47CA0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78B-4C7A-AF03-7481CF236525}"/>
                </c:ext>
              </c:extLst>
            </c:dLbl>
            <c:dLbl>
              <c:idx val="8"/>
              <c:layout>
                <c:manualLayout>
                  <c:x val="-1.6365317466421225E-2"/>
                  <c:y val="-4.3343669631394251E-3"/>
                </c:manualLayout>
              </c:layout>
              <c:tx>
                <c:rich>
                  <a:bodyPr/>
                  <a:lstStyle/>
                  <a:p>
                    <a:fld id="{858BA542-5785-4E1C-A8CF-0053D764B8F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8E9-4A91-96AB-6F305C6EF3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常波!$E$2:$E$10</c:f>
              <c:numCache>
                <c:formatCode>General</c:formatCode>
                <c:ptCount val="9"/>
                <c:pt idx="0">
                  <c:v>463</c:v>
                </c:pt>
                <c:pt idx="1">
                  <c:v>466</c:v>
                </c:pt>
                <c:pt idx="2">
                  <c:v>466</c:v>
                </c:pt>
                <c:pt idx="3">
                  <c:v>473</c:v>
                </c:pt>
                <c:pt idx="4">
                  <c:v>458</c:v>
                </c:pt>
                <c:pt idx="5">
                  <c:v>465</c:v>
                </c:pt>
                <c:pt idx="6">
                  <c:v>465</c:v>
                </c:pt>
                <c:pt idx="7">
                  <c:v>471</c:v>
                </c:pt>
                <c:pt idx="8">
                  <c:v>470</c:v>
                </c:pt>
              </c:numCache>
            </c:numRef>
          </c:xVal>
          <c:yVal>
            <c:numRef>
              <c:f>常波!$D$2:$D$10</c:f>
              <c:numCache>
                <c:formatCode>General</c:formatCode>
                <c:ptCount val="9"/>
                <c:pt idx="0">
                  <c:v>468</c:v>
                </c:pt>
                <c:pt idx="1">
                  <c:v>462</c:v>
                </c:pt>
                <c:pt idx="2">
                  <c:v>464</c:v>
                </c:pt>
                <c:pt idx="3">
                  <c:v>458</c:v>
                </c:pt>
                <c:pt idx="4">
                  <c:v>477</c:v>
                </c:pt>
                <c:pt idx="5">
                  <c:v>460</c:v>
                </c:pt>
                <c:pt idx="6">
                  <c:v>467</c:v>
                </c:pt>
                <c:pt idx="7">
                  <c:v>475</c:v>
                </c:pt>
                <c:pt idx="8">
                  <c:v>478</c:v>
                </c:pt>
              </c:numCache>
            </c:numRef>
          </c:yVal>
          <c:smooth val="0"/>
          <c:extLst>
            <c:ext xmlns:c15="http://schemas.microsoft.com/office/drawing/2012/chart" uri="{02D57815-91ED-43cb-92C2-25804820EDAC}">
              <c15:datalabelsRange>
                <c15:f>常波!$F$2:$F$101</c15:f>
                <c15:dlblRangeCache>
                  <c:ptCount val="100"/>
                  <c:pt idx="0">
                    <c:v>駒木輝ICO</c:v>
                  </c:pt>
                  <c:pt idx="1">
                    <c:v>茶屋和馬ICO</c:v>
                  </c:pt>
                  <c:pt idx="2">
                    <c:v>玉川弘樹ICO</c:v>
                  </c:pt>
                  <c:pt idx="3">
                    <c:v>桜井大河ICO</c:v>
                  </c:pt>
                  <c:pt idx="4">
                    <c:v>芳賀良治ICO</c:v>
                  </c:pt>
                  <c:pt idx="5">
                    <c:v>渋谷陸斗ICO</c:v>
                  </c:pt>
                  <c:pt idx="6">
                    <c:v>池尻隼人ICO</c:v>
                  </c:pt>
                  <c:pt idx="7">
                    <c:v>文化祭2池尻隼人ICO</c:v>
                  </c:pt>
                  <c:pt idx="8">
                    <c:v>遊園地池尻隼人ICO</c:v>
                  </c:pt>
                </c15:dlblRangeCache>
              </c15:datalabelsRange>
            </c:ext>
            <c:ext xmlns:c16="http://schemas.microsoft.com/office/drawing/2014/chart" uri="{C3380CC4-5D6E-409C-BE32-E72D297353CC}">
              <c16:uniqueId val="{00000082-D64C-4F4B-A79B-996E4DDA24D1}"/>
            </c:ext>
          </c:extLst>
        </c:ser>
        <c:ser>
          <c:idx val="11"/>
          <c:order val="11"/>
          <c:tx>
            <c:v>和久谷南高校</c:v>
          </c:tx>
          <c:spPr>
            <a:ln w="25400" cap="rnd">
              <a:noFill/>
              <a:round/>
            </a:ln>
            <a:effectLst/>
          </c:spPr>
          <c:marker>
            <c:symbol val="triangle"/>
            <c:size val="9"/>
            <c:spPr>
              <a:solidFill>
                <a:schemeClr val="accent5">
                  <a:lumMod val="60000"/>
                  <a:lumOff val="40000"/>
                </a:schemeClr>
              </a:solidFill>
              <a:ln w="9525">
                <a:noFill/>
              </a:ln>
              <a:effectLst/>
            </c:spPr>
          </c:marker>
          <c:dLbls>
            <c:dLbl>
              <c:idx val="0"/>
              <c:layout>
                <c:manualLayout>
                  <c:x val="-5.6738379330586418E-3"/>
                  <c:y val="3.6014993074123423E-3"/>
                </c:manualLayout>
              </c:layout>
              <c:tx>
                <c:rich>
                  <a:bodyPr/>
                  <a:lstStyle/>
                  <a:p>
                    <a:fld id="{A4EAE9FA-5F63-4D25-8DF5-A94C7622C29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3-D64C-4F4B-A79B-996E4DDA24D1}"/>
                </c:ext>
              </c:extLst>
            </c:dLbl>
            <c:dLbl>
              <c:idx val="1"/>
              <c:layout>
                <c:manualLayout>
                  <c:x val="-9.8622495037017768E-2"/>
                  <c:y val="1.5560826502597296E-3"/>
                </c:manualLayout>
              </c:layout>
              <c:tx>
                <c:rich>
                  <a:bodyPr/>
                  <a:lstStyle/>
                  <a:p>
                    <a:fld id="{109F91BD-ADA6-44E1-B9E1-8DBD06F41AF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4-D64C-4F4B-A79B-996E4DDA24D1}"/>
                </c:ext>
              </c:extLst>
            </c:dLbl>
            <c:dLbl>
              <c:idx val="2"/>
              <c:layout>
                <c:manualLayout>
                  <c:x val="-8.535975972839914E-2"/>
                  <c:y val="-3.7514212864872849E-3"/>
                </c:manualLayout>
              </c:layout>
              <c:tx>
                <c:rich>
                  <a:bodyPr/>
                  <a:lstStyle/>
                  <a:p>
                    <a:fld id="{269CBE3B-C6E4-4090-9300-98DEB28869D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5-D64C-4F4B-A79B-996E4DDA24D1}"/>
                </c:ext>
              </c:extLst>
            </c:dLbl>
            <c:dLbl>
              <c:idx val="3"/>
              <c:layout>
                <c:manualLayout>
                  <c:x val="-5.0366247874660507E-2"/>
                  <c:y val="1.0090148556183903E-2"/>
                </c:manualLayout>
              </c:layout>
              <c:tx>
                <c:rich>
                  <a:bodyPr/>
                  <a:lstStyle/>
                  <a:p>
                    <a:fld id="{EBF15C41-CD55-4C7F-9C0B-11E0EFA49F1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6-D64C-4F4B-A79B-996E4DDA24D1}"/>
                </c:ext>
              </c:extLst>
            </c:dLbl>
            <c:dLbl>
              <c:idx val="4"/>
              <c:layout>
                <c:manualLayout>
                  <c:x val="-4.2000817373299644E-2"/>
                  <c:y val="4.6428615933666303E-2"/>
                </c:manualLayout>
              </c:layout>
              <c:tx>
                <c:rich>
                  <a:bodyPr/>
                  <a:lstStyle/>
                  <a:p>
                    <a:fld id="{4CD81270-89EE-4056-84DE-7312DE46C04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7-D64C-4F4B-A79B-996E4DDA24D1}"/>
                </c:ext>
              </c:extLst>
            </c:dLbl>
            <c:dLbl>
              <c:idx val="5"/>
              <c:layout>
                <c:manualLayout>
                  <c:x val="-5.2175498776280631E-2"/>
                  <c:y val="-2.6578637989579097E-3"/>
                </c:manualLayout>
              </c:layout>
              <c:tx>
                <c:rich>
                  <a:bodyPr/>
                  <a:lstStyle/>
                  <a:p>
                    <a:fld id="{244DA25A-499D-45D5-84B4-1966B9D60CD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8-D64C-4F4B-A79B-996E4DDA24D1}"/>
                </c:ext>
              </c:extLst>
            </c:dLbl>
            <c:dLbl>
              <c:idx val="6"/>
              <c:layout>
                <c:manualLayout>
                  <c:x val="-3.714443480948422E-2"/>
                  <c:y val="-2.6578637989579097E-3"/>
                </c:manualLayout>
              </c:layout>
              <c:tx>
                <c:rich>
                  <a:bodyPr/>
                  <a:lstStyle/>
                  <a:p>
                    <a:fld id="{DC379120-F733-47BD-9243-B8539BA0063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9-D64C-4F4B-A79B-996E4DDA24D1}"/>
                </c:ext>
              </c:extLst>
            </c:dLbl>
            <c:dLbl>
              <c:idx val="7"/>
              <c:layout>
                <c:manualLayout>
                  <c:x val="8.187149741964877E-4"/>
                  <c:y val="-2.1780303664873827E-2"/>
                </c:manualLayout>
              </c:layout>
              <c:tx>
                <c:rich>
                  <a:bodyPr/>
                  <a:lstStyle/>
                  <a:p>
                    <a:fld id="{AF7BB6C0-4F7E-4BB8-997E-CEED3F50692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6716-49FC-9CAF-72AC7058E678}"/>
                </c:ext>
              </c:extLst>
            </c:dLbl>
            <c:dLbl>
              <c:idx val="8"/>
              <c:layout>
                <c:manualLayout>
                  <c:x val="5.9726954932938989E-3"/>
                  <c:y val="1.0450584777509273E-2"/>
                </c:manualLayout>
              </c:layout>
              <c:tx>
                <c:rich>
                  <a:bodyPr/>
                  <a:lstStyle/>
                  <a:p>
                    <a:fld id="{FA2199ED-B57B-4D18-8C7F-1522E12E132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E5D-4358-B6F1-8E7305475EE6}"/>
                </c:ext>
              </c:extLst>
            </c:dLbl>
            <c:dLbl>
              <c:idx val="9"/>
              <c:layout>
                <c:manualLayout>
                  <c:x val="-1.4240215405415159E-2"/>
                  <c:y val="8.2769360673681635E-3"/>
                </c:manualLayout>
              </c:layout>
              <c:tx>
                <c:rich>
                  <a:bodyPr/>
                  <a:lstStyle/>
                  <a:p>
                    <a:fld id="{A8264EC6-AE00-4187-938A-161C8084BF6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B8A4-46D3-B52E-519EE597DC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和久南!$E$2:$E$11</c:f>
              <c:numCache>
                <c:formatCode>General</c:formatCode>
                <c:ptCount val="10"/>
                <c:pt idx="0">
                  <c:v>471</c:v>
                </c:pt>
                <c:pt idx="1">
                  <c:v>459</c:v>
                </c:pt>
                <c:pt idx="2">
                  <c:v>474</c:v>
                </c:pt>
                <c:pt idx="3">
                  <c:v>469</c:v>
                </c:pt>
                <c:pt idx="4">
                  <c:v>470</c:v>
                </c:pt>
                <c:pt idx="5">
                  <c:v>471</c:v>
                </c:pt>
                <c:pt idx="6">
                  <c:v>468</c:v>
                </c:pt>
                <c:pt idx="7">
                  <c:v>477</c:v>
                </c:pt>
                <c:pt idx="8">
                  <c:v>479</c:v>
                </c:pt>
                <c:pt idx="9">
                  <c:v>477</c:v>
                </c:pt>
              </c:numCache>
            </c:numRef>
          </c:xVal>
          <c:yVal>
            <c:numRef>
              <c:f>和久南!$D$2:$D$11</c:f>
              <c:numCache>
                <c:formatCode>General</c:formatCode>
                <c:ptCount val="10"/>
                <c:pt idx="0">
                  <c:v>478</c:v>
                </c:pt>
                <c:pt idx="1">
                  <c:v>465</c:v>
                </c:pt>
                <c:pt idx="2">
                  <c:v>483</c:v>
                </c:pt>
                <c:pt idx="3">
                  <c:v>458</c:v>
                </c:pt>
                <c:pt idx="4">
                  <c:v>456</c:v>
                </c:pt>
                <c:pt idx="5">
                  <c:v>460</c:v>
                </c:pt>
                <c:pt idx="6">
                  <c:v>473</c:v>
                </c:pt>
                <c:pt idx="7">
                  <c:v>486</c:v>
                </c:pt>
                <c:pt idx="8">
                  <c:v>466</c:v>
                </c:pt>
                <c:pt idx="9">
                  <c:v>482</c:v>
                </c:pt>
              </c:numCache>
            </c:numRef>
          </c:yVal>
          <c:smooth val="0"/>
          <c:extLst>
            <c:ext xmlns:c15="http://schemas.microsoft.com/office/drawing/2012/chart" uri="{02D57815-91ED-43cb-92C2-25804820EDAC}">
              <c15:datalabelsRange>
                <c15:f>和久南!$F$2:$F$101</c15:f>
                <c15:dlblRangeCache>
                  <c:ptCount val="100"/>
                  <c:pt idx="0">
                    <c:v>中島猛ICO</c:v>
                  </c:pt>
                  <c:pt idx="1">
                    <c:v>白石優希ICO</c:v>
                  </c:pt>
                  <c:pt idx="2">
                    <c:v>花山一雅ICO</c:v>
                  </c:pt>
                  <c:pt idx="3">
                    <c:v>鳴子哲平ICO</c:v>
                  </c:pt>
                  <c:pt idx="4">
                    <c:v>秋保和光ICO</c:v>
                  </c:pt>
                  <c:pt idx="5">
                    <c:v>松島剛ICO</c:v>
                  </c:pt>
                  <c:pt idx="6">
                    <c:v>川渡瞬己ICO</c:v>
                  </c:pt>
                  <c:pt idx="7">
                    <c:v>スパイ中島猛ICO</c:v>
                  </c:pt>
                  <c:pt idx="8">
                    <c:v>妖松島剛ICO</c:v>
                  </c:pt>
                  <c:pt idx="9">
                    <c:v>サバゲ2川渡瞬己ICO</c:v>
                  </c:pt>
                </c15:dlblRangeCache>
              </c15:datalabelsRange>
            </c:ext>
            <c:ext xmlns:c16="http://schemas.microsoft.com/office/drawing/2014/chart" uri="{C3380CC4-5D6E-409C-BE32-E72D297353CC}">
              <c16:uniqueId val="{0000008A-D64C-4F4B-A79B-996E4DDA24D1}"/>
            </c:ext>
          </c:extLst>
        </c:ser>
        <c:ser>
          <c:idx val="12"/>
          <c:order val="12"/>
          <c:tx>
            <c:v>伊達工業高校</c:v>
          </c:tx>
          <c:spPr>
            <a:ln w="25400" cap="rnd">
              <a:noFill/>
              <a:round/>
            </a:ln>
            <a:effectLst/>
          </c:spPr>
          <c:marker>
            <c:symbol val="circle"/>
            <c:size val="8"/>
            <c:spPr>
              <a:solidFill>
                <a:srgbClr val="336600"/>
              </a:solidFill>
              <a:ln w="9525">
                <a:noFill/>
              </a:ln>
              <a:effectLst/>
            </c:spPr>
          </c:marker>
          <c:dPt>
            <c:idx val="5"/>
            <c:marker>
              <c:symbol val="circle"/>
              <c:size val="8"/>
              <c:spPr>
                <a:solidFill>
                  <a:srgbClr val="336600"/>
                </a:solidFill>
                <a:ln w="9525">
                  <a:noFill/>
                </a:ln>
                <a:effectLst/>
              </c:spPr>
            </c:marker>
            <c:bubble3D val="0"/>
            <c:extLst>
              <c:ext xmlns:c16="http://schemas.microsoft.com/office/drawing/2014/chart" uri="{C3380CC4-5D6E-409C-BE32-E72D297353CC}">
                <c16:uniqueId val="{0000008B-D64C-4F4B-A79B-996E4DDA24D1}"/>
              </c:ext>
            </c:extLst>
          </c:dPt>
          <c:dLbls>
            <c:dLbl>
              <c:idx val="0"/>
              <c:layout>
                <c:manualLayout>
                  <c:x val="2.6820311782222814E-2"/>
                  <c:y val="-2.2037762104571368E-2"/>
                </c:manualLayout>
              </c:layout>
              <c:tx>
                <c:rich>
                  <a:bodyPr/>
                  <a:lstStyle/>
                  <a:p>
                    <a:fld id="{434E09B8-1C7B-45EA-AB52-F98D7BB68BC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C-D64C-4F4B-A79B-996E4DDA24D1}"/>
                </c:ext>
              </c:extLst>
            </c:dLbl>
            <c:dLbl>
              <c:idx val="1"/>
              <c:layout>
                <c:manualLayout>
                  <c:x val="-1.2426369968279633E-2"/>
                  <c:y val="-1.3857877569380209E-2"/>
                </c:manualLayout>
              </c:layout>
              <c:tx>
                <c:rich>
                  <a:bodyPr/>
                  <a:lstStyle/>
                  <a:p>
                    <a:fld id="{B613F80D-0AE2-4AF3-B91E-26240918C92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D-D64C-4F4B-A79B-996E4DDA24D1}"/>
                </c:ext>
              </c:extLst>
            </c:dLbl>
            <c:dLbl>
              <c:idx val="2"/>
              <c:layout>
                <c:manualLayout>
                  <c:x val="-5.4253716840746515E-2"/>
                  <c:y val="-1.5383951368870112E-3"/>
                </c:manualLayout>
              </c:layout>
              <c:tx>
                <c:rich>
                  <a:bodyPr/>
                  <a:lstStyle/>
                  <a:p>
                    <a:fld id="{A31C733E-0DA3-4ACE-9CAD-F373EB48605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E-D64C-4F4B-A79B-996E4DDA24D1}"/>
                </c:ext>
              </c:extLst>
            </c:dLbl>
            <c:dLbl>
              <c:idx val="3"/>
              <c:layout>
                <c:manualLayout>
                  <c:x val="-8.440416012244812E-3"/>
                  <c:y val="-2.2443005540567978E-2"/>
                </c:manualLayout>
              </c:layout>
              <c:tx>
                <c:rich>
                  <a:bodyPr/>
                  <a:lstStyle/>
                  <a:p>
                    <a:fld id="{1F17D127-E0EE-4E7F-86B6-5FB567E0C9B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F-D64C-4F4B-A79B-996E4DDA24D1}"/>
                </c:ext>
              </c:extLst>
            </c:dLbl>
            <c:dLbl>
              <c:idx val="4"/>
              <c:layout>
                <c:manualLayout>
                  <c:x val="-7.3203092400747644E-3"/>
                  <c:y val="-6.542849265221938E-3"/>
                </c:manualLayout>
              </c:layout>
              <c:tx>
                <c:rich>
                  <a:bodyPr/>
                  <a:lstStyle/>
                  <a:p>
                    <a:fld id="{BCEA29C0-106E-4A39-8804-8A611BF1FAA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0-D64C-4F4B-A79B-996E4DDA24D1}"/>
                </c:ext>
              </c:extLst>
            </c:dLbl>
            <c:dLbl>
              <c:idx val="5"/>
              <c:layout>
                <c:manualLayout>
                  <c:x val="8.1559381707787936E-3"/>
                  <c:y val="2.8795994546285262E-2"/>
                </c:manualLayout>
              </c:layout>
              <c:tx>
                <c:rich>
                  <a:bodyPr/>
                  <a:lstStyle/>
                  <a:p>
                    <a:fld id="{2D0FD616-F05C-44F8-80ED-6097644940B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8B-D64C-4F4B-A79B-996E4DDA24D1}"/>
                </c:ext>
              </c:extLst>
            </c:dLbl>
            <c:dLbl>
              <c:idx val="6"/>
              <c:layout>
                <c:manualLayout>
                  <c:x val="-1.2092568704169164E-2"/>
                  <c:y val="6.7096365881685665E-3"/>
                </c:manualLayout>
              </c:layout>
              <c:tx>
                <c:rich>
                  <a:bodyPr/>
                  <a:lstStyle/>
                  <a:p>
                    <a:fld id="{2D5EBC43-152E-4B79-AA83-0F9C0EC77C5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1-D64C-4F4B-A79B-996E4DDA24D1}"/>
                </c:ext>
              </c:extLst>
            </c:dLbl>
            <c:dLbl>
              <c:idx val="7"/>
              <c:tx>
                <c:rich>
                  <a:bodyPr/>
                  <a:lstStyle/>
                  <a:p>
                    <a:fld id="{D1233664-23B0-4E2C-A6BC-8C28F7EA95BE}"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92-D64C-4F4B-A79B-996E4DDA24D1}"/>
                </c:ext>
              </c:extLst>
            </c:dLbl>
            <c:dLbl>
              <c:idx val="8"/>
              <c:layout>
                <c:manualLayout>
                  <c:x val="-3.1576187954160569E-2"/>
                  <c:y val="1.806156559419194E-2"/>
                </c:manualLayout>
              </c:layout>
              <c:tx>
                <c:rich>
                  <a:bodyPr/>
                  <a:lstStyle/>
                  <a:p>
                    <a:fld id="{7D381487-7FA9-4983-A61F-B66008E8B13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3-D64C-4F4B-A79B-996E4DDA24D1}"/>
                </c:ext>
              </c:extLst>
            </c:dLbl>
            <c:dLbl>
              <c:idx val="9"/>
              <c:layout>
                <c:manualLayout>
                  <c:x val="2.2961348420805369E-2"/>
                  <c:y val="-2.353997147458604E-3"/>
                </c:manualLayout>
              </c:layout>
              <c:tx>
                <c:rich>
                  <a:bodyPr/>
                  <a:lstStyle/>
                  <a:p>
                    <a:fld id="{FDBEC744-9A6B-4C4A-9FD5-B8036C70D0F3}"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4-D64C-4F4B-A79B-996E4DDA24D1}"/>
                </c:ext>
              </c:extLst>
            </c:dLbl>
            <c:dLbl>
              <c:idx val="10"/>
              <c:layout>
                <c:manualLayout>
                  <c:x val="-4.4227896623165924E-2"/>
                  <c:y val="1.928689895538074E-2"/>
                </c:manualLayout>
              </c:layout>
              <c:tx>
                <c:rich>
                  <a:bodyPr/>
                  <a:lstStyle/>
                  <a:p>
                    <a:fld id="{32AD009A-09FD-4C22-B53C-9E9ED192BB67}"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5-D64C-4F4B-A79B-996E4DDA24D1}"/>
                </c:ext>
              </c:extLst>
            </c:dLbl>
            <c:dLbl>
              <c:idx val="11"/>
              <c:layout>
                <c:manualLayout>
                  <c:x val="2.7663937494323006E-2"/>
                  <c:y val="-1.0541733808112802E-2"/>
                </c:manualLayout>
              </c:layout>
              <c:tx>
                <c:rich>
                  <a:bodyPr/>
                  <a:lstStyle/>
                  <a:p>
                    <a:fld id="{5ECFFA5A-5C97-4D1D-A5D5-FEFC1F170AE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6-D64C-4F4B-A79B-996E4DDA24D1}"/>
                </c:ext>
              </c:extLst>
            </c:dLbl>
            <c:dLbl>
              <c:idx val="12"/>
              <c:layout>
                <c:manualLayout>
                  <c:x val="-4.134890907707791E-2"/>
                  <c:y val="5.2193672608452585E-3"/>
                </c:manualLayout>
              </c:layout>
              <c:tx>
                <c:rich>
                  <a:bodyPr/>
                  <a:lstStyle/>
                  <a:p>
                    <a:fld id="{5B10348B-CDB8-4BF1-85BB-3E0E811A9B65}"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7-D64C-4F4B-A79B-996E4DDA24D1}"/>
                </c:ext>
              </c:extLst>
            </c:dLbl>
            <c:dLbl>
              <c:idx val="13"/>
              <c:layout>
                <c:manualLayout>
                  <c:x val="-5.2705892505052088E-2"/>
                  <c:y val="-2.9883234602507305E-3"/>
                </c:manualLayout>
              </c:layout>
              <c:tx>
                <c:rich>
                  <a:bodyPr/>
                  <a:lstStyle/>
                  <a:p>
                    <a:fld id="{D790F0D3-3026-4A38-A407-E2FA837BEF0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DAD-476A-B5F8-AE9892CCA193}"/>
                </c:ext>
              </c:extLst>
            </c:dLbl>
            <c:dLbl>
              <c:idx val="14"/>
              <c:layout>
                <c:manualLayout>
                  <c:x val="-3.9077002915994731E-2"/>
                  <c:y val="-1.5327375615321269E-2"/>
                </c:manualLayout>
              </c:layout>
              <c:tx>
                <c:rich>
                  <a:bodyPr/>
                  <a:lstStyle/>
                  <a:p>
                    <a:fld id="{D344A9CF-04AB-4A8C-9A86-5A28082469E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DAD-476A-B5F8-AE9892CCA193}"/>
                </c:ext>
              </c:extLst>
            </c:dLbl>
            <c:dLbl>
              <c:idx val="15"/>
              <c:layout>
                <c:manualLayout>
                  <c:x val="4.3023622736134436E-2"/>
                  <c:y val="-6.6166450700470541E-3"/>
                </c:manualLayout>
              </c:layout>
              <c:tx>
                <c:rich>
                  <a:bodyPr/>
                  <a:lstStyle/>
                  <a:p>
                    <a:fld id="{66C63461-AE43-431C-9C67-B92C2826F28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DAD-476A-B5F8-AE9892CCA193}"/>
                </c:ext>
              </c:extLst>
            </c:dLbl>
            <c:dLbl>
              <c:idx val="16"/>
              <c:layout>
                <c:manualLayout>
                  <c:x val="-1.3253867120030323E-2"/>
                  <c:y val="2.1553099684885578E-3"/>
                </c:manualLayout>
              </c:layout>
              <c:tx>
                <c:rich>
                  <a:bodyPr/>
                  <a:lstStyle/>
                  <a:p>
                    <a:fld id="{F0812C3B-A751-4AFD-8F50-54AB1AC6FA78}"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4EA-431F-8C82-097A7360A88C}"/>
                </c:ext>
              </c:extLst>
            </c:dLbl>
            <c:dLbl>
              <c:idx val="17"/>
              <c:layout>
                <c:manualLayout>
                  <c:x val="4.1173094130941565E-3"/>
                  <c:y val="-6.1096584984580713E-3"/>
                </c:manualLayout>
              </c:layout>
              <c:tx>
                <c:rich>
                  <a:bodyPr/>
                  <a:lstStyle/>
                  <a:p>
                    <a:fld id="{9E7CAD23-5441-4CEE-B9A3-5177D5134F2D}"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366-47A7-9C7D-12D691AC5C8A}"/>
                </c:ext>
              </c:extLst>
            </c:dLbl>
            <c:dLbl>
              <c:idx val="18"/>
              <c:layout>
                <c:manualLayout>
                  <c:x val="-2.6099360714530638E-2"/>
                  <c:y val="-7.1023482371537104E-3"/>
                </c:manualLayout>
              </c:layout>
              <c:tx>
                <c:rich>
                  <a:bodyPr/>
                  <a:lstStyle/>
                  <a:p>
                    <a:fld id="{A56C2D43-7533-444C-86A9-99110E60C2E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BE5-4E5A-BDC8-D60CC529DC59}"/>
                </c:ext>
              </c:extLst>
            </c:dLbl>
            <c:dLbl>
              <c:idx val="19"/>
              <c:layout>
                <c:manualLayout>
                  <c:x val="-3.9612717032071872E-2"/>
                  <c:y val="6.0228222099569344E-3"/>
                </c:manualLayout>
              </c:layout>
              <c:tx>
                <c:rich>
                  <a:bodyPr/>
                  <a:lstStyle/>
                  <a:p>
                    <a:fld id="{6B68B476-E4CB-4560-B506-F4CF836379C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BE7-4E4C-A0D8-67CB1FEE72DD}"/>
                </c:ext>
              </c:extLst>
            </c:dLbl>
            <c:dLbl>
              <c:idx val="20"/>
              <c:layout>
                <c:manualLayout>
                  <c:x val="2.1814400566491816E-3"/>
                  <c:y val="-2.6822935758942451E-3"/>
                </c:manualLayout>
              </c:layout>
              <c:tx>
                <c:rich>
                  <a:bodyPr/>
                  <a:lstStyle/>
                  <a:p>
                    <a:fld id="{01744FF6-3A10-4558-8C86-A4595EC00E7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6A6-48BE-BFB9-B8CEF774AA0C}"/>
                </c:ext>
              </c:extLst>
            </c:dLbl>
            <c:dLbl>
              <c:idx val="21"/>
              <c:layout>
                <c:manualLayout>
                  <c:x val="2.5707619228369064E-2"/>
                  <c:y val="-2.1544095562002891E-2"/>
                </c:manualLayout>
              </c:layout>
              <c:tx>
                <c:rich>
                  <a:bodyPr/>
                  <a:lstStyle/>
                  <a:p>
                    <a:fld id="{515E5856-BE36-47FD-8EC8-6A18BA48F6E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A7F-49B6-BD70-FD65E254147A}"/>
                </c:ext>
              </c:extLst>
            </c:dLbl>
            <c:dLbl>
              <c:idx val="22"/>
              <c:layout>
                <c:manualLayout>
                  <c:x val="-4.2199129255780031E-2"/>
                  <c:y val="-2.2534202766822157E-3"/>
                </c:manualLayout>
              </c:layout>
              <c:tx>
                <c:rich>
                  <a:bodyPr/>
                  <a:lstStyle/>
                  <a:p>
                    <a:fld id="{DD6AC9A2-2679-471A-9578-F9EDD5C1A71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EA5-409C-9C55-3AC3299D044F}"/>
                </c:ext>
              </c:extLst>
            </c:dLbl>
            <c:dLbl>
              <c:idx val="23"/>
              <c:layout>
                <c:manualLayout>
                  <c:x val="-4.3100357953384266E-2"/>
                  <c:y val="-2.9583322785234251E-2"/>
                </c:manualLayout>
              </c:layout>
              <c:tx>
                <c:rich>
                  <a:bodyPr/>
                  <a:lstStyle/>
                  <a:p>
                    <a:fld id="{875C272D-5C2A-4280-92E6-332D48F8A87F}"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B00-40B9-8ED8-455AA912462C}"/>
                </c:ext>
              </c:extLst>
            </c:dLbl>
            <c:dLbl>
              <c:idx val="24"/>
              <c:layout>
                <c:manualLayout>
                  <c:x val="-8.0700676847606314E-4"/>
                  <c:y val="4.8240070251043734E-3"/>
                </c:manualLayout>
              </c:layout>
              <c:tx>
                <c:rich>
                  <a:bodyPr/>
                  <a:lstStyle/>
                  <a:p>
                    <a:fld id="{29F874F3-1638-4BC7-908D-445760632AD2}"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F0F-4FBA-B83E-AAED2E3FC037}"/>
                </c:ext>
              </c:extLst>
            </c:dLbl>
            <c:dLbl>
              <c:idx val="25"/>
              <c:layout>
                <c:manualLayout>
                  <c:x val="-1.5939072578779152E-2"/>
                  <c:y val="-1.2485430826274591E-2"/>
                </c:manualLayout>
              </c:layout>
              <c:tx>
                <c:rich>
                  <a:bodyPr/>
                  <a:lstStyle/>
                  <a:p>
                    <a:fld id="{A31DF906-C681-479F-877A-122D40DC323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D23A-4EEB-92EF-7CAD430FFD56}"/>
                </c:ext>
              </c:extLst>
            </c:dLbl>
            <c:dLbl>
              <c:idx val="26"/>
              <c:layout>
                <c:manualLayout>
                  <c:x val="1.7207735766562635E-2"/>
                  <c:y val="-7.5978174144655502E-3"/>
                </c:manualLayout>
              </c:layout>
              <c:tx>
                <c:rich>
                  <a:bodyPr/>
                  <a:lstStyle/>
                  <a:p>
                    <a:fld id="{A34E9145-7E35-4C5F-B6C6-F9218FAF1B8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432-410D-AB45-95491DC051D2}"/>
                </c:ext>
              </c:extLst>
            </c:dLbl>
            <c:dLbl>
              <c:idx val="27"/>
              <c:layout>
                <c:manualLayout>
                  <c:x val="-1.598567117976046E-2"/>
                  <c:y val="1.9557977718605814E-2"/>
                </c:manualLayout>
              </c:layout>
              <c:tx>
                <c:rich>
                  <a:bodyPr/>
                  <a:lstStyle/>
                  <a:p>
                    <a:fld id="{02D36634-69FE-496B-AD79-7DD6BC32A3C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F4C-43E3-82DF-B4800DF9178A}"/>
                </c:ext>
              </c:extLst>
            </c:dLbl>
            <c:dLbl>
              <c:idx val="28"/>
              <c:tx>
                <c:rich>
                  <a:bodyPr/>
                  <a:lstStyle/>
                  <a:p>
                    <a:fld id="{FD6C4FF3-317B-4E56-AB50-355E23DA097C}"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81D-4468-BD3F-02A6CC74BBAA}"/>
                </c:ext>
              </c:extLst>
            </c:dLbl>
            <c:dLbl>
              <c:idx val="29"/>
              <c:tx>
                <c:rich>
                  <a:bodyPr/>
                  <a:lstStyle/>
                  <a:p>
                    <a:fld id="{66704BF7-9477-48A3-B2B0-A586788AAB63}"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2DDC-48CB-9772-7C9D59C4EA2C}"/>
                </c:ext>
              </c:extLst>
            </c:dLbl>
            <c:dLbl>
              <c:idx val="30"/>
              <c:layout>
                <c:manualLayout>
                  <c:x val="1.1427733447180755E-2"/>
                  <c:y val="-2.0367468053217948E-3"/>
                </c:manualLayout>
              </c:layout>
              <c:tx>
                <c:rich>
                  <a:bodyPr/>
                  <a:lstStyle/>
                  <a:p>
                    <a:fld id="{3B1FC6E0-F654-44A3-A61F-204FA599419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1C65-4998-A8C1-06D6047486A6}"/>
                </c:ext>
              </c:extLst>
            </c:dLbl>
            <c:dLbl>
              <c:idx val="31"/>
              <c:layout>
                <c:manualLayout>
                  <c:x val="1.1557512025431258E-2"/>
                  <c:y val="1.7409910242103626E-2"/>
                </c:manualLayout>
              </c:layout>
              <c:tx>
                <c:rich>
                  <a:bodyPr/>
                  <a:lstStyle/>
                  <a:p>
                    <a:fld id="{4ACF1B12-2C58-4AD3-9B4C-5936ABDF766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B59D-4438-AD3B-53E58948DF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伊達工!$D$2:$D$33</c:f>
              <c:numCache>
                <c:formatCode>General</c:formatCode>
                <c:ptCount val="32"/>
                <c:pt idx="0">
                  <c:v>476</c:v>
                </c:pt>
                <c:pt idx="1">
                  <c:v>478</c:v>
                </c:pt>
                <c:pt idx="2">
                  <c:v>475</c:v>
                </c:pt>
                <c:pt idx="3">
                  <c:v>465</c:v>
                </c:pt>
                <c:pt idx="4">
                  <c:v>473</c:v>
                </c:pt>
                <c:pt idx="5">
                  <c:v>473</c:v>
                </c:pt>
                <c:pt idx="6">
                  <c:v>471</c:v>
                </c:pt>
                <c:pt idx="7">
                  <c:v>469</c:v>
                </c:pt>
                <c:pt idx="8">
                  <c:v>468</c:v>
                </c:pt>
                <c:pt idx="9">
                  <c:v>468</c:v>
                </c:pt>
                <c:pt idx="10">
                  <c:v>486</c:v>
                </c:pt>
                <c:pt idx="11">
                  <c:v>491</c:v>
                </c:pt>
                <c:pt idx="12">
                  <c:v>484</c:v>
                </c:pt>
                <c:pt idx="13">
                  <c:v>484</c:v>
                </c:pt>
                <c:pt idx="14">
                  <c:v>479</c:v>
                </c:pt>
                <c:pt idx="15">
                  <c:v>485</c:v>
                </c:pt>
                <c:pt idx="16">
                  <c:v>491</c:v>
                </c:pt>
                <c:pt idx="17">
                  <c:v>483</c:v>
                </c:pt>
                <c:pt idx="18">
                  <c:v>476</c:v>
                </c:pt>
                <c:pt idx="19">
                  <c:v>482</c:v>
                </c:pt>
                <c:pt idx="20">
                  <c:v>492</c:v>
                </c:pt>
                <c:pt idx="21">
                  <c:v>491</c:v>
                </c:pt>
                <c:pt idx="22">
                  <c:v>481</c:v>
                </c:pt>
                <c:pt idx="23">
                  <c:v>490</c:v>
                </c:pt>
                <c:pt idx="24">
                  <c:v>479</c:v>
                </c:pt>
                <c:pt idx="25">
                  <c:v>482</c:v>
                </c:pt>
                <c:pt idx="26">
                  <c:v>497</c:v>
                </c:pt>
                <c:pt idx="27">
                  <c:v>489</c:v>
                </c:pt>
                <c:pt idx="28">
                  <c:v>473</c:v>
                </c:pt>
                <c:pt idx="29">
                  <c:v>491</c:v>
                </c:pt>
                <c:pt idx="30">
                  <c:v>474</c:v>
                </c:pt>
                <c:pt idx="31">
                  <c:v>473</c:v>
                </c:pt>
              </c:numCache>
            </c:numRef>
          </c:xVal>
          <c:yVal>
            <c:numRef>
              <c:f>伊達工!$C$2:$C$33</c:f>
              <c:numCache>
                <c:formatCode>General</c:formatCode>
                <c:ptCount val="32"/>
                <c:pt idx="0">
                  <c:v>472</c:v>
                </c:pt>
                <c:pt idx="1">
                  <c:v>484</c:v>
                </c:pt>
                <c:pt idx="2">
                  <c:v>481</c:v>
                </c:pt>
                <c:pt idx="3">
                  <c:v>469</c:v>
                </c:pt>
                <c:pt idx="4">
                  <c:v>473</c:v>
                </c:pt>
                <c:pt idx="5">
                  <c:v>456</c:v>
                </c:pt>
                <c:pt idx="6">
                  <c:v>472</c:v>
                </c:pt>
                <c:pt idx="7">
                  <c:v>472</c:v>
                </c:pt>
                <c:pt idx="8">
                  <c:v>473</c:v>
                </c:pt>
                <c:pt idx="9">
                  <c:v>468</c:v>
                </c:pt>
                <c:pt idx="10">
                  <c:v>491</c:v>
                </c:pt>
                <c:pt idx="11">
                  <c:v>481</c:v>
                </c:pt>
                <c:pt idx="12">
                  <c:v>478</c:v>
                </c:pt>
                <c:pt idx="13">
                  <c:v>492</c:v>
                </c:pt>
                <c:pt idx="14">
                  <c:v>491</c:v>
                </c:pt>
                <c:pt idx="15">
                  <c:v>494</c:v>
                </c:pt>
                <c:pt idx="16">
                  <c:v>482</c:v>
                </c:pt>
                <c:pt idx="17">
                  <c:v>495</c:v>
                </c:pt>
                <c:pt idx="18">
                  <c:v>479</c:v>
                </c:pt>
                <c:pt idx="19">
                  <c:v>480</c:v>
                </c:pt>
                <c:pt idx="20">
                  <c:v>484</c:v>
                </c:pt>
                <c:pt idx="21">
                  <c:v>495</c:v>
                </c:pt>
                <c:pt idx="22">
                  <c:v>462</c:v>
                </c:pt>
                <c:pt idx="23">
                  <c:v>497</c:v>
                </c:pt>
                <c:pt idx="24">
                  <c:v>481</c:v>
                </c:pt>
                <c:pt idx="25">
                  <c:v>499</c:v>
                </c:pt>
                <c:pt idx="26">
                  <c:v>485</c:v>
                </c:pt>
                <c:pt idx="27">
                  <c:v>499</c:v>
                </c:pt>
                <c:pt idx="28">
                  <c:v>482</c:v>
                </c:pt>
                <c:pt idx="29">
                  <c:v>498</c:v>
                </c:pt>
                <c:pt idx="30">
                  <c:v>476</c:v>
                </c:pt>
                <c:pt idx="31">
                  <c:v>497</c:v>
                </c:pt>
              </c:numCache>
            </c:numRef>
          </c:yVal>
          <c:smooth val="0"/>
          <c:extLst>
            <c:ext xmlns:c15="http://schemas.microsoft.com/office/drawing/2012/chart" uri="{02D57815-91ED-43cb-92C2-25804820EDAC}">
              <c15:datalabelsRange>
                <c15:f>伊達工!$F$2:$F$108</c15:f>
                <c15:dlblRangeCache>
                  <c:ptCount val="107"/>
                  <c:pt idx="0">
                    <c:v>青根高伸ICO</c:v>
                  </c:pt>
                  <c:pt idx="1">
                    <c:v>二口堅治ICO</c:v>
                  </c:pt>
                  <c:pt idx="2">
                    <c:v>黄金川貫至ICO</c:v>
                  </c:pt>
                  <c:pt idx="3">
                    <c:v>小原豊ICO</c:v>
                  </c:pt>
                  <c:pt idx="4">
                    <c:v>女川太郎ICO</c:v>
                  </c:pt>
                  <c:pt idx="5">
                    <c:v>作並浩輔ICO</c:v>
                  </c:pt>
                  <c:pt idx="6">
                    <c:v>吹上仁悟ICO</c:v>
                  </c:pt>
                  <c:pt idx="7">
                    <c:v>茂庭要ICO</c:v>
                  </c:pt>
                  <c:pt idx="8">
                    <c:v>鎌先靖志ICO</c:v>
                  </c:pt>
                  <c:pt idx="9">
                    <c:v>笹谷武仁ICO</c:v>
                  </c:pt>
                  <c:pt idx="10">
                    <c:v>路地裏二口堅治ICO</c:v>
                  </c:pt>
                  <c:pt idx="11">
                    <c:v>キャンプ青根高伸ICO</c:v>
                  </c:pt>
                  <c:pt idx="12">
                    <c:v>制服青根高伸ICO</c:v>
                  </c:pt>
                  <c:pt idx="13">
                    <c:v>制服二口堅治ICO</c:v>
                  </c:pt>
                  <c:pt idx="14">
                    <c:v>制服黄金川貫至ICO</c:v>
                  </c:pt>
                  <c:pt idx="15">
                    <c:v>スパイ黄金川貫至ICO</c:v>
                  </c:pt>
                  <c:pt idx="16">
                    <c:v>甲冑青根高伸ICO</c:v>
                  </c:pt>
                  <c:pt idx="17">
                    <c:v>甲冑二口堅治ICO</c:v>
                  </c:pt>
                  <c:pt idx="18">
                    <c:v>甲冑鎌先靖志ICO</c:v>
                  </c:pt>
                  <c:pt idx="19">
                    <c:v>プール掃除青根高伸ICO</c:v>
                  </c:pt>
                  <c:pt idx="20">
                    <c:v>プール掃除二口堅治ICO</c:v>
                  </c:pt>
                  <c:pt idx="21">
                    <c:v>2周年二口堅治ICO</c:v>
                  </c:pt>
                  <c:pt idx="22">
                    <c:v>職業体験2作並浩輔ICO</c:v>
                  </c:pt>
                  <c:pt idx="23">
                    <c:v>アート2二口堅治ICO</c:v>
                  </c:pt>
                  <c:pt idx="24">
                    <c:v>水着2女川太郎ICO</c:v>
                  </c:pt>
                  <c:pt idx="25">
                    <c:v>焼き芋黄金川貫至ICO</c:v>
                  </c:pt>
                  <c:pt idx="26">
                    <c:v>Xmas3青根高伸ICO</c:v>
                  </c:pt>
                  <c:pt idx="27">
                    <c:v>Xmas3二口堅治ICO</c:v>
                  </c:pt>
                  <c:pt idx="28">
                    <c:v>寝正月茂庭要ICO</c:v>
                  </c:pt>
                  <c:pt idx="29">
                    <c:v>格ゲー黄金川貫至ICO</c:v>
                  </c:pt>
                  <c:pt idx="30">
                    <c:v>梅雨2笹谷武仁ICO</c:v>
                  </c:pt>
                  <c:pt idx="31">
                    <c:v>職業体験黄金川貫至ICO</c:v>
                  </c:pt>
                </c15:dlblRangeCache>
              </c15:datalabelsRange>
            </c:ext>
            <c:ext xmlns:c16="http://schemas.microsoft.com/office/drawing/2014/chart" uri="{C3380CC4-5D6E-409C-BE32-E72D297353CC}">
              <c16:uniqueId val="{00000098-D64C-4F4B-A79B-996E4DDA24D1}"/>
            </c:ext>
          </c:extLst>
        </c:ser>
        <c:ser>
          <c:idx val="13"/>
          <c:order val="13"/>
          <c:tx>
            <c:v>井闥山学院高校</c:v>
          </c:tx>
          <c:spPr>
            <a:ln w="25400" cap="rnd">
              <a:noFill/>
              <a:round/>
            </a:ln>
            <a:effectLst/>
          </c:spPr>
          <c:marker>
            <c:symbol val="square"/>
            <c:size val="10"/>
            <c:spPr>
              <a:solidFill>
                <a:srgbClr val="FFFF66"/>
              </a:solidFill>
              <a:ln w="25400">
                <a:solidFill>
                  <a:srgbClr val="CCFF33"/>
                </a:solidFill>
              </a:ln>
              <a:effectLst/>
            </c:spPr>
          </c:marker>
          <c:dLbls>
            <c:dLbl>
              <c:idx val="0"/>
              <c:layout>
                <c:manualLayout>
                  <c:x val="-7.6530544390038424E-2"/>
                  <c:y val="1.8823844081183743E-2"/>
                </c:manualLayout>
              </c:layout>
              <c:tx>
                <c:rich>
                  <a:bodyPr/>
                  <a:lstStyle/>
                  <a:p>
                    <a:fld id="{2D3741CB-4490-4674-8705-5D88586263D1}"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9-D64C-4F4B-A79B-996E4DDA24D1}"/>
                </c:ext>
              </c:extLst>
            </c:dLbl>
            <c:dLbl>
              <c:idx val="1"/>
              <c:layout>
                <c:manualLayout>
                  <c:x val="4.3021239680096544E-2"/>
                  <c:y val="-2.1976245056912211E-3"/>
                </c:manualLayout>
              </c:layout>
              <c:tx>
                <c:rich>
                  <a:bodyPr/>
                  <a:lstStyle/>
                  <a:p>
                    <a:fld id="{937A4FA0-A72A-4B6A-A0D1-CCE3CCC412D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A-D64C-4F4B-A79B-996E4DDA24D1}"/>
                </c:ext>
              </c:extLst>
            </c:dLbl>
            <c:dLbl>
              <c:idx val="2"/>
              <c:layout>
                <c:manualLayout>
                  <c:x val="-5.7314769621345921E-2"/>
                  <c:y val="-3.9232678004880339E-2"/>
                </c:manualLayout>
              </c:layout>
              <c:tx>
                <c:rich>
                  <a:bodyPr/>
                  <a:lstStyle/>
                  <a:p>
                    <a:fld id="{E8258951-513E-4422-8B72-25332879FE8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70A-4599-B32C-8E2E76811EB4}"/>
                </c:ext>
              </c:extLst>
            </c:dLbl>
            <c:dLbl>
              <c:idx val="3"/>
              <c:layout>
                <c:manualLayout>
                  <c:x val="-6.4313042317515765E-2"/>
                  <c:y val="-4.0441589092488205E-2"/>
                </c:manualLayout>
              </c:layout>
              <c:tx>
                <c:rich>
                  <a:bodyPr/>
                  <a:lstStyle/>
                  <a:p>
                    <a:fld id="{0437960E-6A5F-4C05-AF94-641F7C67453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15E-4F4E-9885-4D7AFDEA8EBA}"/>
                </c:ext>
              </c:extLst>
            </c:dLbl>
            <c:dLbl>
              <c:idx val="4"/>
              <c:layout>
                <c:manualLayout>
                  <c:x val="1.0757132665342953E-2"/>
                  <c:y val="8.4114179582389162E-3"/>
                </c:manualLayout>
              </c:layout>
              <c:tx>
                <c:rich>
                  <a:bodyPr/>
                  <a:lstStyle/>
                  <a:p>
                    <a:fld id="{0C3DD43A-C1EE-402C-9A17-725F31B04054}"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02B-4888-9882-D7C1DC92EBD5}"/>
                </c:ext>
              </c:extLst>
            </c:dLbl>
            <c:dLbl>
              <c:idx val="5"/>
              <c:layout>
                <c:manualLayout>
                  <c:x val="-5.860593683879687E-2"/>
                  <c:y val="2.2757514325631519E-3"/>
                </c:manualLayout>
              </c:layout>
              <c:tx>
                <c:rich>
                  <a:bodyPr/>
                  <a:lstStyle/>
                  <a:p>
                    <a:fld id="{868AF30C-5A8D-4383-A4BD-2843D38D7990}"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5DAF-4A28-BC3A-173B463B8B79}"/>
                </c:ext>
              </c:extLst>
            </c:dLbl>
            <c:dLbl>
              <c:idx val="6"/>
              <c:layout>
                <c:manualLayout>
                  <c:x val="3.639763702582402E-2"/>
                  <c:y val="1.8546968012030603E-2"/>
                </c:manualLayout>
              </c:layout>
              <c:tx>
                <c:rich>
                  <a:bodyPr/>
                  <a:lstStyle/>
                  <a:p>
                    <a:fld id="{22612353-8954-492D-9604-F21B45EBC7E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071-4555-9F17-879E3CDF9E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井闥山!$E$2:$E$8</c:f>
              <c:numCache>
                <c:formatCode>General</c:formatCode>
                <c:ptCount val="7"/>
                <c:pt idx="0">
                  <c:v>480</c:v>
                </c:pt>
                <c:pt idx="1">
                  <c:v>478</c:v>
                </c:pt>
                <c:pt idx="2">
                  <c:v>486</c:v>
                </c:pt>
                <c:pt idx="3">
                  <c:v>486</c:v>
                </c:pt>
                <c:pt idx="4">
                  <c:v>488</c:v>
                </c:pt>
                <c:pt idx="5">
                  <c:v>491</c:v>
                </c:pt>
                <c:pt idx="6">
                  <c:v>492</c:v>
                </c:pt>
              </c:numCache>
            </c:numRef>
          </c:xVal>
          <c:yVal>
            <c:numRef>
              <c:f>井闥山!$D$2:$D$8</c:f>
              <c:numCache>
                <c:formatCode>General</c:formatCode>
                <c:ptCount val="7"/>
                <c:pt idx="0">
                  <c:v>490</c:v>
                </c:pt>
                <c:pt idx="1">
                  <c:v>469</c:v>
                </c:pt>
                <c:pt idx="2">
                  <c:v>498</c:v>
                </c:pt>
                <c:pt idx="3">
                  <c:v>475</c:v>
                </c:pt>
                <c:pt idx="4">
                  <c:v>497</c:v>
                </c:pt>
                <c:pt idx="5">
                  <c:v>471</c:v>
                </c:pt>
                <c:pt idx="6">
                  <c:v>503</c:v>
                </c:pt>
              </c:numCache>
            </c:numRef>
          </c:yVal>
          <c:smooth val="0"/>
          <c:extLst>
            <c:ext xmlns:c15="http://schemas.microsoft.com/office/drawing/2012/chart" uri="{02D57815-91ED-43cb-92C2-25804820EDAC}">
              <c15:datalabelsRange>
                <c15:f>井闥山!$F$2:$F$104</c15:f>
                <c15:dlblRangeCache>
                  <c:ptCount val="103"/>
                  <c:pt idx="0">
                    <c:v>佐久早聖臣ICO</c:v>
                  </c:pt>
                  <c:pt idx="1">
                    <c:v>小森元也ICO</c:v>
                  </c:pt>
                  <c:pt idx="2">
                    <c:v>サバゲ佐久早聖臣ICO</c:v>
                  </c:pt>
                  <c:pt idx="3">
                    <c:v>キャンプ小森元也ICO</c:v>
                  </c:pt>
                  <c:pt idx="4">
                    <c:v>新年2佐久早聖臣ICO</c:v>
                  </c:pt>
                  <c:pt idx="5">
                    <c:v>ハロウィン小森元也ICO</c:v>
                  </c:pt>
                  <c:pt idx="6">
                    <c:v>和装体験佐久早聖臣ICO</c:v>
                  </c:pt>
                </c15:dlblRangeCache>
              </c15:datalabelsRange>
            </c:ext>
            <c:ext xmlns:c16="http://schemas.microsoft.com/office/drawing/2014/chart" uri="{C3380CC4-5D6E-409C-BE32-E72D297353CC}">
              <c16:uniqueId val="{0000009B-D64C-4F4B-A79B-996E4DDA24D1}"/>
            </c:ext>
          </c:extLst>
        </c:ser>
        <c:ser>
          <c:idx val="14"/>
          <c:order val="14"/>
          <c:tx>
            <c:v>戸美学園高校</c:v>
          </c:tx>
          <c:spPr>
            <a:ln w="25400" cap="rnd">
              <a:noFill/>
              <a:round/>
            </a:ln>
            <a:effectLst/>
          </c:spPr>
          <c:marker>
            <c:symbol val="diamond"/>
            <c:size val="10"/>
            <c:spPr>
              <a:solidFill>
                <a:srgbClr val="FFFF00"/>
              </a:solidFill>
              <a:ln w="15875">
                <a:solidFill>
                  <a:srgbClr val="00CC00"/>
                </a:solidFill>
              </a:ln>
              <a:effectLst/>
            </c:spPr>
          </c:marker>
          <c:dLbls>
            <c:dLbl>
              <c:idx val="0"/>
              <c:tx>
                <c:rich>
                  <a:bodyPr/>
                  <a:lstStyle/>
                  <a:p>
                    <a:fld id="{1B5F1214-7CDD-4FDE-886D-B8525340EF68}"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C-D64C-4F4B-A79B-996E4DDA24D1}"/>
                </c:ext>
              </c:extLst>
            </c:dLbl>
            <c:dLbl>
              <c:idx val="1"/>
              <c:tx>
                <c:rich>
                  <a:bodyPr/>
                  <a:lstStyle/>
                  <a:p>
                    <a:fld id="{F2B24A9D-54E8-403E-A074-1E783EAF2B44}"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D-D64C-4F4B-A79B-996E4DDA24D1}"/>
                </c:ext>
              </c:extLst>
            </c:dLbl>
            <c:dLbl>
              <c:idx val="2"/>
              <c:tx>
                <c:rich>
                  <a:bodyPr/>
                  <a:lstStyle/>
                  <a:p>
                    <a:fld id="{98C51ECA-FF22-4BDB-A7F3-6BFC6BDF196F}"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E-D64C-4F4B-A79B-996E4DDA24D1}"/>
                </c:ext>
              </c:extLst>
            </c:dLbl>
            <c:dLbl>
              <c:idx val="3"/>
              <c:tx>
                <c:rich>
                  <a:bodyPr/>
                  <a:lstStyle/>
                  <a:p>
                    <a:fld id="{636E1E31-794B-420A-89F1-827E2E756DD5}"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9F-D64C-4F4B-A79B-996E4DDA24D1}"/>
                </c:ext>
              </c:extLst>
            </c:dLbl>
            <c:dLbl>
              <c:idx val="4"/>
              <c:layout>
                <c:manualLayout>
                  <c:x val="-4.3319469541525039E-2"/>
                  <c:y val="-2.1173417979808299E-3"/>
                </c:manualLayout>
              </c:layout>
              <c:tx>
                <c:rich>
                  <a:bodyPr/>
                  <a:lstStyle/>
                  <a:p>
                    <a:fld id="{5BF3323E-E2AA-452A-89C2-F39289E1444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0-D64C-4F4B-A79B-996E4DDA24D1}"/>
                </c:ext>
              </c:extLst>
            </c:dLbl>
            <c:dLbl>
              <c:idx val="5"/>
              <c:tx>
                <c:rich>
                  <a:bodyPr/>
                  <a:lstStyle/>
                  <a:p>
                    <a:fld id="{7A7341E9-B082-4F47-B8D5-2780C47662F0}"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1-D64C-4F4B-A79B-996E4DDA24D1}"/>
                </c:ext>
              </c:extLst>
            </c:dLbl>
            <c:dLbl>
              <c:idx val="6"/>
              <c:tx>
                <c:rich>
                  <a:bodyPr/>
                  <a:lstStyle/>
                  <a:p>
                    <a:fld id="{A32510E6-BBAA-4954-8EE0-6626315D3BAC}"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2-D64C-4F4B-A79B-996E4DDA24D1}"/>
                </c:ext>
              </c:extLst>
            </c:dLbl>
            <c:dLbl>
              <c:idx val="7"/>
              <c:layout>
                <c:manualLayout>
                  <c:x val="-6.2219365663131944E-2"/>
                  <c:y val="3.4184775891364011E-2"/>
                </c:manualLayout>
              </c:layout>
              <c:tx>
                <c:rich>
                  <a:bodyPr/>
                  <a:lstStyle/>
                  <a:p>
                    <a:fld id="{9713F28F-A2EA-4E04-8FFB-06686A574FA9}"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A3-D64C-4F4B-A79B-996E4DDA24D1}"/>
                </c:ext>
              </c:extLst>
            </c:dLbl>
            <c:dLbl>
              <c:idx val="8"/>
              <c:tx>
                <c:rich>
                  <a:bodyPr/>
                  <a:lstStyle/>
                  <a:p>
                    <a:fld id="{8AE137FC-0726-4947-B039-339F80D2124B}"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AA8-47E0-B0E9-8FC18BF2E7E1}"/>
                </c:ext>
              </c:extLst>
            </c:dLbl>
            <c:dLbl>
              <c:idx val="9"/>
              <c:tx>
                <c:rich>
                  <a:bodyPr/>
                  <a:lstStyle/>
                  <a:p>
                    <a:fld id="{592B1120-3420-42CE-9D29-8C6EEE644FE2}"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0287-4AAE-94F0-85B6F48B0421}"/>
                </c:ext>
              </c:extLst>
            </c:dLbl>
            <c:dLbl>
              <c:idx val="10"/>
              <c:layout>
                <c:manualLayout>
                  <c:x val="8.9712751505464389E-3"/>
                  <c:y val="-1.1349422332823171E-2"/>
                </c:manualLayout>
              </c:layout>
              <c:tx>
                <c:rich>
                  <a:bodyPr/>
                  <a:lstStyle/>
                  <a:p>
                    <a:fld id="{1D1E5720-3FD2-40F4-A80C-7A30658A92BB}"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D46-4F94-AEF2-D776FCC7F08C}"/>
                </c:ext>
              </c:extLst>
            </c:dLbl>
            <c:dLbl>
              <c:idx val="11"/>
              <c:tx>
                <c:rich>
                  <a:bodyPr/>
                  <a:lstStyle/>
                  <a:p>
                    <a:fld id="{632522E6-B781-4744-958E-8508A6170C38}"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9CE8-426F-AEC6-37B31E5FD646}"/>
                </c:ext>
              </c:extLst>
            </c:dLbl>
            <c:dLbl>
              <c:idx val="12"/>
              <c:layout>
                <c:manualLayout>
                  <c:x val="1.690072009911452E-2"/>
                  <c:y val="-1.808190888562259E-2"/>
                </c:manualLayout>
              </c:layout>
              <c:tx>
                <c:rich>
                  <a:bodyPr/>
                  <a:lstStyle/>
                  <a:p>
                    <a:fld id="{73391892-2C27-41AA-B499-DEEA3F90A12E}"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241E-42D3-9C05-DE813800DB15}"/>
                </c:ext>
              </c:extLst>
            </c:dLbl>
            <c:dLbl>
              <c:idx val="13"/>
              <c:tx>
                <c:rich>
                  <a:bodyPr/>
                  <a:lstStyle/>
                  <a:p>
                    <a:fld id="{EBFD2D74-3CCA-4E06-B726-5074E2A86666}"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241E-42D3-9C05-DE813800DB15}"/>
                </c:ext>
              </c:extLst>
            </c:dLbl>
            <c:dLbl>
              <c:idx val="14"/>
              <c:tx>
                <c:rich>
                  <a:bodyPr/>
                  <a:lstStyle/>
                  <a:p>
                    <a:fld id="{029138BD-1A07-44E6-B0EE-FB43FFD1D5DB}" type="CELLRANGE">
                      <a:rPr lang="en-US" altLang="ja-JP"/>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41E-42D3-9C05-DE813800DB15}"/>
                </c:ext>
              </c:extLst>
            </c:dLbl>
            <c:dLbl>
              <c:idx val="1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41E-42D3-9C05-DE813800DB15}"/>
                </c:ext>
              </c:extLst>
            </c:dLbl>
            <c:dLbl>
              <c:idx val="1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41E-42D3-9C05-DE813800DB15}"/>
                </c:ext>
              </c:extLst>
            </c:dLbl>
            <c:dLbl>
              <c:idx val="1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41E-42D3-9C05-DE813800DB15}"/>
                </c:ext>
              </c:extLst>
            </c:dLbl>
            <c:dLbl>
              <c:idx val="1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41E-42D3-9C05-DE813800DB15}"/>
                </c:ext>
              </c:extLst>
            </c:dLbl>
            <c:dLbl>
              <c:idx val="1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41E-42D3-9C05-DE813800DB15}"/>
                </c:ext>
              </c:extLst>
            </c:dLbl>
            <c:dLbl>
              <c:idx val="2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41E-42D3-9C05-DE813800DB15}"/>
                </c:ext>
              </c:extLst>
            </c:dLbl>
            <c:dLbl>
              <c:idx val="2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41E-42D3-9C05-DE813800DB15}"/>
                </c:ext>
              </c:extLst>
            </c:dLbl>
            <c:dLbl>
              <c:idx val="2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41E-42D3-9C05-DE813800DB15}"/>
                </c:ext>
              </c:extLst>
            </c:dLbl>
            <c:dLbl>
              <c:idx val="2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41E-42D3-9C05-DE813800DB15}"/>
                </c:ext>
              </c:extLst>
            </c:dLbl>
            <c:dLbl>
              <c:idx val="2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41E-42D3-9C05-DE813800DB15}"/>
                </c:ext>
              </c:extLst>
            </c:dLbl>
            <c:dLbl>
              <c:idx val="2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41E-42D3-9C05-DE813800DB15}"/>
                </c:ext>
              </c:extLst>
            </c:dLbl>
            <c:dLbl>
              <c:idx val="2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41E-42D3-9C05-DE813800DB15}"/>
                </c:ext>
              </c:extLst>
            </c:dLbl>
            <c:dLbl>
              <c:idx val="2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41E-42D3-9C05-DE813800DB15}"/>
                </c:ext>
              </c:extLst>
            </c:dLbl>
            <c:dLbl>
              <c:idx val="2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41E-42D3-9C05-DE813800DB15}"/>
                </c:ext>
              </c:extLst>
            </c:dLbl>
            <c:dLbl>
              <c:idx val="2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41E-42D3-9C05-DE813800DB15}"/>
                </c:ext>
              </c:extLst>
            </c:dLbl>
            <c:dLbl>
              <c:idx val="3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41E-42D3-9C05-DE813800DB15}"/>
                </c:ext>
              </c:extLst>
            </c:dLbl>
            <c:dLbl>
              <c:idx val="3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41E-42D3-9C05-DE813800DB15}"/>
                </c:ext>
              </c:extLst>
            </c:dLbl>
            <c:dLbl>
              <c:idx val="3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41E-42D3-9C05-DE813800DB15}"/>
                </c:ext>
              </c:extLst>
            </c:dLbl>
            <c:dLbl>
              <c:idx val="3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41E-42D3-9C05-DE813800DB15}"/>
                </c:ext>
              </c:extLst>
            </c:dLbl>
            <c:dLbl>
              <c:idx val="3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41E-42D3-9C05-DE813800DB15}"/>
                </c:ext>
              </c:extLst>
            </c:dLbl>
            <c:dLbl>
              <c:idx val="3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241E-42D3-9C05-DE813800DB15}"/>
                </c:ext>
              </c:extLst>
            </c:dLbl>
            <c:dLbl>
              <c:idx val="3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241E-42D3-9C05-DE813800DB15}"/>
                </c:ext>
              </c:extLst>
            </c:dLbl>
            <c:dLbl>
              <c:idx val="3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41E-42D3-9C05-DE813800DB15}"/>
                </c:ext>
              </c:extLst>
            </c:dLbl>
            <c:dLbl>
              <c:idx val="3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41E-42D3-9C05-DE813800DB15}"/>
                </c:ext>
              </c:extLst>
            </c:dLbl>
            <c:dLbl>
              <c:idx val="3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41E-42D3-9C05-DE813800DB15}"/>
                </c:ext>
              </c:extLst>
            </c:dLbl>
            <c:dLbl>
              <c:idx val="4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41E-42D3-9C05-DE813800DB15}"/>
                </c:ext>
              </c:extLst>
            </c:dLbl>
            <c:dLbl>
              <c:idx val="4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241E-42D3-9C05-DE813800DB15}"/>
                </c:ext>
              </c:extLst>
            </c:dLbl>
            <c:dLbl>
              <c:idx val="4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241E-42D3-9C05-DE813800DB15}"/>
                </c:ext>
              </c:extLst>
            </c:dLbl>
            <c:dLbl>
              <c:idx val="4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241E-42D3-9C05-DE813800DB15}"/>
                </c:ext>
              </c:extLst>
            </c:dLbl>
            <c:dLbl>
              <c:idx val="4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241E-42D3-9C05-DE813800DB15}"/>
                </c:ext>
              </c:extLst>
            </c:dLbl>
            <c:dLbl>
              <c:idx val="4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241E-42D3-9C05-DE813800DB15}"/>
                </c:ext>
              </c:extLst>
            </c:dLbl>
            <c:dLbl>
              <c:idx val="4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241E-42D3-9C05-DE813800DB15}"/>
                </c:ext>
              </c:extLst>
            </c:dLbl>
            <c:dLbl>
              <c:idx val="4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241E-42D3-9C05-DE813800DB15}"/>
                </c:ext>
              </c:extLst>
            </c:dLbl>
            <c:dLbl>
              <c:idx val="4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241E-42D3-9C05-DE813800DB15}"/>
                </c:ext>
              </c:extLst>
            </c:dLbl>
            <c:dLbl>
              <c:idx val="4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241E-42D3-9C05-DE813800DB15}"/>
                </c:ext>
              </c:extLst>
            </c:dLbl>
            <c:dLbl>
              <c:idx val="5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241E-42D3-9C05-DE813800DB15}"/>
                </c:ext>
              </c:extLst>
            </c:dLbl>
            <c:dLbl>
              <c:idx val="5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241E-42D3-9C05-DE813800DB15}"/>
                </c:ext>
              </c:extLst>
            </c:dLbl>
            <c:dLbl>
              <c:idx val="5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241E-42D3-9C05-DE813800DB15}"/>
                </c:ext>
              </c:extLst>
            </c:dLbl>
            <c:dLbl>
              <c:idx val="5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241E-42D3-9C05-DE813800DB15}"/>
                </c:ext>
              </c:extLst>
            </c:dLbl>
            <c:dLbl>
              <c:idx val="5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241E-42D3-9C05-DE813800DB15}"/>
                </c:ext>
              </c:extLst>
            </c:dLbl>
            <c:dLbl>
              <c:idx val="5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241E-42D3-9C05-DE813800DB15}"/>
                </c:ext>
              </c:extLst>
            </c:dLbl>
            <c:dLbl>
              <c:idx val="5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241E-42D3-9C05-DE813800DB15}"/>
                </c:ext>
              </c:extLst>
            </c:dLbl>
            <c:dLbl>
              <c:idx val="5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241E-42D3-9C05-DE813800DB15}"/>
                </c:ext>
              </c:extLst>
            </c:dLbl>
            <c:dLbl>
              <c:idx val="5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241E-42D3-9C05-DE813800DB15}"/>
                </c:ext>
              </c:extLst>
            </c:dLbl>
            <c:dLbl>
              <c:idx val="5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241E-42D3-9C05-DE813800DB15}"/>
                </c:ext>
              </c:extLst>
            </c:dLbl>
            <c:dLbl>
              <c:idx val="6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241E-42D3-9C05-DE813800DB15}"/>
                </c:ext>
              </c:extLst>
            </c:dLbl>
            <c:dLbl>
              <c:idx val="6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241E-42D3-9C05-DE813800DB15}"/>
                </c:ext>
              </c:extLst>
            </c:dLbl>
            <c:dLbl>
              <c:idx val="6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241E-42D3-9C05-DE813800DB15}"/>
                </c:ext>
              </c:extLst>
            </c:dLbl>
            <c:dLbl>
              <c:idx val="6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241E-42D3-9C05-DE813800DB15}"/>
                </c:ext>
              </c:extLst>
            </c:dLbl>
            <c:dLbl>
              <c:idx val="6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241E-42D3-9C05-DE813800DB15}"/>
                </c:ext>
              </c:extLst>
            </c:dLbl>
            <c:dLbl>
              <c:idx val="6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241E-42D3-9C05-DE813800DB15}"/>
                </c:ext>
              </c:extLst>
            </c:dLbl>
            <c:dLbl>
              <c:idx val="6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241E-42D3-9C05-DE813800DB15}"/>
                </c:ext>
              </c:extLst>
            </c:dLbl>
            <c:dLbl>
              <c:idx val="6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241E-42D3-9C05-DE813800DB15}"/>
                </c:ext>
              </c:extLst>
            </c:dLbl>
            <c:dLbl>
              <c:idx val="6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241E-42D3-9C05-DE813800DB15}"/>
                </c:ext>
              </c:extLst>
            </c:dLbl>
            <c:dLbl>
              <c:idx val="6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241E-42D3-9C05-DE813800DB15}"/>
                </c:ext>
              </c:extLst>
            </c:dLbl>
            <c:dLbl>
              <c:idx val="7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241E-42D3-9C05-DE813800DB15}"/>
                </c:ext>
              </c:extLst>
            </c:dLbl>
            <c:dLbl>
              <c:idx val="7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241E-42D3-9C05-DE813800DB15}"/>
                </c:ext>
              </c:extLst>
            </c:dLbl>
            <c:dLbl>
              <c:idx val="7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241E-42D3-9C05-DE813800DB15}"/>
                </c:ext>
              </c:extLst>
            </c:dLbl>
            <c:dLbl>
              <c:idx val="7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241E-42D3-9C05-DE813800DB15}"/>
                </c:ext>
              </c:extLst>
            </c:dLbl>
            <c:dLbl>
              <c:idx val="7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241E-42D3-9C05-DE813800DB15}"/>
                </c:ext>
              </c:extLst>
            </c:dLbl>
            <c:dLbl>
              <c:idx val="7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241E-42D3-9C05-DE813800DB15}"/>
                </c:ext>
              </c:extLst>
            </c:dLbl>
            <c:dLbl>
              <c:idx val="7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241E-42D3-9C05-DE813800DB15}"/>
                </c:ext>
              </c:extLst>
            </c:dLbl>
            <c:dLbl>
              <c:idx val="7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241E-42D3-9C05-DE813800DB15}"/>
                </c:ext>
              </c:extLst>
            </c:dLbl>
            <c:dLbl>
              <c:idx val="7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241E-42D3-9C05-DE813800DB15}"/>
                </c:ext>
              </c:extLst>
            </c:dLbl>
            <c:dLbl>
              <c:idx val="7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241E-42D3-9C05-DE813800DB15}"/>
                </c:ext>
              </c:extLst>
            </c:dLbl>
            <c:dLbl>
              <c:idx val="8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241E-42D3-9C05-DE813800DB15}"/>
                </c:ext>
              </c:extLst>
            </c:dLbl>
            <c:dLbl>
              <c:idx val="8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241E-42D3-9C05-DE813800DB15}"/>
                </c:ext>
              </c:extLst>
            </c:dLbl>
            <c:dLbl>
              <c:idx val="8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241E-42D3-9C05-DE813800DB15}"/>
                </c:ext>
              </c:extLst>
            </c:dLbl>
            <c:dLbl>
              <c:idx val="8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241E-42D3-9C05-DE813800DB15}"/>
                </c:ext>
              </c:extLst>
            </c:dLbl>
            <c:dLbl>
              <c:idx val="8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241E-42D3-9C05-DE813800DB15}"/>
                </c:ext>
              </c:extLst>
            </c:dLbl>
            <c:dLbl>
              <c:idx val="8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241E-42D3-9C05-DE813800DB15}"/>
                </c:ext>
              </c:extLst>
            </c:dLbl>
            <c:dLbl>
              <c:idx val="8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241E-42D3-9C05-DE813800DB15}"/>
                </c:ext>
              </c:extLst>
            </c:dLbl>
            <c:dLbl>
              <c:idx val="8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241E-42D3-9C05-DE813800DB15}"/>
                </c:ext>
              </c:extLst>
            </c:dLbl>
            <c:dLbl>
              <c:idx val="8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241E-42D3-9C05-DE813800DB15}"/>
                </c:ext>
              </c:extLst>
            </c:dLbl>
            <c:dLbl>
              <c:idx val="8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241E-42D3-9C05-DE813800DB15}"/>
                </c:ext>
              </c:extLst>
            </c:dLbl>
            <c:dLbl>
              <c:idx val="9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241E-42D3-9C05-DE813800DB15}"/>
                </c:ext>
              </c:extLst>
            </c:dLbl>
            <c:dLbl>
              <c:idx val="9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241E-42D3-9C05-DE813800DB15}"/>
                </c:ext>
              </c:extLst>
            </c:dLbl>
            <c:dLbl>
              <c:idx val="9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241E-42D3-9C05-DE813800DB15}"/>
                </c:ext>
              </c:extLst>
            </c:dLbl>
            <c:dLbl>
              <c:idx val="9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241E-42D3-9C05-DE813800DB15}"/>
                </c:ext>
              </c:extLst>
            </c:dLbl>
            <c:dLbl>
              <c:idx val="9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241E-42D3-9C05-DE813800DB15}"/>
                </c:ext>
              </c:extLst>
            </c:dLbl>
            <c:dLbl>
              <c:idx val="9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241E-42D3-9C05-DE813800DB15}"/>
                </c:ext>
              </c:extLst>
            </c:dLbl>
            <c:dLbl>
              <c:idx val="9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241E-42D3-9C05-DE813800DB15}"/>
                </c:ext>
              </c:extLst>
            </c:dLbl>
            <c:dLbl>
              <c:idx val="9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241E-42D3-9C05-DE813800DB15}"/>
                </c:ext>
              </c:extLst>
            </c:dLbl>
            <c:dLbl>
              <c:idx val="9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241E-42D3-9C05-DE813800DB15}"/>
                </c:ext>
              </c:extLst>
            </c:dLbl>
            <c:dLbl>
              <c:idx val="9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9101-469F-B8FB-0DAA235F06F4}"/>
                </c:ext>
              </c:extLst>
            </c:dLbl>
            <c:dLbl>
              <c:idx val="10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F70F-4DD7-9596-41E9CADF318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戸美!$E$2:$E$102</c:f>
              <c:numCache>
                <c:formatCode>General</c:formatCode>
                <c:ptCount val="101"/>
                <c:pt idx="0">
                  <c:v>479</c:v>
                </c:pt>
                <c:pt idx="1">
                  <c:v>477</c:v>
                </c:pt>
                <c:pt idx="2">
                  <c:v>469</c:v>
                </c:pt>
                <c:pt idx="3">
                  <c:v>465</c:v>
                </c:pt>
                <c:pt idx="4">
                  <c:v>468</c:v>
                </c:pt>
                <c:pt idx="5">
                  <c:v>462</c:v>
                </c:pt>
                <c:pt idx="6">
                  <c:v>467</c:v>
                </c:pt>
                <c:pt idx="7">
                  <c:v>470</c:v>
                </c:pt>
                <c:pt idx="8">
                  <c:v>485</c:v>
                </c:pt>
                <c:pt idx="9">
                  <c:v>475</c:v>
                </c:pt>
                <c:pt idx="10">
                  <c:v>483</c:v>
                </c:pt>
                <c:pt idx="11">
                  <c:v>476</c:v>
                </c:pt>
                <c:pt idx="12">
                  <c:v>491</c:v>
                </c:pt>
                <c:pt idx="13">
                  <c:v>482</c:v>
                </c:pt>
                <c:pt idx="14">
                  <c:v>492</c:v>
                </c:pt>
              </c:numCache>
            </c:numRef>
          </c:xVal>
          <c:yVal>
            <c:numRef>
              <c:f>戸美!$D$2:$D$102</c:f>
              <c:numCache>
                <c:formatCode>General</c:formatCode>
                <c:ptCount val="101"/>
                <c:pt idx="0">
                  <c:v>483</c:v>
                </c:pt>
                <c:pt idx="1">
                  <c:v>479</c:v>
                </c:pt>
                <c:pt idx="2">
                  <c:v>476</c:v>
                </c:pt>
                <c:pt idx="3">
                  <c:v>476</c:v>
                </c:pt>
                <c:pt idx="4">
                  <c:v>466</c:v>
                </c:pt>
                <c:pt idx="5">
                  <c:v>471</c:v>
                </c:pt>
                <c:pt idx="6">
                  <c:v>458</c:v>
                </c:pt>
                <c:pt idx="7">
                  <c:v>456</c:v>
                </c:pt>
                <c:pt idx="8">
                  <c:v>491</c:v>
                </c:pt>
                <c:pt idx="9">
                  <c:v>484</c:v>
                </c:pt>
                <c:pt idx="10">
                  <c:v>494</c:v>
                </c:pt>
                <c:pt idx="11">
                  <c:v>472</c:v>
                </c:pt>
                <c:pt idx="12">
                  <c:v>487</c:v>
                </c:pt>
                <c:pt idx="13">
                  <c:v>488</c:v>
                </c:pt>
                <c:pt idx="14">
                  <c:v>496</c:v>
                </c:pt>
              </c:numCache>
            </c:numRef>
          </c:yVal>
          <c:smooth val="0"/>
          <c:extLst>
            <c:ext xmlns:c15="http://schemas.microsoft.com/office/drawing/2012/chart" uri="{02D57815-91ED-43cb-92C2-25804820EDAC}">
              <c15:datalabelsRange>
                <c15:f>戸美!$F$2:$F$103</c15:f>
                <c15:dlblRangeCache>
                  <c:ptCount val="102"/>
                  <c:pt idx="0">
                    <c:v>大将優ICO</c:v>
                  </c:pt>
                  <c:pt idx="1">
                    <c:v>沼井和馬ICO</c:v>
                  </c:pt>
                  <c:pt idx="2">
                    <c:v>潜尚保ICO</c:v>
                  </c:pt>
                  <c:pt idx="3">
                    <c:v>高千穂恵也ICO</c:v>
                  </c:pt>
                  <c:pt idx="4">
                    <c:v>広尾倖児ICO</c:v>
                  </c:pt>
                  <c:pt idx="5">
                    <c:v>先島伊澄ICO</c:v>
                  </c:pt>
                  <c:pt idx="6">
                    <c:v>背黒晃彦ICO</c:v>
                  </c:pt>
                  <c:pt idx="7">
                    <c:v>赤間颯ICO</c:v>
                  </c:pt>
                  <c:pt idx="8">
                    <c:v>新年大将優ICO</c:v>
                  </c:pt>
                  <c:pt idx="9">
                    <c:v>バーガー潜尚保ICO</c:v>
                  </c:pt>
                  <c:pt idx="10">
                    <c:v>カンフー大将優ICO</c:v>
                  </c:pt>
                  <c:pt idx="11">
                    <c:v>カンフー広尾倖児ICO</c:v>
                  </c:pt>
                  <c:pt idx="12">
                    <c:v>妖大将優ICO</c:v>
                  </c:pt>
                  <c:pt idx="13">
                    <c:v>寝正月潜尚保ICO</c:v>
                  </c:pt>
                  <c:pt idx="14">
                    <c:v>梅雨2大将優ICO</c:v>
                  </c:pt>
                </c15:dlblRangeCache>
              </c15:datalabelsRange>
            </c:ext>
            <c:ext xmlns:c16="http://schemas.microsoft.com/office/drawing/2014/chart" uri="{C3380CC4-5D6E-409C-BE32-E72D297353CC}">
              <c16:uniqueId val="{000000A4-D64C-4F4B-A79B-996E4DDA24D1}"/>
            </c:ext>
          </c:extLst>
        </c:ser>
        <c:ser>
          <c:idx val="15"/>
          <c:order val="15"/>
          <c:tx>
            <c:v>椿原学園高校</c:v>
          </c:tx>
          <c:spPr>
            <a:ln w="25400" cap="rnd">
              <a:noFill/>
              <a:round/>
            </a:ln>
            <a:effectLst/>
          </c:spPr>
          <c:marker>
            <c:symbol val="triangle"/>
            <c:size val="5"/>
            <c:spPr>
              <a:solidFill>
                <a:srgbClr val="FFFFCC"/>
              </a:solidFill>
              <a:ln w="9525">
                <a:solidFill>
                  <a:srgbClr val="0070C0"/>
                </a:solidFill>
              </a:ln>
              <a:effectLst/>
            </c:spPr>
          </c:marker>
          <c:dLbls>
            <c:dLbl>
              <c:idx val="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77EC-4501-A568-39057C6C86F4}"/>
                </c:ext>
              </c:extLst>
            </c:dLbl>
            <c:dLbl>
              <c:idx val="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E339-4EBF-A8F7-1759DC314703}"/>
                </c:ext>
              </c:extLst>
            </c:dLbl>
            <c:dLbl>
              <c:idx val="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278D-456B-8992-258942305D8A}"/>
                </c:ext>
              </c:extLst>
            </c:dLbl>
            <c:dLbl>
              <c:idx val="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35F5-4BBA-9A59-4A8D3D7E2EF6}"/>
                </c:ext>
              </c:extLst>
            </c:dLbl>
            <c:dLbl>
              <c:idx val="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123-4180-B6DE-2FE0C8FA4EC2}"/>
                </c:ext>
              </c:extLst>
            </c:dLbl>
            <c:dLbl>
              <c:idx val="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431-4B91-AB57-8B6B7740C32B}"/>
                </c:ext>
              </c:extLst>
            </c:dLbl>
            <c:dLbl>
              <c:idx val="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5449-424A-9FD0-454125233FDE}"/>
                </c:ext>
              </c:extLst>
            </c:dLbl>
            <c:dLbl>
              <c:idx val="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9765-4BC4-81C1-26A39E1B460D}"/>
                </c:ext>
              </c:extLst>
            </c:dLbl>
            <c:dLbl>
              <c:idx val="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241E-42D3-9C05-DE813800DB15}"/>
                </c:ext>
              </c:extLst>
            </c:dLbl>
            <c:dLbl>
              <c:idx val="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241E-42D3-9C05-DE813800DB15}"/>
                </c:ext>
              </c:extLst>
            </c:dLbl>
            <c:dLbl>
              <c:idx val="1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241E-42D3-9C05-DE813800DB15}"/>
                </c:ext>
              </c:extLst>
            </c:dLbl>
            <c:dLbl>
              <c:idx val="1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241E-42D3-9C05-DE813800DB15}"/>
                </c:ext>
              </c:extLst>
            </c:dLbl>
            <c:dLbl>
              <c:idx val="1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241E-42D3-9C05-DE813800DB15}"/>
                </c:ext>
              </c:extLst>
            </c:dLbl>
            <c:dLbl>
              <c:idx val="1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241E-42D3-9C05-DE813800DB15}"/>
                </c:ext>
              </c:extLst>
            </c:dLbl>
            <c:dLbl>
              <c:idx val="1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241E-42D3-9C05-DE813800DB15}"/>
                </c:ext>
              </c:extLst>
            </c:dLbl>
            <c:dLbl>
              <c:idx val="1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241E-42D3-9C05-DE813800DB15}"/>
                </c:ext>
              </c:extLst>
            </c:dLbl>
            <c:dLbl>
              <c:idx val="1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241E-42D3-9C05-DE813800DB15}"/>
                </c:ext>
              </c:extLst>
            </c:dLbl>
            <c:dLbl>
              <c:idx val="1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241E-42D3-9C05-DE813800DB15}"/>
                </c:ext>
              </c:extLst>
            </c:dLbl>
            <c:dLbl>
              <c:idx val="1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241E-42D3-9C05-DE813800DB15}"/>
                </c:ext>
              </c:extLst>
            </c:dLbl>
            <c:dLbl>
              <c:idx val="1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241E-42D3-9C05-DE813800DB15}"/>
                </c:ext>
              </c:extLst>
            </c:dLbl>
            <c:dLbl>
              <c:idx val="2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241E-42D3-9C05-DE813800DB15}"/>
                </c:ext>
              </c:extLst>
            </c:dLbl>
            <c:dLbl>
              <c:idx val="2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241E-42D3-9C05-DE813800DB15}"/>
                </c:ext>
              </c:extLst>
            </c:dLbl>
            <c:dLbl>
              <c:idx val="2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6-241E-42D3-9C05-DE813800DB15}"/>
                </c:ext>
              </c:extLst>
            </c:dLbl>
            <c:dLbl>
              <c:idx val="2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7-241E-42D3-9C05-DE813800DB15}"/>
                </c:ext>
              </c:extLst>
            </c:dLbl>
            <c:dLbl>
              <c:idx val="2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8-241E-42D3-9C05-DE813800DB15}"/>
                </c:ext>
              </c:extLst>
            </c:dLbl>
            <c:dLbl>
              <c:idx val="2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9-241E-42D3-9C05-DE813800DB15}"/>
                </c:ext>
              </c:extLst>
            </c:dLbl>
            <c:dLbl>
              <c:idx val="2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A-241E-42D3-9C05-DE813800DB15}"/>
                </c:ext>
              </c:extLst>
            </c:dLbl>
            <c:dLbl>
              <c:idx val="2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B-241E-42D3-9C05-DE813800DB15}"/>
                </c:ext>
              </c:extLst>
            </c:dLbl>
            <c:dLbl>
              <c:idx val="2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C-241E-42D3-9C05-DE813800DB15}"/>
                </c:ext>
              </c:extLst>
            </c:dLbl>
            <c:dLbl>
              <c:idx val="2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D-241E-42D3-9C05-DE813800DB15}"/>
                </c:ext>
              </c:extLst>
            </c:dLbl>
            <c:dLbl>
              <c:idx val="3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E-241E-42D3-9C05-DE813800DB15}"/>
                </c:ext>
              </c:extLst>
            </c:dLbl>
            <c:dLbl>
              <c:idx val="3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F-241E-42D3-9C05-DE813800DB15}"/>
                </c:ext>
              </c:extLst>
            </c:dLbl>
            <c:dLbl>
              <c:idx val="3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0-241E-42D3-9C05-DE813800DB15}"/>
                </c:ext>
              </c:extLst>
            </c:dLbl>
            <c:dLbl>
              <c:idx val="3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1-241E-42D3-9C05-DE813800DB15}"/>
                </c:ext>
              </c:extLst>
            </c:dLbl>
            <c:dLbl>
              <c:idx val="3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2-241E-42D3-9C05-DE813800DB15}"/>
                </c:ext>
              </c:extLst>
            </c:dLbl>
            <c:dLbl>
              <c:idx val="3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3-241E-42D3-9C05-DE813800DB15}"/>
                </c:ext>
              </c:extLst>
            </c:dLbl>
            <c:dLbl>
              <c:idx val="3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4-241E-42D3-9C05-DE813800DB15}"/>
                </c:ext>
              </c:extLst>
            </c:dLbl>
            <c:dLbl>
              <c:idx val="3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5-241E-42D3-9C05-DE813800DB15}"/>
                </c:ext>
              </c:extLst>
            </c:dLbl>
            <c:dLbl>
              <c:idx val="3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6-241E-42D3-9C05-DE813800DB15}"/>
                </c:ext>
              </c:extLst>
            </c:dLbl>
            <c:dLbl>
              <c:idx val="3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7-241E-42D3-9C05-DE813800DB15}"/>
                </c:ext>
              </c:extLst>
            </c:dLbl>
            <c:dLbl>
              <c:idx val="4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8-241E-42D3-9C05-DE813800DB15}"/>
                </c:ext>
              </c:extLst>
            </c:dLbl>
            <c:dLbl>
              <c:idx val="4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9-241E-42D3-9C05-DE813800DB15}"/>
                </c:ext>
              </c:extLst>
            </c:dLbl>
            <c:dLbl>
              <c:idx val="4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A-241E-42D3-9C05-DE813800DB15}"/>
                </c:ext>
              </c:extLst>
            </c:dLbl>
            <c:dLbl>
              <c:idx val="4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B-241E-42D3-9C05-DE813800DB15}"/>
                </c:ext>
              </c:extLst>
            </c:dLbl>
            <c:dLbl>
              <c:idx val="4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C-241E-42D3-9C05-DE813800DB15}"/>
                </c:ext>
              </c:extLst>
            </c:dLbl>
            <c:dLbl>
              <c:idx val="4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D-241E-42D3-9C05-DE813800DB15}"/>
                </c:ext>
              </c:extLst>
            </c:dLbl>
            <c:dLbl>
              <c:idx val="4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E-241E-42D3-9C05-DE813800DB15}"/>
                </c:ext>
              </c:extLst>
            </c:dLbl>
            <c:dLbl>
              <c:idx val="4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7F-241E-42D3-9C05-DE813800DB15}"/>
                </c:ext>
              </c:extLst>
            </c:dLbl>
            <c:dLbl>
              <c:idx val="4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0-241E-42D3-9C05-DE813800DB15}"/>
                </c:ext>
              </c:extLst>
            </c:dLbl>
            <c:dLbl>
              <c:idx val="4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1-241E-42D3-9C05-DE813800DB15}"/>
                </c:ext>
              </c:extLst>
            </c:dLbl>
            <c:dLbl>
              <c:idx val="5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2-241E-42D3-9C05-DE813800DB15}"/>
                </c:ext>
              </c:extLst>
            </c:dLbl>
            <c:dLbl>
              <c:idx val="5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3-241E-42D3-9C05-DE813800DB15}"/>
                </c:ext>
              </c:extLst>
            </c:dLbl>
            <c:dLbl>
              <c:idx val="5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4-241E-42D3-9C05-DE813800DB15}"/>
                </c:ext>
              </c:extLst>
            </c:dLbl>
            <c:dLbl>
              <c:idx val="5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5-241E-42D3-9C05-DE813800DB15}"/>
                </c:ext>
              </c:extLst>
            </c:dLbl>
            <c:dLbl>
              <c:idx val="5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6-241E-42D3-9C05-DE813800DB15}"/>
                </c:ext>
              </c:extLst>
            </c:dLbl>
            <c:dLbl>
              <c:idx val="5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7-241E-42D3-9C05-DE813800DB15}"/>
                </c:ext>
              </c:extLst>
            </c:dLbl>
            <c:dLbl>
              <c:idx val="5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8-241E-42D3-9C05-DE813800DB15}"/>
                </c:ext>
              </c:extLst>
            </c:dLbl>
            <c:dLbl>
              <c:idx val="5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9-241E-42D3-9C05-DE813800DB15}"/>
                </c:ext>
              </c:extLst>
            </c:dLbl>
            <c:dLbl>
              <c:idx val="5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A-241E-42D3-9C05-DE813800DB15}"/>
                </c:ext>
              </c:extLst>
            </c:dLbl>
            <c:dLbl>
              <c:idx val="5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B-241E-42D3-9C05-DE813800DB15}"/>
                </c:ext>
              </c:extLst>
            </c:dLbl>
            <c:dLbl>
              <c:idx val="6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C-241E-42D3-9C05-DE813800DB15}"/>
                </c:ext>
              </c:extLst>
            </c:dLbl>
            <c:dLbl>
              <c:idx val="6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D-241E-42D3-9C05-DE813800DB15}"/>
                </c:ext>
              </c:extLst>
            </c:dLbl>
            <c:dLbl>
              <c:idx val="6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E-241E-42D3-9C05-DE813800DB15}"/>
                </c:ext>
              </c:extLst>
            </c:dLbl>
            <c:dLbl>
              <c:idx val="6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8F-241E-42D3-9C05-DE813800DB15}"/>
                </c:ext>
              </c:extLst>
            </c:dLbl>
            <c:dLbl>
              <c:idx val="6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0-241E-42D3-9C05-DE813800DB15}"/>
                </c:ext>
              </c:extLst>
            </c:dLbl>
            <c:dLbl>
              <c:idx val="6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1-241E-42D3-9C05-DE813800DB15}"/>
                </c:ext>
              </c:extLst>
            </c:dLbl>
            <c:dLbl>
              <c:idx val="6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2-241E-42D3-9C05-DE813800DB15}"/>
                </c:ext>
              </c:extLst>
            </c:dLbl>
            <c:dLbl>
              <c:idx val="6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3-241E-42D3-9C05-DE813800DB15}"/>
                </c:ext>
              </c:extLst>
            </c:dLbl>
            <c:dLbl>
              <c:idx val="6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4-241E-42D3-9C05-DE813800DB15}"/>
                </c:ext>
              </c:extLst>
            </c:dLbl>
            <c:dLbl>
              <c:idx val="6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5-241E-42D3-9C05-DE813800DB15}"/>
                </c:ext>
              </c:extLst>
            </c:dLbl>
            <c:dLbl>
              <c:idx val="7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6-241E-42D3-9C05-DE813800DB15}"/>
                </c:ext>
              </c:extLst>
            </c:dLbl>
            <c:dLbl>
              <c:idx val="7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7-241E-42D3-9C05-DE813800DB15}"/>
                </c:ext>
              </c:extLst>
            </c:dLbl>
            <c:dLbl>
              <c:idx val="7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8-241E-42D3-9C05-DE813800DB15}"/>
                </c:ext>
              </c:extLst>
            </c:dLbl>
            <c:dLbl>
              <c:idx val="7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9-241E-42D3-9C05-DE813800DB15}"/>
                </c:ext>
              </c:extLst>
            </c:dLbl>
            <c:dLbl>
              <c:idx val="7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A-241E-42D3-9C05-DE813800DB15}"/>
                </c:ext>
              </c:extLst>
            </c:dLbl>
            <c:dLbl>
              <c:idx val="7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B-241E-42D3-9C05-DE813800DB15}"/>
                </c:ext>
              </c:extLst>
            </c:dLbl>
            <c:dLbl>
              <c:idx val="7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C-241E-42D3-9C05-DE813800DB15}"/>
                </c:ext>
              </c:extLst>
            </c:dLbl>
            <c:dLbl>
              <c:idx val="7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D-241E-42D3-9C05-DE813800DB15}"/>
                </c:ext>
              </c:extLst>
            </c:dLbl>
            <c:dLbl>
              <c:idx val="7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E-241E-42D3-9C05-DE813800DB15}"/>
                </c:ext>
              </c:extLst>
            </c:dLbl>
            <c:dLbl>
              <c:idx val="7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9F-241E-42D3-9C05-DE813800DB15}"/>
                </c:ext>
              </c:extLst>
            </c:dLbl>
            <c:dLbl>
              <c:idx val="8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0-241E-42D3-9C05-DE813800DB15}"/>
                </c:ext>
              </c:extLst>
            </c:dLbl>
            <c:dLbl>
              <c:idx val="8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1-241E-42D3-9C05-DE813800DB15}"/>
                </c:ext>
              </c:extLst>
            </c:dLbl>
            <c:dLbl>
              <c:idx val="8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2-241E-42D3-9C05-DE813800DB15}"/>
                </c:ext>
              </c:extLst>
            </c:dLbl>
            <c:dLbl>
              <c:idx val="8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3-241E-42D3-9C05-DE813800DB15}"/>
                </c:ext>
              </c:extLst>
            </c:dLbl>
            <c:dLbl>
              <c:idx val="8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4-241E-42D3-9C05-DE813800DB15}"/>
                </c:ext>
              </c:extLst>
            </c:dLbl>
            <c:dLbl>
              <c:idx val="8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5-241E-42D3-9C05-DE813800DB15}"/>
                </c:ext>
              </c:extLst>
            </c:dLbl>
            <c:dLbl>
              <c:idx val="8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6-241E-42D3-9C05-DE813800DB15}"/>
                </c:ext>
              </c:extLst>
            </c:dLbl>
            <c:dLbl>
              <c:idx val="8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7-241E-42D3-9C05-DE813800DB15}"/>
                </c:ext>
              </c:extLst>
            </c:dLbl>
            <c:dLbl>
              <c:idx val="8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8-241E-42D3-9C05-DE813800DB15}"/>
                </c:ext>
              </c:extLst>
            </c:dLbl>
            <c:dLbl>
              <c:idx val="8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9-241E-42D3-9C05-DE813800DB15}"/>
                </c:ext>
              </c:extLst>
            </c:dLbl>
            <c:dLbl>
              <c:idx val="9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A-241E-42D3-9C05-DE813800DB15}"/>
                </c:ext>
              </c:extLst>
            </c:dLbl>
            <c:dLbl>
              <c:idx val="9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B-241E-42D3-9C05-DE813800DB15}"/>
                </c:ext>
              </c:extLst>
            </c:dLbl>
            <c:dLbl>
              <c:idx val="9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C-241E-42D3-9C05-DE813800DB15}"/>
                </c:ext>
              </c:extLst>
            </c:dLbl>
            <c:dLbl>
              <c:idx val="9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D-241E-42D3-9C05-DE813800DB15}"/>
                </c:ext>
              </c:extLst>
            </c:dLbl>
            <c:dLbl>
              <c:idx val="9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E-241E-42D3-9C05-DE813800DB15}"/>
                </c:ext>
              </c:extLst>
            </c:dLbl>
            <c:dLbl>
              <c:idx val="9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AF-241E-42D3-9C05-DE813800DB15}"/>
                </c:ext>
              </c:extLst>
            </c:dLbl>
            <c:dLbl>
              <c:idx val="9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0-241E-42D3-9C05-DE813800DB15}"/>
                </c:ext>
              </c:extLst>
            </c:dLbl>
            <c:dLbl>
              <c:idx val="9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1-241E-42D3-9C05-DE813800DB15}"/>
                </c:ext>
              </c:extLst>
            </c:dLbl>
            <c:dLbl>
              <c:idx val="9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2-241E-42D3-9C05-DE813800DB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椿原!$N$2:$N$100</c:f>
              <c:numCache>
                <c:formatCode>General</c:formatCode>
                <c:ptCount val="99"/>
              </c:numCache>
            </c:numRef>
          </c:xVal>
          <c:yVal>
            <c:numRef>
              <c:f>椿原!$M$2:$M$100</c:f>
              <c:numCache>
                <c:formatCode>General</c:formatCode>
                <c:ptCount val="99"/>
              </c:numCache>
            </c:numRef>
          </c:yVal>
          <c:smooth val="0"/>
          <c:extLst>
            <c:ext xmlns:c15="http://schemas.microsoft.com/office/drawing/2012/chart" uri="{02D57815-91ED-43cb-92C2-25804820EDAC}">
              <c15:datalabelsRange>
                <c15:f>椿原!$O$2:$O$99</c15:f>
                <c15:dlblRangeCache>
                  <c:ptCount val="98"/>
                </c15:dlblRangeCache>
              </c15:datalabelsRange>
            </c:ext>
            <c:ext xmlns:c16="http://schemas.microsoft.com/office/drawing/2014/chart" uri="{C3380CC4-5D6E-409C-BE32-E72D297353CC}">
              <c16:uniqueId val="{00000001-77EC-4501-A568-39057C6C86F4}"/>
            </c:ext>
          </c:extLst>
        </c:ser>
        <c:ser>
          <c:idx val="16"/>
          <c:order val="16"/>
          <c:tx>
            <c:v>生川高校</c:v>
          </c:tx>
          <c:spPr>
            <a:ln w="25400" cap="rnd">
              <a:noFill/>
              <a:round/>
            </a:ln>
            <a:effectLst/>
          </c:spPr>
          <c:marker>
            <c:symbol val="square"/>
            <c:size val="5"/>
            <c:spPr>
              <a:solidFill>
                <a:schemeClr val="tx2">
                  <a:lumMod val="50000"/>
                  <a:lumOff val="50000"/>
                </a:schemeClr>
              </a:solidFill>
              <a:ln w="19050">
                <a:solidFill>
                  <a:srgbClr val="00B050"/>
                </a:solidFill>
              </a:ln>
              <a:effectLst/>
            </c:spPr>
          </c:marker>
          <c:dLbls>
            <c:dLbl>
              <c:idx val="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5866-40B4-BD83-B15F7457BD35}"/>
                </c:ext>
              </c:extLst>
            </c:dLbl>
            <c:dLbl>
              <c:idx val="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5866-40B4-BD83-B15F7457BD35}"/>
                </c:ext>
              </c:extLst>
            </c:dLbl>
            <c:dLbl>
              <c:idx val="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5866-40B4-BD83-B15F7457BD35}"/>
                </c:ext>
              </c:extLst>
            </c:dLbl>
            <c:dLbl>
              <c:idx val="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2776-4065-B7F5-20E3FE05711F}"/>
                </c:ext>
              </c:extLst>
            </c:dLbl>
            <c:dLbl>
              <c:idx val="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2776-4065-B7F5-20E3FE05711F}"/>
                </c:ext>
              </c:extLst>
            </c:dLbl>
            <c:dLbl>
              <c:idx val="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776-4065-B7F5-20E3FE05711F}"/>
                </c:ext>
              </c:extLst>
            </c:dLbl>
            <c:dLbl>
              <c:idx val="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776-4065-B7F5-20E3FE05711F}"/>
                </c:ext>
              </c:extLst>
            </c:dLbl>
            <c:dLbl>
              <c:idx val="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776-4065-B7F5-20E3FE05711F}"/>
                </c:ext>
              </c:extLst>
            </c:dLbl>
            <c:dLbl>
              <c:idx val="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776-4065-B7F5-20E3FE05711F}"/>
                </c:ext>
              </c:extLst>
            </c:dLbl>
            <c:dLbl>
              <c:idx val="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776-4065-B7F5-20E3FE05711F}"/>
                </c:ext>
              </c:extLst>
            </c:dLbl>
            <c:dLbl>
              <c:idx val="1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776-4065-B7F5-20E3FE05711F}"/>
                </c:ext>
              </c:extLst>
            </c:dLbl>
            <c:dLbl>
              <c:idx val="1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776-4065-B7F5-20E3FE05711F}"/>
                </c:ext>
              </c:extLst>
            </c:dLbl>
            <c:dLbl>
              <c:idx val="1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776-4065-B7F5-20E3FE05711F}"/>
                </c:ext>
              </c:extLst>
            </c:dLbl>
            <c:dLbl>
              <c:idx val="1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776-4065-B7F5-20E3FE05711F}"/>
                </c:ext>
              </c:extLst>
            </c:dLbl>
            <c:dLbl>
              <c:idx val="1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776-4065-B7F5-20E3FE05711F}"/>
                </c:ext>
              </c:extLst>
            </c:dLbl>
            <c:dLbl>
              <c:idx val="1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776-4065-B7F5-20E3FE05711F}"/>
                </c:ext>
              </c:extLst>
            </c:dLbl>
            <c:dLbl>
              <c:idx val="1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776-4065-B7F5-20E3FE05711F}"/>
                </c:ext>
              </c:extLst>
            </c:dLbl>
            <c:dLbl>
              <c:idx val="1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776-4065-B7F5-20E3FE05711F}"/>
                </c:ext>
              </c:extLst>
            </c:dLbl>
            <c:dLbl>
              <c:idx val="1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776-4065-B7F5-20E3FE05711F}"/>
                </c:ext>
              </c:extLst>
            </c:dLbl>
            <c:dLbl>
              <c:idx val="1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776-4065-B7F5-20E3FE05711F}"/>
                </c:ext>
              </c:extLst>
            </c:dLbl>
            <c:dLbl>
              <c:idx val="2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776-4065-B7F5-20E3FE05711F}"/>
                </c:ext>
              </c:extLst>
            </c:dLbl>
            <c:dLbl>
              <c:idx val="2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776-4065-B7F5-20E3FE05711F}"/>
                </c:ext>
              </c:extLst>
            </c:dLbl>
            <c:dLbl>
              <c:idx val="2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776-4065-B7F5-20E3FE05711F}"/>
                </c:ext>
              </c:extLst>
            </c:dLbl>
            <c:dLbl>
              <c:idx val="2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776-4065-B7F5-20E3FE05711F}"/>
                </c:ext>
              </c:extLst>
            </c:dLbl>
            <c:dLbl>
              <c:idx val="2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776-4065-B7F5-20E3FE05711F}"/>
                </c:ext>
              </c:extLst>
            </c:dLbl>
            <c:dLbl>
              <c:idx val="2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2776-4065-B7F5-20E3FE05711F}"/>
                </c:ext>
              </c:extLst>
            </c:dLbl>
            <c:dLbl>
              <c:idx val="2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2776-4065-B7F5-20E3FE05711F}"/>
                </c:ext>
              </c:extLst>
            </c:dLbl>
            <c:dLbl>
              <c:idx val="2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776-4065-B7F5-20E3FE05711F}"/>
                </c:ext>
              </c:extLst>
            </c:dLbl>
            <c:dLbl>
              <c:idx val="2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776-4065-B7F5-20E3FE05711F}"/>
                </c:ext>
              </c:extLst>
            </c:dLbl>
            <c:dLbl>
              <c:idx val="2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776-4065-B7F5-20E3FE05711F}"/>
                </c:ext>
              </c:extLst>
            </c:dLbl>
            <c:dLbl>
              <c:idx val="3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776-4065-B7F5-20E3FE05711F}"/>
                </c:ext>
              </c:extLst>
            </c:dLbl>
            <c:dLbl>
              <c:idx val="3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2776-4065-B7F5-20E3FE05711F}"/>
                </c:ext>
              </c:extLst>
            </c:dLbl>
            <c:dLbl>
              <c:idx val="3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2776-4065-B7F5-20E3FE05711F}"/>
                </c:ext>
              </c:extLst>
            </c:dLbl>
            <c:dLbl>
              <c:idx val="3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2776-4065-B7F5-20E3FE05711F}"/>
                </c:ext>
              </c:extLst>
            </c:dLbl>
            <c:dLbl>
              <c:idx val="3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2776-4065-B7F5-20E3FE05711F}"/>
                </c:ext>
              </c:extLst>
            </c:dLbl>
            <c:dLbl>
              <c:idx val="3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2776-4065-B7F5-20E3FE05711F}"/>
                </c:ext>
              </c:extLst>
            </c:dLbl>
            <c:dLbl>
              <c:idx val="3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2776-4065-B7F5-20E3FE05711F}"/>
                </c:ext>
              </c:extLst>
            </c:dLbl>
            <c:dLbl>
              <c:idx val="3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2776-4065-B7F5-20E3FE05711F}"/>
                </c:ext>
              </c:extLst>
            </c:dLbl>
            <c:dLbl>
              <c:idx val="3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2776-4065-B7F5-20E3FE05711F}"/>
                </c:ext>
              </c:extLst>
            </c:dLbl>
            <c:dLbl>
              <c:idx val="3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2776-4065-B7F5-20E3FE05711F}"/>
                </c:ext>
              </c:extLst>
            </c:dLbl>
            <c:dLbl>
              <c:idx val="4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2776-4065-B7F5-20E3FE05711F}"/>
                </c:ext>
              </c:extLst>
            </c:dLbl>
            <c:dLbl>
              <c:idx val="4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2776-4065-B7F5-20E3FE05711F}"/>
                </c:ext>
              </c:extLst>
            </c:dLbl>
            <c:dLbl>
              <c:idx val="4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2776-4065-B7F5-20E3FE05711F}"/>
                </c:ext>
              </c:extLst>
            </c:dLbl>
            <c:dLbl>
              <c:idx val="4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2776-4065-B7F5-20E3FE05711F}"/>
                </c:ext>
              </c:extLst>
            </c:dLbl>
            <c:dLbl>
              <c:idx val="4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2776-4065-B7F5-20E3FE05711F}"/>
                </c:ext>
              </c:extLst>
            </c:dLbl>
            <c:dLbl>
              <c:idx val="4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2776-4065-B7F5-20E3FE05711F}"/>
                </c:ext>
              </c:extLst>
            </c:dLbl>
            <c:dLbl>
              <c:idx val="4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2776-4065-B7F5-20E3FE05711F}"/>
                </c:ext>
              </c:extLst>
            </c:dLbl>
            <c:dLbl>
              <c:idx val="4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2776-4065-B7F5-20E3FE05711F}"/>
                </c:ext>
              </c:extLst>
            </c:dLbl>
            <c:dLbl>
              <c:idx val="4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2776-4065-B7F5-20E3FE05711F}"/>
                </c:ext>
              </c:extLst>
            </c:dLbl>
            <c:dLbl>
              <c:idx val="4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2776-4065-B7F5-20E3FE05711F}"/>
                </c:ext>
              </c:extLst>
            </c:dLbl>
            <c:dLbl>
              <c:idx val="5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2776-4065-B7F5-20E3FE05711F}"/>
                </c:ext>
              </c:extLst>
            </c:dLbl>
            <c:dLbl>
              <c:idx val="5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2776-4065-B7F5-20E3FE05711F}"/>
                </c:ext>
              </c:extLst>
            </c:dLbl>
            <c:dLbl>
              <c:idx val="5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2776-4065-B7F5-20E3FE05711F}"/>
                </c:ext>
              </c:extLst>
            </c:dLbl>
            <c:dLbl>
              <c:idx val="5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2776-4065-B7F5-20E3FE05711F}"/>
                </c:ext>
              </c:extLst>
            </c:dLbl>
            <c:dLbl>
              <c:idx val="5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2776-4065-B7F5-20E3FE05711F}"/>
                </c:ext>
              </c:extLst>
            </c:dLbl>
            <c:dLbl>
              <c:idx val="5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2776-4065-B7F5-20E3FE05711F}"/>
                </c:ext>
              </c:extLst>
            </c:dLbl>
            <c:dLbl>
              <c:idx val="5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2776-4065-B7F5-20E3FE05711F}"/>
                </c:ext>
              </c:extLst>
            </c:dLbl>
            <c:dLbl>
              <c:idx val="5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2776-4065-B7F5-20E3FE05711F}"/>
                </c:ext>
              </c:extLst>
            </c:dLbl>
            <c:dLbl>
              <c:idx val="5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2776-4065-B7F5-20E3FE05711F}"/>
                </c:ext>
              </c:extLst>
            </c:dLbl>
            <c:dLbl>
              <c:idx val="5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2776-4065-B7F5-20E3FE05711F}"/>
                </c:ext>
              </c:extLst>
            </c:dLbl>
            <c:dLbl>
              <c:idx val="6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2776-4065-B7F5-20E3FE05711F}"/>
                </c:ext>
              </c:extLst>
            </c:dLbl>
            <c:dLbl>
              <c:idx val="6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2776-4065-B7F5-20E3FE05711F}"/>
                </c:ext>
              </c:extLst>
            </c:dLbl>
            <c:dLbl>
              <c:idx val="6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2776-4065-B7F5-20E3FE05711F}"/>
                </c:ext>
              </c:extLst>
            </c:dLbl>
            <c:dLbl>
              <c:idx val="6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2776-4065-B7F5-20E3FE05711F}"/>
                </c:ext>
              </c:extLst>
            </c:dLbl>
            <c:dLbl>
              <c:idx val="6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2776-4065-B7F5-20E3FE05711F}"/>
                </c:ext>
              </c:extLst>
            </c:dLbl>
            <c:dLbl>
              <c:idx val="6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2776-4065-B7F5-20E3FE05711F}"/>
                </c:ext>
              </c:extLst>
            </c:dLbl>
            <c:dLbl>
              <c:idx val="6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2776-4065-B7F5-20E3FE05711F}"/>
                </c:ext>
              </c:extLst>
            </c:dLbl>
            <c:dLbl>
              <c:idx val="6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2776-4065-B7F5-20E3FE05711F}"/>
                </c:ext>
              </c:extLst>
            </c:dLbl>
            <c:dLbl>
              <c:idx val="6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2776-4065-B7F5-20E3FE05711F}"/>
                </c:ext>
              </c:extLst>
            </c:dLbl>
            <c:dLbl>
              <c:idx val="6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2776-4065-B7F5-20E3FE05711F}"/>
                </c:ext>
              </c:extLst>
            </c:dLbl>
            <c:dLbl>
              <c:idx val="7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2776-4065-B7F5-20E3FE05711F}"/>
                </c:ext>
              </c:extLst>
            </c:dLbl>
            <c:dLbl>
              <c:idx val="7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2776-4065-B7F5-20E3FE05711F}"/>
                </c:ext>
              </c:extLst>
            </c:dLbl>
            <c:dLbl>
              <c:idx val="7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2776-4065-B7F5-20E3FE05711F}"/>
                </c:ext>
              </c:extLst>
            </c:dLbl>
            <c:dLbl>
              <c:idx val="7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2776-4065-B7F5-20E3FE05711F}"/>
                </c:ext>
              </c:extLst>
            </c:dLbl>
            <c:dLbl>
              <c:idx val="7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2776-4065-B7F5-20E3FE05711F}"/>
                </c:ext>
              </c:extLst>
            </c:dLbl>
            <c:dLbl>
              <c:idx val="7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2776-4065-B7F5-20E3FE05711F}"/>
                </c:ext>
              </c:extLst>
            </c:dLbl>
            <c:dLbl>
              <c:idx val="7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2776-4065-B7F5-20E3FE05711F}"/>
                </c:ext>
              </c:extLst>
            </c:dLbl>
            <c:dLbl>
              <c:idx val="7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2776-4065-B7F5-20E3FE05711F}"/>
                </c:ext>
              </c:extLst>
            </c:dLbl>
            <c:dLbl>
              <c:idx val="7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2776-4065-B7F5-20E3FE05711F}"/>
                </c:ext>
              </c:extLst>
            </c:dLbl>
            <c:dLbl>
              <c:idx val="7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2776-4065-B7F5-20E3FE05711F}"/>
                </c:ext>
              </c:extLst>
            </c:dLbl>
            <c:dLbl>
              <c:idx val="8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2776-4065-B7F5-20E3FE05711F}"/>
                </c:ext>
              </c:extLst>
            </c:dLbl>
            <c:dLbl>
              <c:idx val="8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2776-4065-B7F5-20E3FE05711F}"/>
                </c:ext>
              </c:extLst>
            </c:dLbl>
            <c:dLbl>
              <c:idx val="8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2776-4065-B7F5-20E3FE05711F}"/>
                </c:ext>
              </c:extLst>
            </c:dLbl>
            <c:dLbl>
              <c:idx val="8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2776-4065-B7F5-20E3FE05711F}"/>
                </c:ext>
              </c:extLst>
            </c:dLbl>
            <c:dLbl>
              <c:idx val="8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2776-4065-B7F5-20E3FE05711F}"/>
                </c:ext>
              </c:extLst>
            </c:dLbl>
            <c:dLbl>
              <c:idx val="8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2776-4065-B7F5-20E3FE05711F}"/>
                </c:ext>
              </c:extLst>
            </c:dLbl>
            <c:dLbl>
              <c:idx val="8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2776-4065-B7F5-20E3FE05711F}"/>
                </c:ext>
              </c:extLst>
            </c:dLbl>
            <c:dLbl>
              <c:idx val="8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2776-4065-B7F5-20E3FE05711F}"/>
                </c:ext>
              </c:extLst>
            </c:dLbl>
            <c:dLbl>
              <c:idx val="8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2776-4065-B7F5-20E3FE05711F}"/>
                </c:ext>
              </c:extLst>
            </c:dLbl>
            <c:dLbl>
              <c:idx val="8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2776-4065-B7F5-20E3FE05711F}"/>
                </c:ext>
              </c:extLst>
            </c:dLbl>
            <c:dLbl>
              <c:idx val="9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2776-4065-B7F5-20E3FE05711F}"/>
                </c:ext>
              </c:extLst>
            </c:dLbl>
            <c:dLbl>
              <c:idx val="9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2776-4065-B7F5-20E3FE05711F}"/>
                </c:ext>
              </c:extLst>
            </c:dLbl>
            <c:dLbl>
              <c:idx val="9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2776-4065-B7F5-20E3FE05711F}"/>
                </c:ext>
              </c:extLst>
            </c:dLbl>
            <c:dLbl>
              <c:idx val="9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2776-4065-B7F5-20E3FE05711F}"/>
                </c:ext>
              </c:extLst>
            </c:dLbl>
            <c:dLbl>
              <c:idx val="9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2776-4065-B7F5-20E3FE05711F}"/>
                </c:ext>
              </c:extLst>
            </c:dLbl>
            <c:dLbl>
              <c:idx val="9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2776-4065-B7F5-20E3FE05711F}"/>
                </c:ext>
              </c:extLst>
            </c:dLbl>
            <c:dLbl>
              <c:idx val="9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2776-4065-B7F5-20E3FE05711F}"/>
                </c:ext>
              </c:extLst>
            </c:dLbl>
            <c:dLbl>
              <c:idx val="9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2776-4065-B7F5-20E3FE05711F}"/>
                </c:ext>
              </c:extLst>
            </c:dLbl>
            <c:dLbl>
              <c:idx val="9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2776-4065-B7F5-20E3FE05711F}"/>
                </c:ext>
              </c:extLst>
            </c:dLbl>
            <c:dLbl>
              <c:idx val="9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2776-4065-B7F5-20E3FE05711F}"/>
                </c:ext>
              </c:extLst>
            </c:dLbl>
            <c:dLbl>
              <c:idx val="10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2776-4065-B7F5-20E3FE05711F}"/>
                </c:ext>
              </c:extLst>
            </c:dLbl>
            <c:dLbl>
              <c:idx val="10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2776-4065-B7F5-20E3FE05711F}"/>
                </c:ext>
              </c:extLst>
            </c:dLbl>
            <c:dLbl>
              <c:idx val="10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53EE-44AC-A383-38BD6F68BEBB}"/>
                </c:ext>
              </c:extLst>
            </c:dLbl>
            <c:dLbl>
              <c:idx val="10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7035-4137-8DF3-95A77144CE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生川!$N$2:$N$105</c:f>
              <c:numCache>
                <c:formatCode>General</c:formatCode>
                <c:ptCount val="104"/>
              </c:numCache>
            </c:numRef>
          </c:xVal>
          <c:yVal>
            <c:numRef>
              <c:f>生川!$M$2:$M$105</c:f>
              <c:numCache>
                <c:formatCode>General</c:formatCode>
                <c:ptCount val="104"/>
              </c:numCache>
            </c:numRef>
          </c:yVal>
          <c:smooth val="0"/>
          <c:extLst>
            <c:ext xmlns:c15="http://schemas.microsoft.com/office/drawing/2012/chart" uri="{02D57815-91ED-43cb-92C2-25804820EDAC}">
              <c15:datalabelsRange>
                <c15:f>生川!$O$2:$O$105</c15:f>
                <c15:dlblRangeCache>
                  <c:ptCount val="104"/>
                </c15:dlblRangeCache>
              </c15:datalabelsRange>
            </c:ext>
            <c:ext xmlns:c16="http://schemas.microsoft.com/office/drawing/2014/chart" uri="{C3380CC4-5D6E-409C-BE32-E72D297353CC}">
              <c16:uniqueId val="{00000004-5866-40B4-BD83-B15F7457BD35}"/>
            </c:ext>
          </c:extLst>
        </c:ser>
        <c:ser>
          <c:idx val="17"/>
          <c:order val="17"/>
          <c:tx>
            <c:v>森然高校</c:v>
          </c:tx>
          <c:spPr>
            <a:ln w="25400" cap="rnd">
              <a:noFill/>
              <a:round/>
            </a:ln>
            <a:effectLst/>
          </c:spPr>
          <c:marker>
            <c:symbol val="diamond"/>
            <c:size val="10"/>
            <c:spPr>
              <a:solidFill>
                <a:srgbClr val="FFFF00"/>
              </a:solidFill>
              <a:ln w="15875">
                <a:solidFill>
                  <a:srgbClr val="00CC00"/>
                </a:solidFill>
              </a:ln>
              <a:effectLst/>
            </c:spPr>
          </c:marker>
          <c:dLbls>
            <c:dLbl>
              <c:idx val="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E0A-49B8-A432-C731C833D6C0}"/>
                </c:ext>
              </c:extLst>
            </c:dLbl>
            <c:dLbl>
              <c:idx val="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E0A-49B8-A432-C731C833D6C0}"/>
                </c:ext>
              </c:extLst>
            </c:dLbl>
            <c:dLbl>
              <c:idx val="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E0A-49B8-A432-C731C833D6C0}"/>
                </c:ext>
              </c:extLst>
            </c:dLbl>
            <c:dLbl>
              <c:idx val="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E0A-49B8-A432-C731C833D6C0}"/>
                </c:ext>
              </c:extLst>
            </c:dLbl>
            <c:dLbl>
              <c:idx val="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E0A-49B8-A432-C731C833D6C0}"/>
                </c:ext>
              </c:extLst>
            </c:dLbl>
            <c:dLbl>
              <c:idx val="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E0A-49B8-A432-C731C833D6C0}"/>
                </c:ext>
              </c:extLst>
            </c:dLbl>
            <c:dLbl>
              <c:idx val="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E0A-49B8-A432-C731C833D6C0}"/>
                </c:ext>
              </c:extLst>
            </c:dLbl>
            <c:dLbl>
              <c:idx val="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E0A-49B8-A432-C731C833D6C0}"/>
                </c:ext>
              </c:extLst>
            </c:dLbl>
            <c:dLbl>
              <c:idx val="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EE0A-49B8-A432-C731C833D6C0}"/>
                </c:ext>
              </c:extLst>
            </c:dLbl>
            <c:dLbl>
              <c:idx val="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E0A-49B8-A432-C731C833D6C0}"/>
                </c:ext>
              </c:extLst>
            </c:dLbl>
            <c:dLbl>
              <c:idx val="1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E0A-49B8-A432-C731C833D6C0}"/>
                </c:ext>
              </c:extLst>
            </c:dLbl>
            <c:dLbl>
              <c:idx val="1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EE0A-49B8-A432-C731C833D6C0}"/>
                </c:ext>
              </c:extLst>
            </c:dLbl>
            <c:dLbl>
              <c:idx val="1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EE0A-49B8-A432-C731C833D6C0}"/>
                </c:ext>
              </c:extLst>
            </c:dLbl>
            <c:dLbl>
              <c:idx val="1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EE0A-49B8-A432-C731C833D6C0}"/>
                </c:ext>
              </c:extLst>
            </c:dLbl>
            <c:dLbl>
              <c:idx val="1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EE0A-49B8-A432-C731C833D6C0}"/>
                </c:ext>
              </c:extLst>
            </c:dLbl>
            <c:dLbl>
              <c:idx val="1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EE0A-49B8-A432-C731C833D6C0}"/>
                </c:ext>
              </c:extLst>
            </c:dLbl>
            <c:dLbl>
              <c:idx val="1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3-241E-42D3-9C05-DE813800DB15}"/>
                </c:ext>
              </c:extLst>
            </c:dLbl>
            <c:dLbl>
              <c:idx val="1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4-241E-42D3-9C05-DE813800DB15}"/>
                </c:ext>
              </c:extLst>
            </c:dLbl>
            <c:dLbl>
              <c:idx val="1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5-241E-42D3-9C05-DE813800DB15}"/>
                </c:ext>
              </c:extLst>
            </c:dLbl>
            <c:dLbl>
              <c:idx val="1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6-241E-42D3-9C05-DE813800DB15}"/>
                </c:ext>
              </c:extLst>
            </c:dLbl>
            <c:dLbl>
              <c:idx val="2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7-241E-42D3-9C05-DE813800DB15}"/>
                </c:ext>
              </c:extLst>
            </c:dLbl>
            <c:dLbl>
              <c:idx val="2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8-241E-42D3-9C05-DE813800DB15}"/>
                </c:ext>
              </c:extLst>
            </c:dLbl>
            <c:dLbl>
              <c:idx val="2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9-241E-42D3-9C05-DE813800DB15}"/>
                </c:ext>
              </c:extLst>
            </c:dLbl>
            <c:dLbl>
              <c:idx val="2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A-241E-42D3-9C05-DE813800DB15}"/>
                </c:ext>
              </c:extLst>
            </c:dLbl>
            <c:dLbl>
              <c:idx val="2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B-241E-42D3-9C05-DE813800DB15}"/>
                </c:ext>
              </c:extLst>
            </c:dLbl>
            <c:dLbl>
              <c:idx val="2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C-241E-42D3-9C05-DE813800DB15}"/>
                </c:ext>
              </c:extLst>
            </c:dLbl>
            <c:dLbl>
              <c:idx val="2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D-241E-42D3-9C05-DE813800DB15}"/>
                </c:ext>
              </c:extLst>
            </c:dLbl>
            <c:dLbl>
              <c:idx val="2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E-241E-42D3-9C05-DE813800DB15}"/>
                </c:ext>
              </c:extLst>
            </c:dLbl>
            <c:dLbl>
              <c:idx val="2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BF-241E-42D3-9C05-DE813800DB15}"/>
                </c:ext>
              </c:extLst>
            </c:dLbl>
            <c:dLbl>
              <c:idx val="2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0-241E-42D3-9C05-DE813800DB15}"/>
                </c:ext>
              </c:extLst>
            </c:dLbl>
            <c:dLbl>
              <c:idx val="3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1-241E-42D3-9C05-DE813800DB15}"/>
                </c:ext>
              </c:extLst>
            </c:dLbl>
            <c:dLbl>
              <c:idx val="3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2-241E-42D3-9C05-DE813800DB15}"/>
                </c:ext>
              </c:extLst>
            </c:dLbl>
            <c:dLbl>
              <c:idx val="3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3-241E-42D3-9C05-DE813800DB15}"/>
                </c:ext>
              </c:extLst>
            </c:dLbl>
            <c:dLbl>
              <c:idx val="3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4-241E-42D3-9C05-DE813800DB15}"/>
                </c:ext>
              </c:extLst>
            </c:dLbl>
            <c:dLbl>
              <c:idx val="3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5-241E-42D3-9C05-DE813800DB15}"/>
                </c:ext>
              </c:extLst>
            </c:dLbl>
            <c:dLbl>
              <c:idx val="3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6-241E-42D3-9C05-DE813800DB15}"/>
                </c:ext>
              </c:extLst>
            </c:dLbl>
            <c:dLbl>
              <c:idx val="3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7-241E-42D3-9C05-DE813800DB15}"/>
                </c:ext>
              </c:extLst>
            </c:dLbl>
            <c:dLbl>
              <c:idx val="3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8-241E-42D3-9C05-DE813800DB15}"/>
                </c:ext>
              </c:extLst>
            </c:dLbl>
            <c:dLbl>
              <c:idx val="3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9-241E-42D3-9C05-DE813800DB15}"/>
                </c:ext>
              </c:extLst>
            </c:dLbl>
            <c:dLbl>
              <c:idx val="3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A-241E-42D3-9C05-DE813800DB15}"/>
                </c:ext>
              </c:extLst>
            </c:dLbl>
            <c:dLbl>
              <c:idx val="4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B-241E-42D3-9C05-DE813800DB15}"/>
                </c:ext>
              </c:extLst>
            </c:dLbl>
            <c:dLbl>
              <c:idx val="4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C-241E-42D3-9C05-DE813800DB15}"/>
                </c:ext>
              </c:extLst>
            </c:dLbl>
            <c:dLbl>
              <c:idx val="4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D-241E-42D3-9C05-DE813800DB15}"/>
                </c:ext>
              </c:extLst>
            </c:dLbl>
            <c:dLbl>
              <c:idx val="4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E-241E-42D3-9C05-DE813800DB15}"/>
                </c:ext>
              </c:extLst>
            </c:dLbl>
            <c:dLbl>
              <c:idx val="4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CF-241E-42D3-9C05-DE813800DB15}"/>
                </c:ext>
              </c:extLst>
            </c:dLbl>
            <c:dLbl>
              <c:idx val="4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0-241E-42D3-9C05-DE813800DB15}"/>
                </c:ext>
              </c:extLst>
            </c:dLbl>
            <c:dLbl>
              <c:idx val="4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1-241E-42D3-9C05-DE813800DB15}"/>
                </c:ext>
              </c:extLst>
            </c:dLbl>
            <c:dLbl>
              <c:idx val="4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2-241E-42D3-9C05-DE813800DB15}"/>
                </c:ext>
              </c:extLst>
            </c:dLbl>
            <c:dLbl>
              <c:idx val="4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3-241E-42D3-9C05-DE813800DB15}"/>
                </c:ext>
              </c:extLst>
            </c:dLbl>
            <c:dLbl>
              <c:idx val="4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4-241E-42D3-9C05-DE813800DB15}"/>
                </c:ext>
              </c:extLst>
            </c:dLbl>
            <c:dLbl>
              <c:idx val="5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5-241E-42D3-9C05-DE813800DB15}"/>
                </c:ext>
              </c:extLst>
            </c:dLbl>
            <c:dLbl>
              <c:idx val="5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6-241E-42D3-9C05-DE813800DB15}"/>
                </c:ext>
              </c:extLst>
            </c:dLbl>
            <c:dLbl>
              <c:idx val="5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7-241E-42D3-9C05-DE813800DB15}"/>
                </c:ext>
              </c:extLst>
            </c:dLbl>
            <c:dLbl>
              <c:idx val="5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8-241E-42D3-9C05-DE813800DB15}"/>
                </c:ext>
              </c:extLst>
            </c:dLbl>
            <c:dLbl>
              <c:idx val="5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9-241E-42D3-9C05-DE813800DB15}"/>
                </c:ext>
              </c:extLst>
            </c:dLbl>
            <c:dLbl>
              <c:idx val="5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A-241E-42D3-9C05-DE813800DB15}"/>
                </c:ext>
              </c:extLst>
            </c:dLbl>
            <c:dLbl>
              <c:idx val="5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B-241E-42D3-9C05-DE813800DB15}"/>
                </c:ext>
              </c:extLst>
            </c:dLbl>
            <c:dLbl>
              <c:idx val="5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C-241E-42D3-9C05-DE813800DB15}"/>
                </c:ext>
              </c:extLst>
            </c:dLbl>
            <c:dLbl>
              <c:idx val="5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D-241E-42D3-9C05-DE813800DB15}"/>
                </c:ext>
              </c:extLst>
            </c:dLbl>
            <c:dLbl>
              <c:idx val="5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E-241E-42D3-9C05-DE813800DB15}"/>
                </c:ext>
              </c:extLst>
            </c:dLbl>
            <c:dLbl>
              <c:idx val="6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DF-241E-42D3-9C05-DE813800DB15}"/>
                </c:ext>
              </c:extLst>
            </c:dLbl>
            <c:dLbl>
              <c:idx val="6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0-241E-42D3-9C05-DE813800DB15}"/>
                </c:ext>
              </c:extLst>
            </c:dLbl>
            <c:dLbl>
              <c:idx val="6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1-241E-42D3-9C05-DE813800DB15}"/>
                </c:ext>
              </c:extLst>
            </c:dLbl>
            <c:dLbl>
              <c:idx val="6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2-241E-42D3-9C05-DE813800DB15}"/>
                </c:ext>
              </c:extLst>
            </c:dLbl>
            <c:dLbl>
              <c:idx val="6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3-241E-42D3-9C05-DE813800DB15}"/>
                </c:ext>
              </c:extLst>
            </c:dLbl>
            <c:dLbl>
              <c:idx val="6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4-241E-42D3-9C05-DE813800DB15}"/>
                </c:ext>
              </c:extLst>
            </c:dLbl>
            <c:dLbl>
              <c:idx val="6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5-241E-42D3-9C05-DE813800DB15}"/>
                </c:ext>
              </c:extLst>
            </c:dLbl>
            <c:dLbl>
              <c:idx val="6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6-241E-42D3-9C05-DE813800DB15}"/>
                </c:ext>
              </c:extLst>
            </c:dLbl>
            <c:dLbl>
              <c:idx val="6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7-241E-42D3-9C05-DE813800DB15}"/>
                </c:ext>
              </c:extLst>
            </c:dLbl>
            <c:dLbl>
              <c:idx val="6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8-241E-42D3-9C05-DE813800DB15}"/>
                </c:ext>
              </c:extLst>
            </c:dLbl>
            <c:dLbl>
              <c:idx val="7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9-241E-42D3-9C05-DE813800DB15}"/>
                </c:ext>
              </c:extLst>
            </c:dLbl>
            <c:dLbl>
              <c:idx val="7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A-241E-42D3-9C05-DE813800DB15}"/>
                </c:ext>
              </c:extLst>
            </c:dLbl>
            <c:dLbl>
              <c:idx val="7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B-241E-42D3-9C05-DE813800DB15}"/>
                </c:ext>
              </c:extLst>
            </c:dLbl>
            <c:dLbl>
              <c:idx val="7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C-241E-42D3-9C05-DE813800DB15}"/>
                </c:ext>
              </c:extLst>
            </c:dLbl>
            <c:dLbl>
              <c:idx val="7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D-241E-42D3-9C05-DE813800DB15}"/>
                </c:ext>
              </c:extLst>
            </c:dLbl>
            <c:dLbl>
              <c:idx val="7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E-241E-42D3-9C05-DE813800DB15}"/>
                </c:ext>
              </c:extLst>
            </c:dLbl>
            <c:dLbl>
              <c:idx val="7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EF-241E-42D3-9C05-DE813800DB15}"/>
                </c:ext>
              </c:extLst>
            </c:dLbl>
            <c:dLbl>
              <c:idx val="7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0-241E-42D3-9C05-DE813800DB15}"/>
                </c:ext>
              </c:extLst>
            </c:dLbl>
            <c:dLbl>
              <c:idx val="7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1-241E-42D3-9C05-DE813800DB15}"/>
                </c:ext>
              </c:extLst>
            </c:dLbl>
            <c:dLbl>
              <c:idx val="7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2-241E-42D3-9C05-DE813800DB15}"/>
                </c:ext>
              </c:extLst>
            </c:dLbl>
            <c:dLbl>
              <c:idx val="8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3-241E-42D3-9C05-DE813800DB15}"/>
                </c:ext>
              </c:extLst>
            </c:dLbl>
            <c:dLbl>
              <c:idx val="8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4-241E-42D3-9C05-DE813800DB15}"/>
                </c:ext>
              </c:extLst>
            </c:dLbl>
            <c:dLbl>
              <c:idx val="8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5-241E-42D3-9C05-DE813800DB15}"/>
                </c:ext>
              </c:extLst>
            </c:dLbl>
            <c:dLbl>
              <c:idx val="8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6-241E-42D3-9C05-DE813800DB15}"/>
                </c:ext>
              </c:extLst>
            </c:dLbl>
            <c:dLbl>
              <c:idx val="8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7-241E-42D3-9C05-DE813800DB15}"/>
                </c:ext>
              </c:extLst>
            </c:dLbl>
            <c:dLbl>
              <c:idx val="8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8-241E-42D3-9C05-DE813800DB15}"/>
                </c:ext>
              </c:extLst>
            </c:dLbl>
            <c:dLbl>
              <c:idx val="8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9-241E-42D3-9C05-DE813800DB15}"/>
                </c:ext>
              </c:extLst>
            </c:dLbl>
            <c:dLbl>
              <c:idx val="8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A-241E-42D3-9C05-DE813800DB15}"/>
                </c:ext>
              </c:extLst>
            </c:dLbl>
            <c:dLbl>
              <c:idx val="8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B-241E-42D3-9C05-DE813800DB15}"/>
                </c:ext>
              </c:extLst>
            </c:dLbl>
            <c:dLbl>
              <c:idx val="8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C-241E-42D3-9C05-DE813800DB15}"/>
                </c:ext>
              </c:extLst>
            </c:dLbl>
            <c:dLbl>
              <c:idx val="9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D-241E-42D3-9C05-DE813800DB15}"/>
                </c:ext>
              </c:extLst>
            </c:dLbl>
            <c:dLbl>
              <c:idx val="9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E-241E-42D3-9C05-DE813800DB15}"/>
                </c:ext>
              </c:extLst>
            </c:dLbl>
            <c:dLbl>
              <c:idx val="9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FF-241E-42D3-9C05-DE813800DB15}"/>
                </c:ext>
              </c:extLst>
            </c:dLbl>
            <c:dLbl>
              <c:idx val="9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0-241E-42D3-9C05-DE813800DB15}"/>
                </c:ext>
              </c:extLst>
            </c:dLbl>
            <c:dLbl>
              <c:idx val="9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1-241E-42D3-9C05-DE813800DB15}"/>
                </c:ext>
              </c:extLst>
            </c:dLbl>
            <c:dLbl>
              <c:idx val="9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2-241E-42D3-9C05-DE813800DB15}"/>
                </c:ext>
              </c:extLst>
            </c:dLbl>
            <c:dLbl>
              <c:idx val="9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3-241E-42D3-9C05-DE813800DB15}"/>
                </c:ext>
              </c:extLst>
            </c:dLbl>
            <c:dLbl>
              <c:idx val="9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4-241E-42D3-9C05-DE813800DB15}"/>
                </c:ext>
              </c:extLst>
            </c:dLbl>
            <c:dLbl>
              <c:idx val="9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105-241E-42D3-9C05-DE813800DB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森然!$N$2:$N$100</c:f>
              <c:numCache>
                <c:formatCode>General</c:formatCode>
                <c:ptCount val="99"/>
              </c:numCache>
            </c:numRef>
          </c:xVal>
          <c:yVal>
            <c:numRef>
              <c:f>森然!$M$2:$M$100</c:f>
              <c:numCache>
                <c:formatCode>General</c:formatCode>
                <c:ptCount val="99"/>
              </c:numCache>
            </c:numRef>
          </c:yVal>
          <c:smooth val="0"/>
          <c:extLst>
            <c:ext xmlns:c15="http://schemas.microsoft.com/office/drawing/2012/chart" uri="{02D57815-91ED-43cb-92C2-25804820EDAC}">
              <c15:datalabelsRange>
                <c15:f>戸美!$F$2:$F$103</c15:f>
                <c15:dlblRangeCache>
                  <c:ptCount val="102"/>
                  <c:pt idx="0">
                    <c:v>大将優ICO</c:v>
                  </c:pt>
                  <c:pt idx="1">
                    <c:v>沼井和馬ICO</c:v>
                  </c:pt>
                  <c:pt idx="2">
                    <c:v>潜尚保ICO</c:v>
                  </c:pt>
                  <c:pt idx="3">
                    <c:v>高千穂恵也ICO</c:v>
                  </c:pt>
                  <c:pt idx="4">
                    <c:v>広尾倖児ICO</c:v>
                  </c:pt>
                  <c:pt idx="5">
                    <c:v>先島伊澄ICO</c:v>
                  </c:pt>
                  <c:pt idx="6">
                    <c:v>背黒晃彦ICO</c:v>
                  </c:pt>
                  <c:pt idx="7">
                    <c:v>赤間颯ICO</c:v>
                  </c:pt>
                  <c:pt idx="8">
                    <c:v>新年大将優ICO</c:v>
                  </c:pt>
                  <c:pt idx="9">
                    <c:v>バーガー潜尚保ICO</c:v>
                  </c:pt>
                  <c:pt idx="10">
                    <c:v>カンフー大将優ICO</c:v>
                  </c:pt>
                  <c:pt idx="11">
                    <c:v>カンフー広尾倖児ICO</c:v>
                  </c:pt>
                  <c:pt idx="12">
                    <c:v>妖大将優ICO</c:v>
                  </c:pt>
                  <c:pt idx="13">
                    <c:v>寝正月潜尚保ICO</c:v>
                  </c:pt>
                  <c:pt idx="14">
                    <c:v>梅雨2大将優ICO</c:v>
                  </c:pt>
                </c15:dlblRangeCache>
              </c15:datalabelsRange>
            </c:ext>
            <c:ext xmlns:c16="http://schemas.microsoft.com/office/drawing/2014/chart" uri="{C3380CC4-5D6E-409C-BE32-E72D297353CC}">
              <c16:uniqueId val="{00000003-EE0A-49B8-A432-C731C833D6C0}"/>
            </c:ext>
          </c:extLst>
        </c:ser>
        <c:ser>
          <c:idx val="18"/>
          <c:order val="18"/>
          <c:tx>
            <c:v>早流川工業高校</c:v>
          </c:tx>
          <c:spPr>
            <a:ln w="25400" cap="rnd">
              <a:noFill/>
              <a:round/>
            </a:ln>
            <a:effectLst/>
          </c:spPr>
          <c:marker>
            <c:symbol val="diamond"/>
            <c:size val="8"/>
            <c:spPr>
              <a:solidFill>
                <a:srgbClr val="0070C0"/>
              </a:solidFill>
              <a:ln w="19050">
                <a:solidFill>
                  <a:schemeClr val="accent6">
                    <a:lumMod val="50000"/>
                  </a:schemeClr>
                </a:solidFill>
              </a:ln>
              <a:effectLst/>
            </c:spPr>
          </c:marker>
          <c:dLbls>
            <c:dLbl>
              <c:idx val="0"/>
              <c:layout>
                <c:manualLayout>
                  <c:x val="-2.7203830512275454E-4"/>
                  <c:y val="-3.3215262155688592E-3"/>
                </c:manualLayout>
              </c:layout>
              <c:tx>
                <c:rich>
                  <a:bodyPr/>
                  <a:lstStyle/>
                  <a:p>
                    <a:fld id="{ECC8C9A5-5F35-4501-99F4-6B0A784C510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2F44-4635-BBFB-766D8E7F219E}"/>
                </c:ext>
              </c:extLst>
            </c:dLbl>
            <c:dLbl>
              <c:idx val="1"/>
              <c:tx>
                <c:rich>
                  <a:bodyPr/>
                  <a:lstStyle/>
                  <a:p>
                    <a:fld id="{0119BDE8-C5FC-4404-B6A1-383B5BCE8710}"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2F44-4635-BBFB-766D8E7F219E}"/>
                </c:ext>
              </c:extLst>
            </c:dLbl>
            <c:dLbl>
              <c:idx val="2"/>
              <c:tx>
                <c:rich>
                  <a:bodyPr/>
                  <a:lstStyle/>
                  <a:p>
                    <a:fld id="{319E28F3-E3AF-4871-A2AE-057715EBAE3E}"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2F44-4635-BBFB-766D8E7F219E}"/>
                </c:ext>
              </c:extLst>
            </c:dLbl>
            <c:dLbl>
              <c:idx val="3"/>
              <c:layout>
                <c:manualLayout>
                  <c:x val="-9.7737864681131555E-3"/>
                  <c:y val="-1.3560562538401086E-2"/>
                </c:manualLayout>
              </c:layout>
              <c:tx>
                <c:rich>
                  <a:bodyPr/>
                  <a:lstStyle/>
                  <a:p>
                    <a:fld id="{691EBAD9-EFB9-470B-BCCC-A93D5F9C549A}"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2F44-4635-BBFB-766D8E7F219E}"/>
                </c:ext>
              </c:extLst>
            </c:dLbl>
            <c:dLbl>
              <c:idx val="4"/>
              <c:layout>
                <c:manualLayout>
                  <c:x val="3.6893817473068998E-3"/>
                  <c:y val="-1.2553606750411436E-2"/>
                </c:manualLayout>
              </c:layout>
              <c:tx>
                <c:rich>
                  <a:bodyPr/>
                  <a:lstStyle/>
                  <a:p>
                    <a:fld id="{6C83EE25-97E1-409C-9412-F13BCB29F23C}"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2F44-4635-BBFB-766D8E7F219E}"/>
                </c:ext>
              </c:extLst>
            </c:dLbl>
            <c:dLbl>
              <c:idx val="5"/>
              <c:tx>
                <c:rich>
                  <a:bodyPr/>
                  <a:lstStyle/>
                  <a:p>
                    <a:fld id="{9CAFEA02-E80E-4ECE-BB8A-53CA4871F29E}" type="CELLRANGE">
                      <a:rPr lang="ja-JP" altLang="en-US"/>
                      <a:pPr/>
                      <a:t>[CELLRANGE]</a:t>
                    </a:fld>
                    <a:endParaRPr lang="ja-JP" alt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2F44-4635-BBFB-766D8E7F219E}"/>
                </c:ext>
              </c:extLst>
            </c:dLbl>
            <c:dLbl>
              <c:idx val="6"/>
              <c:layout>
                <c:manualLayout>
                  <c:x val="-2.8079937168485048E-2"/>
                  <c:y val="-4.6549847778195787E-3"/>
                </c:manualLayout>
              </c:layout>
              <c:tx>
                <c:rich>
                  <a:bodyPr/>
                  <a:lstStyle/>
                  <a:p>
                    <a:fld id="{7599BE55-2A2F-4898-AFCF-9983276A11F6}" type="CELLRANGE">
                      <a:rPr lang="en-US" altLang="ja-JP"/>
                      <a:pPr/>
                      <a:t>[CELLRANGE]</a:t>
                    </a:fld>
                    <a:endParaRPr lang="ja-JP" alt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2F44-4635-BBFB-766D8E7F219E}"/>
                </c:ext>
              </c:extLst>
            </c:dLbl>
            <c:dLbl>
              <c:idx val="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F44-4635-BBFB-766D8E7F219E}"/>
                </c:ext>
              </c:extLst>
            </c:dLbl>
            <c:dLbl>
              <c:idx val="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F44-4635-BBFB-766D8E7F219E}"/>
                </c:ext>
              </c:extLst>
            </c:dLbl>
            <c:dLbl>
              <c:idx val="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2F44-4635-BBFB-766D8E7F219E}"/>
                </c:ext>
              </c:extLst>
            </c:dLbl>
            <c:dLbl>
              <c:idx val="1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F44-4635-BBFB-766D8E7F219E}"/>
                </c:ext>
              </c:extLst>
            </c:dLbl>
            <c:dLbl>
              <c:idx val="1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F44-4635-BBFB-766D8E7F219E}"/>
                </c:ext>
              </c:extLst>
            </c:dLbl>
            <c:dLbl>
              <c:idx val="1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F44-4635-BBFB-766D8E7F219E}"/>
                </c:ext>
              </c:extLst>
            </c:dLbl>
            <c:dLbl>
              <c:idx val="1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2F44-4635-BBFB-766D8E7F219E}"/>
                </c:ext>
              </c:extLst>
            </c:dLbl>
            <c:dLbl>
              <c:idx val="1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2F44-4635-BBFB-766D8E7F219E}"/>
                </c:ext>
              </c:extLst>
            </c:dLbl>
            <c:dLbl>
              <c:idx val="1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2F44-4635-BBFB-766D8E7F219E}"/>
                </c:ext>
              </c:extLst>
            </c:dLbl>
            <c:dLbl>
              <c:idx val="1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2F44-4635-BBFB-766D8E7F219E}"/>
                </c:ext>
              </c:extLst>
            </c:dLbl>
            <c:dLbl>
              <c:idx val="1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2F44-4635-BBFB-766D8E7F219E}"/>
                </c:ext>
              </c:extLst>
            </c:dLbl>
            <c:dLbl>
              <c:idx val="1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2F44-4635-BBFB-766D8E7F219E}"/>
                </c:ext>
              </c:extLst>
            </c:dLbl>
            <c:dLbl>
              <c:idx val="1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2F44-4635-BBFB-766D8E7F219E}"/>
                </c:ext>
              </c:extLst>
            </c:dLbl>
            <c:dLbl>
              <c:idx val="2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2F44-4635-BBFB-766D8E7F219E}"/>
                </c:ext>
              </c:extLst>
            </c:dLbl>
            <c:dLbl>
              <c:idx val="2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2F44-4635-BBFB-766D8E7F219E}"/>
                </c:ext>
              </c:extLst>
            </c:dLbl>
            <c:dLbl>
              <c:idx val="2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2F44-4635-BBFB-766D8E7F219E}"/>
                </c:ext>
              </c:extLst>
            </c:dLbl>
            <c:dLbl>
              <c:idx val="2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2F44-4635-BBFB-766D8E7F219E}"/>
                </c:ext>
              </c:extLst>
            </c:dLbl>
            <c:dLbl>
              <c:idx val="2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2F44-4635-BBFB-766D8E7F219E}"/>
                </c:ext>
              </c:extLst>
            </c:dLbl>
            <c:dLbl>
              <c:idx val="2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2F44-4635-BBFB-766D8E7F219E}"/>
                </c:ext>
              </c:extLst>
            </c:dLbl>
            <c:dLbl>
              <c:idx val="2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2F44-4635-BBFB-766D8E7F219E}"/>
                </c:ext>
              </c:extLst>
            </c:dLbl>
            <c:dLbl>
              <c:idx val="2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2F44-4635-BBFB-766D8E7F219E}"/>
                </c:ext>
              </c:extLst>
            </c:dLbl>
            <c:dLbl>
              <c:idx val="2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2F44-4635-BBFB-766D8E7F219E}"/>
                </c:ext>
              </c:extLst>
            </c:dLbl>
            <c:dLbl>
              <c:idx val="2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2F44-4635-BBFB-766D8E7F219E}"/>
                </c:ext>
              </c:extLst>
            </c:dLbl>
            <c:dLbl>
              <c:idx val="3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2F44-4635-BBFB-766D8E7F219E}"/>
                </c:ext>
              </c:extLst>
            </c:dLbl>
            <c:dLbl>
              <c:idx val="3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2-2F44-4635-BBFB-766D8E7F219E}"/>
                </c:ext>
              </c:extLst>
            </c:dLbl>
            <c:dLbl>
              <c:idx val="3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3-2F44-4635-BBFB-766D8E7F219E}"/>
                </c:ext>
              </c:extLst>
            </c:dLbl>
            <c:dLbl>
              <c:idx val="3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4-2F44-4635-BBFB-766D8E7F219E}"/>
                </c:ext>
              </c:extLst>
            </c:dLbl>
            <c:dLbl>
              <c:idx val="3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5-2F44-4635-BBFB-766D8E7F219E}"/>
                </c:ext>
              </c:extLst>
            </c:dLbl>
            <c:dLbl>
              <c:idx val="3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6-2F44-4635-BBFB-766D8E7F219E}"/>
                </c:ext>
              </c:extLst>
            </c:dLbl>
            <c:dLbl>
              <c:idx val="3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7-2F44-4635-BBFB-766D8E7F219E}"/>
                </c:ext>
              </c:extLst>
            </c:dLbl>
            <c:dLbl>
              <c:idx val="3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8-2F44-4635-BBFB-766D8E7F219E}"/>
                </c:ext>
              </c:extLst>
            </c:dLbl>
            <c:dLbl>
              <c:idx val="3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9-2F44-4635-BBFB-766D8E7F219E}"/>
                </c:ext>
              </c:extLst>
            </c:dLbl>
            <c:dLbl>
              <c:idx val="3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A-2F44-4635-BBFB-766D8E7F219E}"/>
                </c:ext>
              </c:extLst>
            </c:dLbl>
            <c:dLbl>
              <c:idx val="4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B-2F44-4635-BBFB-766D8E7F219E}"/>
                </c:ext>
              </c:extLst>
            </c:dLbl>
            <c:dLbl>
              <c:idx val="4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C-2F44-4635-BBFB-766D8E7F219E}"/>
                </c:ext>
              </c:extLst>
            </c:dLbl>
            <c:dLbl>
              <c:idx val="4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D-2F44-4635-BBFB-766D8E7F219E}"/>
                </c:ext>
              </c:extLst>
            </c:dLbl>
            <c:dLbl>
              <c:idx val="4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E-2F44-4635-BBFB-766D8E7F219E}"/>
                </c:ext>
              </c:extLst>
            </c:dLbl>
            <c:dLbl>
              <c:idx val="4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F-2F44-4635-BBFB-766D8E7F219E}"/>
                </c:ext>
              </c:extLst>
            </c:dLbl>
            <c:dLbl>
              <c:idx val="4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0-2F44-4635-BBFB-766D8E7F219E}"/>
                </c:ext>
              </c:extLst>
            </c:dLbl>
            <c:dLbl>
              <c:idx val="4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1-2F44-4635-BBFB-766D8E7F219E}"/>
                </c:ext>
              </c:extLst>
            </c:dLbl>
            <c:dLbl>
              <c:idx val="4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2-2F44-4635-BBFB-766D8E7F219E}"/>
                </c:ext>
              </c:extLst>
            </c:dLbl>
            <c:dLbl>
              <c:idx val="4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3-2F44-4635-BBFB-766D8E7F219E}"/>
                </c:ext>
              </c:extLst>
            </c:dLbl>
            <c:dLbl>
              <c:idx val="4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4-2F44-4635-BBFB-766D8E7F219E}"/>
                </c:ext>
              </c:extLst>
            </c:dLbl>
            <c:dLbl>
              <c:idx val="5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5-2F44-4635-BBFB-766D8E7F219E}"/>
                </c:ext>
              </c:extLst>
            </c:dLbl>
            <c:dLbl>
              <c:idx val="5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6-2F44-4635-BBFB-766D8E7F219E}"/>
                </c:ext>
              </c:extLst>
            </c:dLbl>
            <c:dLbl>
              <c:idx val="5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7-2F44-4635-BBFB-766D8E7F219E}"/>
                </c:ext>
              </c:extLst>
            </c:dLbl>
            <c:dLbl>
              <c:idx val="5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8-2F44-4635-BBFB-766D8E7F219E}"/>
                </c:ext>
              </c:extLst>
            </c:dLbl>
            <c:dLbl>
              <c:idx val="5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9-2F44-4635-BBFB-766D8E7F219E}"/>
                </c:ext>
              </c:extLst>
            </c:dLbl>
            <c:dLbl>
              <c:idx val="5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A-2F44-4635-BBFB-766D8E7F219E}"/>
                </c:ext>
              </c:extLst>
            </c:dLbl>
            <c:dLbl>
              <c:idx val="5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B-2F44-4635-BBFB-766D8E7F219E}"/>
                </c:ext>
              </c:extLst>
            </c:dLbl>
            <c:dLbl>
              <c:idx val="5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C-2F44-4635-BBFB-766D8E7F219E}"/>
                </c:ext>
              </c:extLst>
            </c:dLbl>
            <c:dLbl>
              <c:idx val="5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D-2F44-4635-BBFB-766D8E7F219E}"/>
                </c:ext>
              </c:extLst>
            </c:dLbl>
            <c:dLbl>
              <c:idx val="5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E-2F44-4635-BBFB-766D8E7F219E}"/>
                </c:ext>
              </c:extLst>
            </c:dLbl>
            <c:dLbl>
              <c:idx val="6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3F-2F44-4635-BBFB-766D8E7F219E}"/>
                </c:ext>
              </c:extLst>
            </c:dLbl>
            <c:dLbl>
              <c:idx val="6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0-2F44-4635-BBFB-766D8E7F219E}"/>
                </c:ext>
              </c:extLst>
            </c:dLbl>
            <c:dLbl>
              <c:idx val="6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1-2F44-4635-BBFB-766D8E7F219E}"/>
                </c:ext>
              </c:extLst>
            </c:dLbl>
            <c:dLbl>
              <c:idx val="6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2-2F44-4635-BBFB-766D8E7F219E}"/>
                </c:ext>
              </c:extLst>
            </c:dLbl>
            <c:dLbl>
              <c:idx val="6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3-2F44-4635-BBFB-766D8E7F219E}"/>
                </c:ext>
              </c:extLst>
            </c:dLbl>
            <c:dLbl>
              <c:idx val="6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4-2F44-4635-BBFB-766D8E7F219E}"/>
                </c:ext>
              </c:extLst>
            </c:dLbl>
            <c:dLbl>
              <c:idx val="6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5-2F44-4635-BBFB-766D8E7F219E}"/>
                </c:ext>
              </c:extLst>
            </c:dLbl>
            <c:dLbl>
              <c:idx val="6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6-2F44-4635-BBFB-766D8E7F219E}"/>
                </c:ext>
              </c:extLst>
            </c:dLbl>
            <c:dLbl>
              <c:idx val="6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7-2F44-4635-BBFB-766D8E7F219E}"/>
                </c:ext>
              </c:extLst>
            </c:dLbl>
            <c:dLbl>
              <c:idx val="6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8-2F44-4635-BBFB-766D8E7F219E}"/>
                </c:ext>
              </c:extLst>
            </c:dLbl>
            <c:dLbl>
              <c:idx val="7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9-2F44-4635-BBFB-766D8E7F219E}"/>
                </c:ext>
              </c:extLst>
            </c:dLbl>
            <c:dLbl>
              <c:idx val="7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A-2F44-4635-BBFB-766D8E7F219E}"/>
                </c:ext>
              </c:extLst>
            </c:dLbl>
            <c:dLbl>
              <c:idx val="7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B-2F44-4635-BBFB-766D8E7F219E}"/>
                </c:ext>
              </c:extLst>
            </c:dLbl>
            <c:dLbl>
              <c:idx val="7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C-2F44-4635-BBFB-766D8E7F219E}"/>
                </c:ext>
              </c:extLst>
            </c:dLbl>
            <c:dLbl>
              <c:idx val="7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D-2F44-4635-BBFB-766D8E7F219E}"/>
                </c:ext>
              </c:extLst>
            </c:dLbl>
            <c:dLbl>
              <c:idx val="7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E-2F44-4635-BBFB-766D8E7F219E}"/>
                </c:ext>
              </c:extLst>
            </c:dLbl>
            <c:dLbl>
              <c:idx val="7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4F-2F44-4635-BBFB-766D8E7F219E}"/>
                </c:ext>
              </c:extLst>
            </c:dLbl>
            <c:dLbl>
              <c:idx val="7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0-2F44-4635-BBFB-766D8E7F219E}"/>
                </c:ext>
              </c:extLst>
            </c:dLbl>
            <c:dLbl>
              <c:idx val="7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1-2F44-4635-BBFB-766D8E7F219E}"/>
                </c:ext>
              </c:extLst>
            </c:dLbl>
            <c:dLbl>
              <c:idx val="7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2-2F44-4635-BBFB-766D8E7F219E}"/>
                </c:ext>
              </c:extLst>
            </c:dLbl>
            <c:dLbl>
              <c:idx val="8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3-2F44-4635-BBFB-766D8E7F219E}"/>
                </c:ext>
              </c:extLst>
            </c:dLbl>
            <c:dLbl>
              <c:idx val="8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4-2F44-4635-BBFB-766D8E7F219E}"/>
                </c:ext>
              </c:extLst>
            </c:dLbl>
            <c:dLbl>
              <c:idx val="8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5-2F44-4635-BBFB-766D8E7F219E}"/>
                </c:ext>
              </c:extLst>
            </c:dLbl>
            <c:dLbl>
              <c:idx val="8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6-2F44-4635-BBFB-766D8E7F219E}"/>
                </c:ext>
              </c:extLst>
            </c:dLbl>
            <c:dLbl>
              <c:idx val="8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7-2F44-4635-BBFB-766D8E7F219E}"/>
                </c:ext>
              </c:extLst>
            </c:dLbl>
            <c:dLbl>
              <c:idx val="8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8-2F44-4635-BBFB-766D8E7F219E}"/>
                </c:ext>
              </c:extLst>
            </c:dLbl>
            <c:dLbl>
              <c:idx val="8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9-2F44-4635-BBFB-766D8E7F219E}"/>
                </c:ext>
              </c:extLst>
            </c:dLbl>
            <c:dLbl>
              <c:idx val="8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A-2F44-4635-BBFB-766D8E7F219E}"/>
                </c:ext>
              </c:extLst>
            </c:dLbl>
            <c:dLbl>
              <c:idx val="8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B-2F44-4635-BBFB-766D8E7F219E}"/>
                </c:ext>
              </c:extLst>
            </c:dLbl>
            <c:dLbl>
              <c:idx val="8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C-2F44-4635-BBFB-766D8E7F219E}"/>
                </c:ext>
              </c:extLst>
            </c:dLbl>
            <c:dLbl>
              <c:idx val="9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D-2F44-4635-BBFB-766D8E7F219E}"/>
                </c:ext>
              </c:extLst>
            </c:dLbl>
            <c:dLbl>
              <c:idx val="9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E-2F44-4635-BBFB-766D8E7F219E}"/>
                </c:ext>
              </c:extLst>
            </c:dLbl>
            <c:dLbl>
              <c:idx val="9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5F-2F44-4635-BBFB-766D8E7F219E}"/>
                </c:ext>
              </c:extLst>
            </c:dLbl>
            <c:dLbl>
              <c:idx val="9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0-2F44-4635-BBFB-766D8E7F219E}"/>
                </c:ext>
              </c:extLst>
            </c:dLbl>
            <c:dLbl>
              <c:idx val="9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1-2F44-4635-BBFB-766D8E7F219E}"/>
                </c:ext>
              </c:extLst>
            </c:dLbl>
            <c:dLbl>
              <c:idx val="95"/>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2-2F44-4635-BBFB-766D8E7F219E}"/>
                </c:ext>
              </c:extLst>
            </c:dLbl>
            <c:dLbl>
              <c:idx val="96"/>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3-2F44-4635-BBFB-766D8E7F219E}"/>
                </c:ext>
              </c:extLst>
            </c:dLbl>
            <c:dLbl>
              <c:idx val="97"/>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4-2F44-4635-BBFB-766D8E7F219E}"/>
                </c:ext>
              </c:extLst>
            </c:dLbl>
            <c:dLbl>
              <c:idx val="98"/>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65-2F44-4635-BBFB-766D8E7F219E}"/>
                </c:ext>
              </c:extLst>
            </c:dLbl>
            <c:dLbl>
              <c:idx val="99"/>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9F15-4C7B-A0BE-ADAA7459AB0B}"/>
                </c:ext>
              </c:extLst>
            </c:dLbl>
            <c:dLbl>
              <c:idx val="100"/>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9F15-4C7B-A0BE-ADAA7459AB0B}"/>
                </c:ext>
              </c:extLst>
            </c:dLbl>
            <c:dLbl>
              <c:idx val="101"/>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9651-4D82-B840-BC372EAA2CD7}"/>
                </c:ext>
              </c:extLst>
            </c:dLbl>
            <c:dLbl>
              <c:idx val="102"/>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AC13-4F55-AB00-1ECC00F9688B}"/>
                </c:ext>
              </c:extLst>
            </c:dLbl>
            <c:dLbl>
              <c:idx val="103"/>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FEDF-489E-8BD0-A6510447C0C0}"/>
                </c:ext>
              </c:extLst>
            </c:dLbl>
            <c:dLbl>
              <c:idx val="104"/>
              <c:tx>
                <c:rich>
                  <a:bodyPr/>
                  <a:lstStyle/>
                  <a:p>
                    <a:endParaRPr lang="ja-JP" alt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99A9-42F9-BC61-9051A4E3010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早流川!$E$2:$E$106</c:f>
              <c:numCache>
                <c:formatCode>General</c:formatCode>
                <c:ptCount val="105"/>
                <c:pt idx="0">
                  <c:v>473</c:v>
                </c:pt>
                <c:pt idx="1">
                  <c:v>469</c:v>
                </c:pt>
                <c:pt idx="2">
                  <c:v>469</c:v>
                </c:pt>
                <c:pt idx="3">
                  <c:v>462</c:v>
                </c:pt>
                <c:pt idx="4">
                  <c:v>474</c:v>
                </c:pt>
                <c:pt idx="5">
                  <c:v>477</c:v>
                </c:pt>
                <c:pt idx="6">
                  <c:v>463</c:v>
                </c:pt>
              </c:numCache>
            </c:numRef>
          </c:xVal>
          <c:yVal>
            <c:numRef>
              <c:f>早流川!$D$2:$D$106</c:f>
              <c:numCache>
                <c:formatCode>General</c:formatCode>
                <c:ptCount val="105"/>
                <c:pt idx="0">
                  <c:v>482</c:v>
                </c:pt>
                <c:pt idx="1">
                  <c:v>465</c:v>
                </c:pt>
                <c:pt idx="2">
                  <c:v>471</c:v>
                </c:pt>
                <c:pt idx="3">
                  <c:v>462</c:v>
                </c:pt>
                <c:pt idx="4">
                  <c:v>464</c:v>
                </c:pt>
                <c:pt idx="5">
                  <c:v>469</c:v>
                </c:pt>
                <c:pt idx="6">
                  <c:v>470</c:v>
                </c:pt>
              </c:numCache>
            </c:numRef>
          </c:yVal>
          <c:smooth val="0"/>
          <c:extLst>
            <c:ext xmlns:c15="http://schemas.microsoft.com/office/drawing/2012/chart" uri="{02D57815-91ED-43cb-92C2-25804820EDAC}">
              <c15:datalabelsRange>
                <c15:f>早流川!$F$2:$F$106</c15:f>
                <c15:dlblRangeCache>
                  <c:ptCount val="105"/>
                  <c:pt idx="0">
                    <c:v>白峰周ICO</c:v>
                  </c:pt>
                  <c:pt idx="1">
                    <c:v>和倉久彦ICO</c:v>
                  </c:pt>
                  <c:pt idx="2">
                    <c:v>金沢伊織ICO</c:v>
                  </c:pt>
                  <c:pt idx="3">
                    <c:v>志賀智也ICO</c:v>
                  </c:pt>
                  <c:pt idx="4">
                    <c:v>輪島友和ICO</c:v>
                  </c:pt>
                  <c:pt idx="5">
                    <c:v>深谷謙朗ICO</c:v>
                  </c:pt>
                  <c:pt idx="6">
                    <c:v>山代総司ICO</c:v>
                  </c:pt>
                </c15:dlblRangeCache>
              </c15:datalabelsRange>
            </c:ext>
            <c:ext xmlns:c16="http://schemas.microsoft.com/office/drawing/2014/chart" uri="{C3380CC4-5D6E-409C-BE32-E72D297353CC}">
              <c16:uniqueId val="{00000002-2F44-4635-BBFB-766D8E7F219E}"/>
            </c:ext>
          </c:extLst>
        </c:ser>
        <c:dLbls>
          <c:dLblPos val="t"/>
          <c:showLegendKey val="0"/>
          <c:showVal val="1"/>
          <c:showCatName val="0"/>
          <c:showSerName val="0"/>
          <c:showPercent val="0"/>
          <c:showBubbleSize val="0"/>
        </c:dLbls>
        <c:axId val="312944639"/>
        <c:axId val="311604575"/>
      </c:scatterChart>
      <c:valAx>
        <c:axId val="312944639"/>
        <c:scaling>
          <c:orientation val="minMax"/>
          <c:max val="520"/>
        </c:scaling>
        <c:delete val="0"/>
        <c:axPos val="b"/>
        <c:majorGridlines>
          <c:spPr>
            <a:ln w="19050"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ja-JP" altLang="en-US"/>
                  <a:t>守備</a:t>
                </a:r>
                <a:endParaRPr lang="en-US" altLang="ja-JP"/>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lt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11604575"/>
        <c:crosses val="autoZero"/>
        <c:crossBetween val="midCat"/>
        <c:majorUnit val="5"/>
      </c:valAx>
      <c:valAx>
        <c:axId val="311604575"/>
        <c:scaling>
          <c:orientation val="minMax"/>
          <c:max val="540"/>
          <c:min val="450"/>
        </c:scaling>
        <c:delete val="0"/>
        <c:axPos val="l"/>
        <c:majorGridlines>
          <c:spPr>
            <a:ln w="19050"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r>
                  <a:rPr lang="ja-JP" altLang="en-US">
                    <a:ln>
                      <a:noFill/>
                    </a:ln>
                    <a:solidFill>
                      <a:schemeClr val="tx1"/>
                    </a:solidFill>
                  </a:rPr>
                  <a:t>攻撃</a:t>
                </a:r>
                <a:endParaRPr lang="en-US" altLang="ja-JP">
                  <a:ln>
                    <a:noFill/>
                  </a:l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ln>
                    <a:noFill/>
                  </a:ln>
                  <a:solidFill>
                    <a:schemeClr val="tx1"/>
                  </a:solidFill>
                  <a:latin typeface="+mn-lt"/>
                  <a:ea typeface="+mn-ea"/>
                  <a:cs typeface="+mn-cs"/>
                </a:defRPr>
              </a:pPr>
              <a:endParaRPr lang="en-US" altLang="ja-JP"/>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312944639"/>
        <c:crosses val="autoZero"/>
        <c:crossBetween val="midCat"/>
        <c:majorUnit val="5"/>
      </c:valAx>
      <c:spPr>
        <a:noFill/>
        <a:ln>
          <a:noFill/>
        </a:ln>
        <a:effectLst/>
      </c:spPr>
    </c:plotArea>
    <c:legend>
      <c:legendPos val="r"/>
      <c:layout>
        <c:manualLayout>
          <c:xMode val="edge"/>
          <c:yMode val="edge"/>
          <c:x val="4.8608303616297588E-2"/>
          <c:y val="0.42355203956175153"/>
          <c:w val="4.6210832846260638E-2"/>
          <c:h val="0.1428480209039962"/>
        </c:manualLayout>
      </c:layout>
      <c:overlay val="1"/>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pivotSource>
    <c:name>[ハイドリキャラ能力一覧Annex.xlsx]PivotStat!P_Stat</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学校別平均値比較</a:t>
            </a:r>
            <a:r>
              <a:rPr lang="en-US" altLang="ja-JP"/>
              <a:t>(Iconic</a:t>
            </a:r>
            <a:r>
              <a:rPr lang="ja-JP" altLang="en-US"/>
              <a:t>ユニフォーム</a:t>
            </a:r>
            <a:r>
              <a:rPr lang="en-US" altLang="ja-JP"/>
              <a:t>)</a:t>
            </a:r>
          </a:p>
        </c:rich>
      </c:tx>
      <c:layout>
        <c:manualLayout>
          <c:xMode val="edge"/>
          <c:yMode val="edge"/>
          <c:x val="0.39708084931832405"/>
          <c:y val="8.1368979709297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ivotFmts>
      <c:pivotFmt>
        <c:idx val="0"/>
        <c:spPr>
          <a:solidFill>
            <a:schemeClr val="tx2">
              <a:lumMod val="25000"/>
              <a:lumOff val="75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20000"/>
              <a:lumOff val="80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20000"/>
              <a:lumOff val="80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20000"/>
              <a:lumOff val="80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40000"/>
              <a:lumOff val="60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40000"/>
              <a:lumOff val="60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lumMod val="40000"/>
              <a:lumOff val="60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noFill/>
          <a:ln>
            <a:noFill/>
          </a:ln>
          <a:effectLst/>
        </c:spPr>
        <c:marker>
          <c:symbol val="none"/>
        </c:marker>
        <c:dLbl>
          <c:idx val="0"/>
          <c:numFmt formatCode="#,##0.00_);[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20000"/>
              <a:lumOff val="80000"/>
            </a:schemeClr>
          </a:solidFill>
          <a:ln>
            <a:noFill/>
          </a:ln>
          <a:effectLst/>
        </c:spPr>
        <c:marker>
          <c:symbol val="none"/>
        </c:marker>
        <c:dLbl>
          <c:idx val="0"/>
          <c:numFmt formatCode="_ * #,##0.000_ ;_ * \-#,##0.0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lumMod val="20000"/>
              <a:lumOff val="80000"/>
            </a:schemeClr>
          </a:solidFill>
          <a:ln>
            <a:noFill/>
          </a:ln>
          <a:effectLst/>
        </c:spPr>
        <c:marker>
          <c:symbol val="none"/>
        </c:marker>
        <c:dLbl>
          <c:idx val="0"/>
          <c:numFmt formatCode="#,##0.000_);[Red]\(#,##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3">
              <a:lumMod val="20000"/>
              <a:lumOff val="80000"/>
            </a:schemeClr>
          </a:solidFill>
          <a:ln>
            <a:noFill/>
          </a:ln>
          <a:effectLst/>
        </c:spPr>
        <c:marker>
          <c:symbol val="none"/>
        </c:marker>
        <c:dLbl>
          <c:idx val="0"/>
          <c:numFmt formatCode="#,##0.000_);[Red]\(#,##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1"/>
        <c:spPr>
          <a:noFill/>
          <a:ln>
            <a:noFill/>
          </a:ln>
          <a:effectLst/>
        </c:spPr>
        <c:marker>
          <c:symbol val="none"/>
        </c:marker>
        <c:dLbl>
          <c:idx val="0"/>
          <c:numFmt formatCode="#,##0.00_);[Red]\(#,##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lumMod val="20000"/>
              <a:lumOff val="80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2">
              <a:lumMod val="20000"/>
              <a:lumOff val="80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lumMod val="20000"/>
              <a:lumOff val="80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lumMod val="20000"/>
              <a:lumOff val="80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lumMod val="20000"/>
              <a:lumOff val="80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40000"/>
              <a:lumOff val="60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tx2">
              <a:lumMod val="25000"/>
              <a:lumOff val="75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lumMod val="40000"/>
              <a:lumOff val="60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lumMod val="40000"/>
              <a:lumOff val="60000"/>
            </a:schemeClr>
          </a:solidFill>
          <a:ln>
            <a:noFill/>
          </a:ln>
          <a:effectLst/>
        </c:spPr>
        <c:marker>
          <c:symbol val="none"/>
        </c:marker>
        <c:dLbl>
          <c:idx val="0"/>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2"/>
        <c:spPr>
          <a:noFill/>
          <a:ln>
            <a:noFill/>
          </a:ln>
          <a:effectLst/>
        </c:spPr>
        <c:marker>
          <c:symbol val="none"/>
        </c:marker>
        <c:dLbl>
          <c:idx val="0"/>
          <c:numFmt formatCode="_(* #,##0.00_);_(* \(#,##0.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40000"/>
              <a:lumOff val="60000"/>
            </a:schemeClr>
          </a:solidFill>
          <a:ln>
            <a:noFill/>
          </a:ln>
          <a:effectLst/>
        </c:spPr>
      </c:pivotFmt>
    </c:pivotFmts>
    <c:plotArea>
      <c:layout>
        <c:manualLayout>
          <c:layoutTarget val="inner"/>
          <c:xMode val="edge"/>
          <c:yMode val="edge"/>
          <c:x val="8.4095755636179298E-2"/>
          <c:y val="0.14445991932302737"/>
          <c:w val="0.87292060323445486"/>
          <c:h val="0.7257210866088537"/>
        </c:manualLayout>
      </c:layout>
      <c:barChart>
        <c:barDir val="bar"/>
        <c:grouping val="stacked"/>
        <c:varyColors val="0"/>
        <c:ser>
          <c:idx val="0"/>
          <c:order val="0"/>
          <c:tx>
            <c:strRef>
              <c:f>PivotStat!$C$47</c:f>
              <c:strCache>
                <c:ptCount val="1"/>
                <c:pt idx="0">
                  <c:v>平均 / スパイク</c:v>
                </c:pt>
              </c:strCache>
            </c:strRef>
          </c:tx>
          <c:spPr>
            <a:solidFill>
              <a:schemeClr val="accent1">
                <a:lumMod val="20000"/>
                <a:lumOff val="80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PivotStat!$C$48:$C$67</c:f>
              <c:numCache>
                <c:formatCode>General</c:formatCode>
                <c:ptCount val="19"/>
                <c:pt idx="0">
                  <c:v>127.5</c:v>
                </c:pt>
                <c:pt idx="1">
                  <c:v>122</c:v>
                </c:pt>
                <c:pt idx="2">
                  <c:v>121.25</c:v>
                </c:pt>
                <c:pt idx="3">
                  <c:v>120.57142857142857</c:v>
                </c:pt>
                <c:pt idx="4">
                  <c:v>122.44444444444444</c:v>
                </c:pt>
                <c:pt idx="5">
                  <c:v>118.14285714285714</c:v>
                </c:pt>
                <c:pt idx="6">
                  <c:v>118.57142857142857</c:v>
                </c:pt>
                <c:pt idx="7">
                  <c:v>119</c:v>
                </c:pt>
                <c:pt idx="8">
                  <c:v>120.5</c:v>
                </c:pt>
                <c:pt idx="9">
                  <c:v>117.75</c:v>
                </c:pt>
                <c:pt idx="10">
                  <c:v>117.14285714285714</c:v>
                </c:pt>
                <c:pt idx="11">
                  <c:v>116.57142857142857</c:v>
                </c:pt>
                <c:pt idx="12">
                  <c:v>120.22222222222223</c:v>
                </c:pt>
                <c:pt idx="13">
                  <c:v>118.1</c:v>
                </c:pt>
                <c:pt idx="14">
                  <c:v>117.42857142857143</c:v>
                </c:pt>
                <c:pt idx="15">
                  <c:v>117.85714285714286</c:v>
                </c:pt>
                <c:pt idx="16">
                  <c:v>117.625</c:v>
                </c:pt>
                <c:pt idx="17">
                  <c:v>117.28571428571429</c:v>
                </c:pt>
                <c:pt idx="18">
                  <c:v>117</c:v>
                </c:pt>
              </c:numCache>
            </c:numRef>
          </c:val>
          <c:extLst>
            <c:ext xmlns:c16="http://schemas.microsoft.com/office/drawing/2014/chart" uri="{C3380CC4-5D6E-409C-BE32-E72D297353CC}">
              <c16:uniqueId val="{00000000-1B15-48DF-BC4C-BD6C8D0D9014}"/>
            </c:ext>
          </c:extLst>
        </c:ser>
        <c:ser>
          <c:idx val="1"/>
          <c:order val="1"/>
          <c:tx>
            <c:strRef>
              <c:f>PivotStat!$D$47</c:f>
              <c:strCache>
                <c:ptCount val="1"/>
                <c:pt idx="0">
                  <c:v>平均 / サーブ</c:v>
                </c:pt>
              </c:strCache>
            </c:strRef>
          </c:tx>
          <c:spPr>
            <a:solidFill>
              <a:schemeClr val="accent2">
                <a:lumMod val="20000"/>
                <a:lumOff val="80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PivotStat!$D$48:$D$67</c:f>
              <c:numCache>
                <c:formatCode>General</c:formatCode>
                <c:ptCount val="19"/>
                <c:pt idx="0">
                  <c:v>123.5</c:v>
                </c:pt>
                <c:pt idx="1">
                  <c:v>118.5</c:v>
                </c:pt>
                <c:pt idx="2">
                  <c:v>120</c:v>
                </c:pt>
                <c:pt idx="3">
                  <c:v>118.85714285714286</c:v>
                </c:pt>
                <c:pt idx="4">
                  <c:v>119.44444444444444</c:v>
                </c:pt>
                <c:pt idx="5">
                  <c:v>116.28571428571429</c:v>
                </c:pt>
                <c:pt idx="6">
                  <c:v>116.28571428571429</c:v>
                </c:pt>
                <c:pt idx="7">
                  <c:v>115.875</c:v>
                </c:pt>
                <c:pt idx="8">
                  <c:v>116</c:v>
                </c:pt>
                <c:pt idx="9">
                  <c:v>117.16666666666667</c:v>
                </c:pt>
                <c:pt idx="10">
                  <c:v>116</c:v>
                </c:pt>
                <c:pt idx="11">
                  <c:v>117</c:v>
                </c:pt>
                <c:pt idx="12">
                  <c:v>117.77777777777777</c:v>
                </c:pt>
                <c:pt idx="13">
                  <c:v>115.9</c:v>
                </c:pt>
                <c:pt idx="14">
                  <c:v>116.42857142857143</c:v>
                </c:pt>
                <c:pt idx="15">
                  <c:v>116.14285714285714</c:v>
                </c:pt>
                <c:pt idx="16">
                  <c:v>115.75</c:v>
                </c:pt>
                <c:pt idx="17">
                  <c:v>115.85714285714286</c:v>
                </c:pt>
                <c:pt idx="18">
                  <c:v>114.28571428571429</c:v>
                </c:pt>
              </c:numCache>
            </c:numRef>
          </c:val>
          <c:extLst>
            <c:ext xmlns:c16="http://schemas.microsoft.com/office/drawing/2014/chart" uri="{C3380CC4-5D6E-409C-BE32-E72D297353CC}">
              <c16:uniqueId val="{00000001-1B15-48DF-BC4C-BD6C8D0D9014}"/>
            </c:ext>
          </c:extLst>
        </c:ser>
        <c:ser>
          <c:idx val="2"/>
          <c:order val="2"/>
          <c:tx>
            <c:strRef>
              <c:f>PivotStat!$E$47</c:f>
              <c:strCache>
                <c:ptCount val="1"/>
                <c:pt idx="0">
                  <c:v>平均 / セッティング</c:v>
                </c:pt>
              </c:strCache>
            </c:strRef>
          </c:tx>
          <c:spPr>
            <a:solidFill>
              <a:schemeClr val="accent3">
                <a:lumMod val="20000"/>
                <a:lumOff val="80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PivotStat!$E$48:$E$67</c:f>
              <c:numCache>
                <c:formatCode>General</c:formatCode>
                <c:ptCount val="19"/>
                <c:pt idx="0">
                  <c:v>113.5</c:v>
                </c:pt>
                <c:pt idx="1">
                  <c:v>116.5</c:v>
                </c:pt>
                <c:pt idx="2">
                  <c:v>117.25</c:v>
                </c:pt>
                <c:pt idx="3">
                  <c:v>116.14285714285714</c:v>
                </c:pt>
                <c:pt idx="4">
                  <c:v>115.66666666666667</c:v>
                </c:pt>
                <c:pt idx="5">
                  <c:v>115.28571428571429</c:v>
                </c:pt>
                <c:pt idx="6">
                  <c:v>114.42857142857143</c:v>
                </c:pt>
                <c:pt idx="7">
                  <c:v>115</c:v>
                </c:pt>
                <c:pt idx="8">
                  <c:v>114.3</c:v>
                </c:pt>
                <c:pt idx="9">
                  <c:v>116.08333333333333</c:v>
                </c:pt>
                <c:pt idx="10">
                  <c:v>114.14285714285714</c:v>
                </c:pt>
                <c:pt idx="11">
                  <c:v>115.57142857142857</c:v>
                </c:pt>
                <c:pt idx="12">
                  <c:v>116.77777777777777</c:v>
                </c:pt>
                <c:pt idx="13">
                  <c:v>115.8</c:v>
                </c:pt>
                <c:pt idx="14">
                  <c:v>114.57142857142857</c:v>
                </c:pt>
                <c:pt idx="15">
                  <c:v>116</c:v>
                </c:pt>
                <c:pt idx="16">
                  <c:v>115.375</c:v>
                </c:pt>
                <c:pt idx="17">
                  <c:v>114.71428571428571</c:v>
                </c:pt>
                <c:pt idx="18">
                  <c:v>114.42857142857143</c:v>
                </c:pt>
              </c:numCache>
            </c:numRef>
          </c:val>
          <c:extLst>
            <c:ext xmlns:c16="http://schemas.microsoft.com/office/drawing/2014/chart" uri="{C3380CC4-5D6E-409C-BE32-E72D297353CC}">
              <c16:uniqueId val="{00000002-1B15-48DF-BC4C-BD6C8D0D9014}"/>
            </c:ext>
          </c:extLst>
        </c:ser>
        <c:ser>
          <c:idx val="3"/>
          <c:order val="3"/>
          <c:tx>
            <c:strRef>
              <c:f>PivotStat!$F$47</c:f>
              <c:strCache>
                <c:ptCount val="1"/>
                <c:pt idx="0">
                  <c:v>平均 / 頭脳</c:v>
                </c:pt>
              </c:strCache>
            </c:strRef>
          </c:tx>
          <c:spPr>
            <a:solidFill>
              <a:schemeClr val="accent4">
                <a:lumMod val="20000"/>
                <a:lumOff val="80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PivotStat!$F$48:$F$67</c:f>
              <c:numCache>
                <c:formatCode>General</c:formatCode>
                <c:ptCount val="19"/>
                <c:pt idx="0">
                  <c:v>121</c:v>
                </c:pt>
                <c:pt idx="1">
                  <c:v>122.5</c:v>
                </c:pt>
                <c:pt idx="2">
                  <c:v>121.875</c:v>
                </c:pt>
                <c:pt idx="3">
                  <c:v>121</c:v>
                </c:pt>
                <c:pt idx="4">
                  <c:v>120</c:v>
                </c:pt>
                <c:pt idx="5">
                  <c:v>119.28571428571429</c:v>
                </c:pt>
                <c:pt idx="6">
                  <c:v>120.71428571428571</c:v>
                </c:pt>
                <c:pt idx="7">
                  <c:v>120.75</c:v>
                </c:pt>
                <c:pt idx="8">
                  <c:v>121.2</c:v>
                </c:pt>
                <c:pt idx="9">
                  <c:v>120.5</c:v>
                </c:pt>
                <c:pt idx="10">
                  <c:v>119.57142857142857</c:v>
                </c:pt>
                <c:pt idx="11">
                  <c:v>119.28571428571429</c:v>
                </c:pt>
                <c:pt idx="12">
                  <c:v>120.33333333333333</c:v>
                </c:pt>
                <c:pt idx="13">
                  <c:v>120.8</c:v>
                </c:pt>
                <c:pt idx="14">
                  <c:v>119.14285714285714</c:v>
                </c:pt>
                <c:pt idx="15">
                  <c:v>117.85714285714286</c:v>
                </c:pt>
                <c:pt idx="16">
                  <c:v>120.5</c:v>
                </c:pt>
                <c:pt idx="17">
                  <c:v>119.14285714285714</c:v>
                </c:pt>
                <c:pt idx="18">
                  <c:v>119.42857142857143</c:v>
                </c:pt>
              </c:numCache>
            </c:numRef>
          </c:val>
          <c:extLst>
            <c:ext xmlns:c16="http://schemas.microsoft.com/office/drawing/2014/chart" uri="{C3380CC4-5D6E-409C-BE32-E72D297353CC}">
              <c16:uniqueId val="{00000003-1B15-48DF-BC4C-BD6C8D0D9014}"/>
            </c:ext>
          </c:extLst>
        </c:ser>
        <c:ser>
          <c:idx val="4"/>
          <c:order val="4"/>
          <c:tx>
            <c:strRef>
              <c:f>PivotStat!$G$47</c:f>
              <c:strCache>
                <c:ptCount val="1"/>
                <c:pt idx="0">
                  <c:v>平均 / 幸運</c:v>
                </c:pt>
              </c:strCache>
            </c:strRef>
          </c:tx>
          <c:spPr>
            <a:solidFill>
              <a:schemeClr val="accent5">
                <a:lumMod val="20000"/>
                <a:lumOff val="80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PivotStat!$G$48:$G$67</c:f>
              <c:numCache>
                <c:formatCode>General</c:formatCode>
                <c:ptCount val="19"/>
                <c:pt idx="0">
                  <c:v>101</c:v>
                </c:pt>
                <c:pt idx="1">
                  <c:v>101</c:v>
                </c:pt>
                <c:pt idx="2">
                  <c:v>100</c:v>
                </c:pt>
                <c:pt idx="3">
                  <c:v>99.285714285714292</c:v>
                </c:pt>
                <c:pt idx="4">
                  <c:v>99.666666666666671</c:v>
                </c:pt>
                <c:pt idx="5">
                  <c:v>98.714285714285708</c:v>
                </c:pt>
                <c:pt idx="6">
                  <c:v>99.285714285714292</c:v>
                </c:pt>
                <c:pt idx="7">
                  <c:v>98.5</c:v>
                </c:pt>
                <c:pt idx="8">
                  <c:v>97.8</c:v>
                </c:pt>
                <c:pt idx="9">
                  <c:v>99.166666666666671</c:v>
                </c:pt>
                <c:pt idx="10">
                  <c:v>98.142857142857139</c:v>
                </c:pt>
                <c:pt idx="11">
                  <c:v>99.285714285714292</c:v>
                </c:pt>
                <c:pt idx="12">
                  <c:v>98.777777777777771</c:v>
                </c:pt>
                <c:pt idx="13">
                  <c:v>99</c:v>
                </c:pt>
                <c:pt idx="14">
                  <c:v>98.142857142857139</c:v>
                </c:pt>
                <c:pt idx="15">
                  <c:v>98.714285714285708</c:v>
                </c:pt>
                <c:pt idx="16">
                  <c:v>97.5</c:v>
                </c:pt>
                <c:pt idx="17">
                  <c:v>98.142857142857139</c:v>
                </c:pt>
                <c:pt idx="18">
                  <c:v>98.142857142857139</c:v>
                </c:pt>
              </c:numCache>
            </c:numRef>
          </c:val>
          <c:extLst>
            <c:ext xmlns:c16="http://schemas.microsoft.com/office/drawing/2014/chart" uri="{C3380CC4-5D6E-409C-BE32-E72D297353CC}">
              <c16:uniqueId val="{00000004-1B15-48DF-BC4C-BD6C8D0D9014}"/>
            </c:ext>
          </c:extLst>
        </c:ser>
        <c:ser>
          <c:idx val="5"/>
          <c:order val="5"/>
          <c:tx>
            <c:strRef>
              <c:f>PivotStat!$H$47</c:f>
              <c:strCache>
                <c:ptCount val="1"/>
                <c:pt idx="0">
                  <c:v>平均 / ブロック</c:v>
                </c:pt>
              </c:strCache>
            </c:strRef>
          </c:tx>
          <c:spPr>
            <a:solidFill>
              <a:schemeClr val="accent6">
                <a:lumMod val="40000"/>
                <a:lumOff val="60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PivotStat!$H$48:$H$67</c:f>
              <c:numCache>
                <c:formatCode>General</c:formatCode>
                <c:ptCount val="19"/>
                <c:pt idx="0">
                  <c:v>124.5</c:v>
                </c:pt>
                <c:pt idx="1">
                  <c:v>114</c:v>
                </c:pt>
                <c:pt idx="2">
                  <c:v>117.75</c:v>
                </c:pt>
                <c:pt idx="3">
                  <c:v>117.85714285714286</c:v>
                </c:pt>
                <c:pt idx="4">
                  <c:v>119</c:v>
                </c:pt>
                <c:pt idx="5">
                  <c:v>118</c:v>
                </c:pt>
                <c:pt idx="6">
                  <c:v>116.42857142857143</c:v>
                </c:pt>
                <c:pt idx="7">
                  <c:v>116.75</c:v>
                </c:pt>
                <c:pt idx="8">
                  <c:v>121.6</c:v>
                </c:pt>
                <c:pt idx="9">
                  <c:v>117.41666666666667</c:v>
                </c:pt>
                <c:pt idx="10">
                  <c:v>116.14285714285714</c:v>
                </c:pt>
                <c:pt idx="11">
                  <c:v>117</c:v>
                </c:pt>
                <c:pt idx="12">
                  <c:v>115.66666666666667</c:v>
                </c:pt>
                <c:pt idx="13">
                  <c:v>116.5</c:v>
                </c:pt>
                <c:pt idx="14">
                  <c:v>116.42857142857143</c:v>
                </c:pt>
                <c:pt idx="15">
                  <c:v>116.57142857142857</c:v>
                </c:pt>
                <c:pt idx="16">
                  <c:v>117</c:v>
                </c:pt>
                <c:pt idx="17">
                  <c:v>116.28571428571429</c:v>
                </c:pt>
                <c:pt idx="18">
                  <c:v>116</c:v>
                </c:pt>
              </c:numCache>
            </c:numRef>
          </c:val>
          <c:extLst>
            <c:ext xmlns:c16="http://schemas.microsoft.com/office/drawing/2014/chart" uri="{C3380CC4-5D6E-409C-BE32-E72D297353CC}">
              <c16:uniqueId val="{00000005-1B15-48DF-BC4C-BD6C8D0D9014}"/>
            </c:ext>
          </c:extLst>
        </c:ser>
        <c:ser>
          <c:idx val="6"/>
          <c:order val="6"/>
          <c:tx>
            <c:strRef>
              <c:f>PivotStat!$I$47</c:f>
              <c:strCache>
                <c:ptCount val="1"/>
                <c:pt idx="0">
                  <c:v>平均 / バネ</c:v>
                </c:pt>
              </c:strCache>
            </c:strRef>
          </c:tx>
          <c:spPr>
            <a:solidFill>
              <a:schemeClr val="tx2">
                <a:lumMod val="25000"/>
                <a:lumOff val="75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PivotStat!$I$48:$I$67</c:f>
              <c:numCache>
                <c:formatCode>General</c:formatCode>
                <c:ptCount val="19"/>
                <c:pt idx="0">
                  <c:v>120.5</c:v>
                </c:pt>
                <c:pt idx="1">
                  <c:v>117.5</c:v>
                </c:pt>
                <c:pt idx="2">
                  <c:v>118.5</c:v>
                </c:pt>
                <c:pt idx="3">
                  <c:v>118.85714285714286</c:v>
                </c:pt>
                <c:pt idx="4">
                  <c:v>117.88888888888889</c:v>
                </c:pt>
                <c:pt idx="5">
                  <c:v>117.71428571428571</c:v>
                </c:pt>
                <c:pt idx="6">
                  <c:v>117.28571428571429</c:v>
                </c:pt>
                <c:pt idx="7">
                  <c:v>118.625</c:v>
                </c:pt>
                <c:pt idx="8">
                  <c:v>116.3</c:v>
                </c:pt>
                <c:pt idx="9">
                  <c:v>116.08333333333333</c:v>
                </c:pt>
                <c:pt idx="10">
                  <c:v>117.42857142857143</c:v>
                </c:pt>
                <c:pt idx="11">
                  <c:v>117</c:v>
                </c:pt>
                <c:pt idx="12">
                  <c:v>115.88888888888889</c:v>
                </c:pt>
                <c:pt idx="13">
                  <c:v>115.5</c:v>
                </c:pt>
                <c:pt idx="14">
                  <c:v>117.42857142857143</c:v>
                </c:pt>
                <c:pt idx="15">
                  <c:v>116.71428571428571</c:v>
                </c:pt>
                <c:pt idx="16">
                  <c:v>116.375</c:v>
                </c:pt>
                <c:pt idx="17">
                  <c:v>117.14285714285714</c:v>
                </c:pt>
                <c:pt idx="18">
                  <c:v>116.14285714285714</c:v>
                </c:pt>
              </c:numCache>
            </c:numRef>
          </c:val>
          <c:extLst>
            <c:ext xmlns:c16="http://schemas.microsoft.com/office/drawing/2014/chart" uri="{C3380CC4-5D6E-409C-BE32-E72D297353CC}">
              <c16:uniqueId val="{00000006-1B15-48DF-BC4C-BD6C8D0D9014}"/>
            </c:ext>
          </c:extLst>
        </c:ser>
        <c:ser>
          <c:idx val="7"/>
          <c:order val="7"/>
          <c:tx>
            <c:strRef>
              <c:f>PivotStat!$J$47</c:f>
              <c:strCache>
                <c:ptCount val="1"/>
                <c:pt idx="0">
                  <c:v>平均 / レシーブ</c:v>
                </c:pt>
              </c:strCache>
            </c:strRef>
          </c:tx>
          <c:spPr>
            <a:solidFill>
              <a:schemeClr val="bg1">
                <a:lumMod val="75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PivotStat!$J$48:$J$67</c:f>
              <c:numCache>
                <c:formatCode>General</c:formatCode>
                <c:ptCount val="19"/>
                <c:pt idx="0">
                  <c:v>116.5</c:v>
                </c:pt>
                <c:pt idx="1">
                  <c:v>127</c:v>
                </c:pt>
                <c:pt idx="2">
                  <c:v>117.125</c:v>
                </c:pt>
                <c:pt idx="3">
                  <c:v>119.28571428571429</c:v>
                </c:pt>
                <c:pt idx="4">
                  <c:v>117.66666666666667</c:v>
                </c:pt>
                <c:pt idx="5">
                  <c:v>116.85714285714286</c:v>
                </c:pt>
                <c:pt idx="6">
                  <c:v>117.14285714285714</c:v>
                </c:pt>
                <c:pt idx="7">
                  <c:v>117.125</c:v>
                </c:pt>
                <c:pt idx="8">
                  <c:v>116.1</c:v>
                </c:pt>
                <c:pt idx="9">
                  <c:v>118</c:v>
                </c:pt>
                <c:pt idx="10">
                  <c:v>115.57142857142857</c:v>
                </c:pt>
                <c:pt idx="11">
                  <c:v>116.14285714285714</c:v>
                </c:pt>
                <c:pt idx="12">
                  <c:v>115.88888888888889</c:v>
                </c:pt>
                <c:pt idx="13">
                  <c:v>118.3</c:v>
                </c:pt>
                <c:pt idx="14">
                  <c:v>116.85714285714286</c:v>
                </c:pt>
                <c:pt idx="15">
                  <c:v>116.85714285714286</c:v>
                </c:pt>
                <c:pt idx="16">
                  <c:v>116.625</c:v>
                </c:pt>
                <c:pt idx="17">
                  <c:v>116</c:v>
                </c:pt>
                <c:pt idx="18">
                  <c:v>116.42857142857143</c:v>
                </c:pt>
              </c:numCache>
            </c:numRef>
          </c:val>
          <c:extLst>
            <c:ext xmlns:c16="http://schemas.microsoft.com/office/drawing/2014/chart" uri="{C3380CC4-5D6E-409C-BE32-E72D297353CC}">
              <c16:uniqueId val="{00000007-1B15-48DF-BC4C-BD6C8D0D9014}"/>
            </c:ext>
          </c:extLst>
        </c:ser>
        <c:ser>
          <c:idx val="8"/>
          <c:order val="8"/>
          <c:tx>
            <c:strRef>
              <c:f>PivotStat!$K$47</c:f>
              <c:strCache>
                <c:ptCount val="1"/>
                <c:pt idx="0">
                  <c:v>平均 / スピード</c:v>
                </c:pt>
              </c:strCache>
            </c:strRef>
          </c:tx>
          <c:spPr>
            <a:solidFill>
              <a:schemeClr val="accent3">
                <a:lumMod val="40000"/>
                <a:lumOff val="60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PivotStat!$K$48:$K$67</c:f>
              <c:numCache>
                <c:formatCode>General</c:formatCode>
                <c:ptCount val="19"/>
                <c:pt idx="0">
                  <c:v>119</c:v>
                </c:pt>
                <c:pt idx="1">
                  <c:v>120.5</c:v>
                </c:pt>
                <c:pt idx="2">
                  <c:v>119</c:v>
                </c:pt>
                <c:pt idx="3">
                  <c:v>118.71428571428571</c:v>
                </c:pt>
                <c:pt idx="4">
                  <c:v>118.22222222222223</c:v>
                </c:pt>
                <c:pt idx="5">
                  <c:v>117</c:v>
                </c:pt>
                <c:pt idx="6">
                  <c:v>117.57142857142857</c:v>
                </c:pt>
                <c:pt idx="7">
                  <c:v>117.125</c:v>
                </c:pt>
                <c:pt idx="8">
                  <c:v>117.6</c:v>
                </c:pt>
                <c:pt idx="9">
                  <c:v>117.33333333333333</c:v>
                </c:pt>
                <c:pt idx="10">
                  <c:v>118.14285714285714</c:v>
                </c:pt>
                <c:pt idx="11">
                  <c:v>116.85714285714286</c:v>
                </c:pt>
                <c:pt idx="12">
                  <c:v>117.22222222222223</c:v>
                </c:pt>
                <c:pt idx="13">
                  <c:v>116.5</c:v>
                </c:pt>
                <c:pt idx="14">
                  <c:v>118.14285714285714</c:v>
                </c:pt>
                <c:pt idx="15">
                  <c:v>116.71428571428571</c:v>
                </c:pt>
                <c:pt idx="16">
                  <c:v>116.75</c:v>
                </c:pt>
                <c:pt idx="17">
                  <c:v>117.28571428571429</c:v>
                </c:pt>
                <c:pt idx="18">
                  <c:v>116.57142857142857</c:v>
                </c:pt>
              </c:numCache>
            </c:numRef>
          </c:val>
          <c:extLst>
            <c:ext xmlns:c16="http://schemas.microsoft.com/office/drawing/2014/chart" uri="{C3380CC4-5D6E-409C-BE32-E72D297353CC}">
              <c16:uniqueId val="{00000008-1B15-48DF-BC4C-BD6C8D0D9014}"/>
            </c:ext>
          </c:extLst>
        </c:ser>
        <c:ser>
          <c:idx val="9"/>
          <c:order val="9"/>
          <c:tx>
            <c:strRef>
              <c:f>PivotStat!$L$47</c:f>
              <c:strCache>
                <c:ptCount val="1"/>
                <c:pt idx="0">
                  <c:v>平均 / メンタル</c:v>
                </c:pt>
              </c:strCache>
            </c:strRef>
          </c:tx>
          <c:spPr>
            <a:solidFill>
              <a:schemeClr val="accent4">
                <a:lumMod val="40000"/>
                <a:lumOff val="60000"/>
              </a:schemeClr>
            </a:solidFill>
            <a:ln>
              <a:noFill/>
            </a:ln>
            <a:effectLst/>
          </c:spPr>
          <c:invertIfNegative val="0"/>
          <c:dLbls>
            <c:numFmt formatCode="_ * #,##0.0_ ;_ * \-#,##0.0_ ;_ * &quot;-&quot;?_ ;_ @_ "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PivotStat!$L$48:$L$67</c:f>
              <c:numCache>
                <c:formatCode>General</c:formatCode>
                <c:ptCount val="19"/>
                <c:pt idx="0">
                  <c:v>38.5</c:v>
                </c:pt>
                <c:pt idx="1">
                  <c:v>38.5</c:v>
                </c:pt>
                <c:pt idx="2">
                  <c:v>35</c:v>
                </c:pt>
                <c:pt idx="3">
                  <c:v>36.714285714285715</c:v>
                </c:pt>
                <c:pt idx="4">
                  <c:v>34.333333333333336</c:v>
                </c:pt>
                <c:pt idx="5">
                  <c:v>38.857142857142854</c:v>
                </c:pt>
                <c:pt idx="6">
                  <c:v>36.714285714285715</c:v>
                </c:pt>
                <c:pt idx="7">
                  <c:v>35.375</c:v>
                </c:pt>
                <c:pt idx="8">
                  <c:v>32.299999999999997</c:v>
                </c:pt>
                <c:pt idx="9">
                  <c:v>34.083333333333336</c:v>
                </c:pt>
                <c:pt idx="10">
                  <c:v>41</c:v>
                </c:pt>
                <c:pt idx="11">
                  <c:v>37.428571428571431</c:v>
                </c:pt>
                <c:pt idx="12">
                  <c:v>33.333333333333336</c:v>
                </c:pt>
                <c:pt idx="13">
                  <c:v>34.9</c:v>
                </c:pt>
                <c:pt idx="14">
                  <c:v>36</c:v>
                </c:pt>
                <c:pt idx="15">
                  <c:v>36.714285714285715</c:v>
                </c:pt>
                <c:pt idx="16">
                  <c:v>34.125</c:v>
                </c:pt>
                <c:pt idx="17">
                  <c:v>34.571428571428569</c:v>
                </c:pt>
                <c:pt idx="18">
                  <c:v>33.857142857142854</c:v>
                </c:pt>
              </c:numCache>
            </c:numRef>
          </c:val>
          <c:extLst>
            <c:ext xmlns:c16="http://schemas.microsoft.com/office/drawing/2014/chart" uri="{C3380CC4-5D6E-409C-BE32-E72D297353CC}">
              <c16:uniqueId val="{00000009-1B15-48DF-BC4C-BD6C8D0D9014}"/>
            </c:ext>
          </c:extLst>
        </c:ser>
        <c:ser>
          <c:idx val="10"/>
          <c:order val="10"/>
          <c:tx>
            <c:strRef>
              <c:f>PivotStat!$M$47</c:f>
              <c:strCache>
                <c:ptCount val="1"/>
                <c:pt idx="0">
                  <c:v>平均 / 合計</c:v>
                </c:pt>
              </c:strCache>
            </c:strRef>
          </c:tx>
          <c:spPr>
            <a:noFill/>
            <a:ln>
              <a:noFill/>
            </a:ln>
            <a:effectLst/>
          </c:spPr>
          <c:invertIfNegative val="0"/>
          <c:dLbls>
            <c:numFmt formatCode="_(* #,##0.00_);_(* \(#,##0.00\);_(*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PivotStat!$B$48:$B$67</c:f>
              <c:strCache>
                <c:ptCount val="19"/>
                <c:pt idx="0">
                  <c:v>鴎台</c:v>
                </c:pt>
                <c:pt idx="1">
                  <c:v>井闥山</c:v>
                </c:pt>
                <c:pt idx="2">
                  <c:v>白鳥沢</c:v>
                </c:pt>
                <c:pt idx="3">
                  <c:v>梟谷</c:v>
                </c:pt>
                <c:pt idx="4">
                  <c:v>稲荷崎</c:v>
                </c:pt>
                <c:pt idx="5">
                  <c:v>早流川</c:v>
                </c:pt>
                <c:pt idx="6">
                  <c:v>椿原</c:v>
                </c:pt>
                <c:pt idx="7">
                  <c:v>戸美</c:v>
                </c:pt>
                <c:pt idx="8">
                  <c:v>伊達工</c:v>
                </c:pt>
                <c:pt idx="9">
                  <c:v>烏野</c:v>
                </c:pt>
                <c:pt idx="10">
                  <c:v>条善寺</c:v>
                </c:pt>
                <c:pt idx="11">
                  <c:v>生川</c:v>
                </c:pt>
                <c:pt idx="12">
                  <c:v>青城</c:v>
                </c:pt>
                <c:pt idx="13">
                  <c:v>音駒</c:v>
                </c:pt>
                <c:pt idx="14">
                  <c:v>和久南</c:v>
                </c:pt>
                <c:pt idx="15">
                  <c:v>森然</c:v>
                </c:pt>
                <c:pt idx="16">
                  <c:v>扇南</c:v>
                </c:pt>
                <c:pt idx="17">
                  <c:v>角川</c:v>
                </c:pt>
                <c:pt idx="18">
                  <c:v>常波</c:v>
                </c:pt>
              </c:strCache>
            </c:strRef>
          </c:cat>
          <c:val>
            <c:numRef>
              <c:f>PivotStat!$M$48:$M$67</c:f>
              <c:numCache>
                <c:formatCode>General</c:formatCode>
                <c:ptCount val="19"/>
                <c:pt idx="0">
                  <c:v>1105.5</c:v>
                </c:pt>
                <c:pt idx="1">
                  <c:v>1098</c:v>
                </c:pt>
                <c:pt idx="2">
                  <c:v>1087.75</c:v>
                </c:pt>
                <c:pt idx="3">
                  <c:v>1087.2857142857142</c:v>
                </c:pt>
                <c:pt idx="4">
                  <c:v>1084.3333333333333</c:v>
                </c:pt>
                <c:pt idx="5">
                  <c:v>1076.1428571428571</c:v>
                </c:pt>
                <c:pt idx="6">
                  <c:v>1074.4285714285713</c:v>
                </c:pt>
                <c:pt idx="7">
                  <c:v>1074.125</c:v>
                </c:pt>
                <c:pt idx="8">
                  <c:v>1073.7</c:v>
                </c:pt>
                <c:pt idx="9">
                  <c:v>1073.5833333333333</c:v>
                </c:pt>
                <c:pt idx="10">
                  <c:v>1073.2857142857142</c:v>
                </c:pt>
                <c:pt idx="11">
                  <c:v>1072.1428571428571</c:v>
                </c:pt>
                <c:pt idx="12">
                  <c:v>1071.8888888888889</c:v>
                </c:pt>
                <c:pt idx="13">
                  <c:v>1071.3</c:v>
                </c:pt>
                <c:pt idx="14">
                  <c:v>1070.5714285714287</c:v>
                </c:pt>
                <c:pt idx="15">
                  <c:v>1070.1428571428571</c:v>
                </c:pt>
                <c:pt idx="16">
                  <c:v>1067.625</c:v>
                </c:pt>
                <c:pt idx="17">
                  <c:v>1066.4285714285713</c:v>
                </c:pt>
                <c:pt idx="18">
                  <c:v>1062.2857142857142</c:v>
                </c:pt>
              </c:numCache>
            </c:numRef>
          </c:val>
          <c:extLst>
            <c:ext xmlns:c16="http://schemas.microsoft.com/office/drawing/2014/chart" uri="{C3380CC4-5D6E-409C-BE32-E72D297353CC}">
              <c16:uniqueId val="{0000000A-1B15-48DF-BC4C-BD6C8D0D9014}"/>
            </c:ext>
          </c:extLst>
        </c:ser>
        <c:dLbls>
          <c:showLegendKey val="0"/>
          <c:showVal val="0"/>
          <c:showCatName val="0"/>
          <c:showSerName val="0"/>
          <c:showPercent val="0"/>
          <c:showBubbleSize val="0"/>
        </c:dLbls>
        <c:gapWidth val="20"/>
        <c:overlap val="100"/>
        <c:serLines>
          <c:spPr>
            <a:ln w="9525" cap="flat" cmpd="sng" algn="ctr">
              <a:solidFill>
                <a:schemeClr val="tx1">
                  <a:lumMod val="35000"/>
                  <a:lumOff val="65000"/>
                </a:schemeClr>
              </a:solidFill>
              <a:round/>
            </a:ln>
            <a:effectLst/>
          </c:spPr>
        </c:serLines>
        <c:axId val="628936431"/>
        <c:axId val="1766553759"/>
      </c:barChart>
      <c:catAx>
        <c:axId val="628936431"/>
        <c:scaling>
          <c:orientation val="minMax"/>
        </c:scaling>
        <c:delete val="0"/>
        <c:axPos val="l"/>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66553759"/>
        <c:crosses val="autoZero"/>
        <c:auto val="1"/>
        <c:lblAlgn val="ctr"/>
        <c:lblOffset val="100"/>
        <c:noMultiLvlLbl val="0"/>
      </c:catAx>
      <c:valAx>
        <c:axId val="1766553759"/>
        <c:scaling>
          <c:orientation val="minMax"/>
          <c:max val="1140"/>
          <c:min val="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28936431"/>
        <c:crosses val="autoZero"/>
        <c:crossBetween val="between"/>
        <c:majorUnit val="100"/>
      </c:valAx>
      <c:spPr>
        <a:noFill/>
        <a:ln>
          <a:noFill/>
        </a:ln>
        <a:effectLst/>
      </c:spPr>
    </c:plotArea>
    <c:legend>
      <c:legendPos val="b"/>
      <c:layout>
        <c:manualLayout>
          <c:xMode val="edge"/>
          <c:yMode val="edge"/>
          <c:x val="3.8181307186215215E-2"/>
          <c:y val="0.94409107305543405"/>
          <c:w val="0.81114243825887866"/>
          <c:h val="4.315379337859629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学校別中央値比較</a:t>
            </a:r>
            <a:r>
              <a:rPr lang="en-US" altLang="ja-JP"/>
              <a:t>(Iconic</a:t>
            </a:r>
            <a:r>
              <a:rPr lang="ja-JP" altLang="en-US"/>
              <a:t>ユニフォーム</a:t>
            </a:r>
            <a:r>
              <a:rPr lang="en-US" altLang="ja-JP"/>
              <a:t>)</a:t>
            </a:r>
            <a:endParaRPr lang="ja-JP" altLang="en-US"/>
          </a:p>
        </c:rich>
      </c:tx>
      <c:layout>
        <c:manualLayout>
          <c:xMode val="edge"/>
          <c:yMode val="edge"/>
          <c:x val="0.39178491725967407"/>
          <c:y val="7.46838530568077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lt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A3BB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25000"/>
              <a:lumOff val="75000"/>
            </a:schemeClr>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5">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A3BB9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939323761000462E-2"/>
          <c:y val="0.13326520812629006"/>
          <c:w val="0.88329164736760846"/>
          <c:h val="0.74595835563030355"/>
        </c:manualLayout>
      </c:layout>
      <c:barChart>
        <c:barDir val="bar"/>
        <c:grouping val="stacked"/>
        <c:varyColors val="0"/>
        <c:ser>
          <c:idx val="0"/>
          <c:order val="0"/>
          <c:tx>
            <c:v>スパイク/中央値</c:v>
          </c:tx>
          <c:spPr>
            <a:solidFill>
              <a:schemeClr val="tx2">
                <a:lumMod val="25000"/>
                <a:lumOff val="75000"/>
              </a:schemeClr>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0.00</c:formatCode>
              <c:ptCount val="19"/>
              <c:pt idx="0">
                <c:v>127.5</c:v>
              </c:pt>
              <c:pt idx="1">
                <c:v>122</c:v>
              </c:pt>
              <c:pt idx="2">
                <c:v>123</c:v>
              </c:pt>
              <c:pt idx="3">
                <c:v>121</c:v>
              </c:pt>
              <c:pt idx="4">
                <c:v>122</c:v>
              </c:pt>
              <c:pt idx="5">
                <c:v>118</c:v>
              </c:pt>
              <c:pt idx="6">
                <c:v>118</c:v>
              </c:pt>
              <c:pt idx="7">
                <c:v>118</c:v>
              </c:pt>
              <c:pt idx="8">
                <c:v>119</c:v>
              </c:pt>
              <c:pt idx="9">
                <c:v>121</c:v>
              </c:pt>
              <c:pt idx="10">
                <c:v>119</c:v>
              </c:pt>
              <c:pt idx="11">
                <c:v>117</c:v>
              </c:pt>
              <c:pt idx="12">
                <c:v>117</c:v>
              </c:pt>
              <c:pt idx="13">
                <c:v>117.5</c:v>
              </c:pt>
              <c:pt idx="14">
                <c:v>117</c:v>
              </c:pt>
              <c:pt idx="15">
                <c:v>116.5</c:v>
              </c:pt>
              <c:pt idx="16">
                <c:v>118</c:v>
              </c:pt>
              <c:pt idx="17">
                <c:v>118</c:v>
              </c:pt>
              <c:pt idx="18">
                <c:v>117</c:v>
              </c:pt>
            </c:numLit>
          </c:val>
          <c:extLst>
            <c:ext xmlns:c16="http://schemas.microsoft.com/office/drawing/2014/chart" uri="{C3380CC4-5D6E-409C-BE32-E72D297353CC}">
              <c16:uniqueId val="{00000000-EFC1-426F-A809-0AAF3FE63B24}"/>
            </c:ext>
          </c:extLst>
        </c:ser>
        <c:ser>
          <c:idx val="1"/>
          <c:order val="1"/>
          <c:tx>
            <c:v>サーブ/中央値</c:v>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123.5</c:v>
              </c:pt>
              <c:pt idx="1">
                <c:v>118.5</c:v>
              </c:pt>
              <c:pt idx="2">
                <c:v>120</c:v>
              </c:pt>
              <c:pt idx="3">
                <c:v>119</c:v>
              </c:pt>
              <c:pt idx="4">
                <c:v>119</c:v>
              </c:pt>
              <c:pt idx="5">
                <c:v>117</c:v>
              </c:pt>
              <c:pt idx="6">
                <c:v>116</c:v>
              </c:pt>
              <c:pt idx="7">
                <c:v>116</c:v>
              </c:pt>
              <c:pt idx="8">
                <c:v>117</c:v>
              </c:pt>
              <c:pt idx="9">
                <c:v>117</c:v>
              </c:pt>
              <c:pt idx="10">
                <c:v>116</c:v>
              </c:pt>
              <c:pt idx="11">
                <c:v>118</c:v>
              </c:pt>
              <c:pt idx="12">
                <c:v>115</c:v>
              </c:pt>
              <c:pt idx="13">
                <c:v>116</c:v>
              </c:pt>
              <c:pt idx="14">
                <c:v>114.5</c:v>
              </c:pt>
              <c:pt idx="15">
                <c:v>116</c:v>
              </c:pt>
              <c:pt idx="16">
                <c:v>116</c:v>
              </c:pt>
              <c:pt idx="17">
                <c:v>116</c:v>
              </c:pt>
              <c:pt idx="18">
                <c:v>115</c:v>
              </c:pt>
            </c:numLit>
          </c:val>
          <c:extLst>
            <c:ext xmlns:c16="http://schemas.microsoft.com/office/drawing/2014/chart" uri="{C3380CC4-5D6E-409C-BE32-E72D297353CC}">
              <c16:uniqueId val="{00000001-EFC1-426F-A809-0AAF3FE63B24}"/>
            </c:ext>
          </c:extLst>
        </c:ser>
        <c:ser>
          <c:idx val="2"/>
          <c:order val="2"/>
          <c:tx>
            <c:v>セッティング/中央値</c:v>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113.5</c:v>
              </c:pt>
              <c:pt idx="1">
                <c:v>116.5</c:v>
              </c:pt>
              <c:pt idx="2">
                <c:v>116</c:v>
              </c:pt>
              <c:pt idx="3">
                <c:v>114</c:v>
              </c:pt>
              <c:pt idx="4">
                <c:v>114</c:v>
              </c:pt>
              <c:pt idx="5">
                <c:v>116</c:v>
              </c:pt>
              <c:pt idx="6">
                <c:v>113</c:v>
              </c:pt>
              <c:pt idx="7">
                <c:v>112</c:v>
              </c:pt>
              <c:pt idx="8">
                <c:v>114</c:v>
              </c:pt>
              <c:pt idx="9">
                <c:v>112</c:v>
              </c:pt>
              <c:pt idx="10">
                <c:v>113</c:v>
              </c:pt>
              <c:pt idx="11">
                <c:v>117</c:v>
              </c:pt>
              <c:pt idx="12">
                <c:v>113</c:v>
              </c:pt>
              <c:pt idx="13">
                <c:v>114</c:v>
              </c:pt>
              <c:pt idx="14">
                <c:v>114</c:v>
              </c:pt>
              <c:pt idx="15">
                <c:v>113</c:v>
              </c:pt>
              <c:pt idx="16">
                <c:v>114</c:v>
              </c:pt>
              <c:pt idx="17">
                <c:v>114</c:v>
              </c:pt>
              <c:pt idx="18">
                <c:v>114</c:v>
              </c:pt>
            </c:numLit>
          </c:val>
          <c:extLst>
            <c:ext xmlns:c16="http://schemas.microsoft.com/office/drawing/2014/chart" uri="{C3380CC4-5D6E-409C-BE32-E72D297353CC}">
              <c16:uniqueId val="{00000002-EFC1-426F-A809-0AAF3FE63B24}"/>
            </c:ext>
          </c:extLst>
        </c:ser>
        <c:ser>
          <c:idx val="3"/>
          <c:order val="3"/>
          <c:tx>
            <c:v>頭脳/中央値</c:v>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121</c:v>
              </c:pt>
              <c:pt idx="1">
                <c:v>122.5</c:v>
              </c:pt>
              <c:pt idx="2">
                <c:v>122</c:v>
              </c:pt>
              <c:pt idx="3">
                <c:v>121</c:v>
              </c:pt>
              <c:pt idx="4">
                <c:v>120</c:v>
              </c:pt>
              <c:pt idx="5">
                <c:v>119</c:v>
              </c:pt>
              <c:pt idx="6">
                <c:v>119</c:v>
              </c:pt>
              <c:pt idx="7">
                <c:v>119</c:v>
              </c:pt>
              <c:pt idx="8">
                <c:v>120.5</c:v>
              </c:pt>
              <c:pt idx="9">
                <c:v>121</c:v>
              </c:pt>
              <c:pt idx="10">
                <c:v>120</c:v>
              </c:pt>
              <c:pt idx="11">
                <c:v>118</c:v>
              </c:pt>
              <c:pt idx="12">
                <c:v>120</c:v>
              </c:pt>
              <c:pt idx="13">
                <c:v>120.5</c:v>
              </c:pt>
              <c:pt idx="14">
                <c:v>120.5</c:v>
              </c:pt>
              <c:pt idx="15">
                <c:v>121.5</c:v>
              </c:pt>
              <c:pt idx="16">
                <c:v>120</c:v>
              </c:pt>
              <c:pt idx="17">
                <c:v>119</c:v>
              </c:pt>
              <c:pt idx="18">
                <c:v>119</c:v>
              </c:pt>
            </c:numLit>
          </c:val>
          <c:extLst>
            <c:ext xmlns:c16="http://schemas.microsoft.com/office/drawing/2014/chart" uri="{C3380CC4-5D6E-409C-BE32-E72D297353CC}">
              <c16:uniqueId val="{00000003-EFC1-426F-A809-0AAF3FE63B24}"/>
            </c:ext>
          </c:extLst>
        </c:ser>
        <c:ser>
          <c:idx val="4"/>
          <c:order val="4"/>
          <c:tx>
            <c:v>幸運/中央値</c:v>
          </c:tx>
          <c:spPr>
            <a:solidFill>
              <a:schemeClr val="accent5">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101</c:v>
              </c:pt>
              <c:pt idx="1">
                <c:v>101</c:v>
              </c:pt>
              <c:pt idx="2">
                <c:v>101</c:v>
              </c:pt>
              <c:pt idx="3">
                <c:v>101</c:v>
              </c:pt>
              <c:pt idx="4">
                <c:v>101</c:v>
              </c:pt>
              <c:pt idx="5">
                <c:v>101</c:v>
              </c:pt>
              <c:pt idx="6">
                <c:v>99</c:v>
              </c:pt>
              <c:pt idx="7">
                <c:v>101</c:v>
              </c:pt>
              <c:pt idx="8">
                <c:v>97</c:v>
              </c:pt>
              <c:pt idx="9">
                <c:v>97</c:v>
              </c:pt>
              <c:pt idx="10">
                <c:v>97</c:v>
              </c:pt>
              <c:pt idx="11">
                <c:v>97</c:v>
              </c:pt>
              <c:pt idx="12">
                <c:v>97</c:v>
              </c:pt>
              <c:pt idx="13">
                <c:v>97</c:v>
              </c:pt>
              <c:pt idx="14">
                <c:v>99</c:v>
              </c:pt>
              <c:pt idx="15">
                <c:v>100</c:v>
              </c:pt>
              <c:pt idx="16">
                <c:v>97</c:v>
              </c:pt>
              <c:pt idx="17">
                <c:v>97</c:v>
              </c:pt>
              <c:pt idx="18">
                <c:v>97</c:v>
              </c:pt>
            </c:numLit>
          </c:val>
          <c:extLst>
            <c:ext xmlns:c16="http://schemas.microsoft.com/office/drawing/2014/chart" uri="{C3380CC4-5D6E-409C-BE32-E72D297353CC}">
              <c16:uniqueId val="{00000004-EFC1-426F-A809-0AAF3FE63B24}"/>
            </c:ext>
          </c:extLst>
        </c:ser>
        <c:ser>
          <c:idx val="5"/>
          <c:order val="5"/>
          <c:tx>
            <c:v>ブロック/中央値</c:v>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124.5</c:v>
              </c:pt>
              <c:pt idx="1">
                <c:v>114</c:v>
              </c:pt>
              <c:pt idx="2">
                <c:v>117.5</c:v>
              </c:pt>
              <c:pt idx="3">
                <c:v>118</c:v>
              </c:pt>
              <c:pt idx="4">
                <c:v>117</c:v>
              </c:pt>
              <c:pt idx="5">
                <c:v>119</c:v>
              </c:pt>
              <c:pt idx="6">
                <c:v>119</c:v>
              </c:pt>
              <c:pt idx="7">
                <c:v>117</c:v>
              </c:pt>
              <c:pt idx="8">
                <c:v>116.5</c:v>
              </c:pt>
              <c:pt idx="9">
                <c:v>122</c:v>
              </c:pt>
              <c:pt idx="10">
                <c:v>116</c:v>
              </c:pt>
              <c:pt idx="11">
                <c:v>116</c:v>
              </c:pt>
              <c:pt idx="12">
                <c:v>115</c:v>
              </c:pt>
              <c:pt idx="13">
                <c:v>117</c:v>
              </c:pt>
              <c:pt idx="14">
                <c:v>115</c:v>
              </c:pt>
              <c:pt idx="15">
                <c:v>116</c:v>
              </c:pt>
              <c:pt idx="16">
                <c:v>116</c:v>
              </c:pt>
              <c:pt idx="17">
                <c:v>115</c:v>
              </c:pt>
              <c:pt idx="18">
                <c:v>116</c:v>
              </c:pt>
            </c:numLit>
          </c:val>
          <c:extLst>
            <c:ext xmlns:c16="http://schemas.microsoft.com/office/drawing/2014/chart" uri="{C3380CC4-5D6E-409C-BE32-E72D297353CC}">
              <c16:uniqueId val="{00000005-EFC1-426F-A809-0AAF3FE63B24}"/>
            </c:ext>
          </c:extLst>
        </c:ser>
        <c:ser>
          <c:idx val="6"/>
          <c:order val="6"/>
          <c:tx>
            <c:v>バネ/中央値</c:v>
          </c:tx>
          <c:spPr>
            <a:solidFill>
              <a:srgbClr val="A3BB9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120.5</c:v>
              </c:pt>
              <c:pt idx="1">
                <c:v>117.5</c:v>
              </c:pt>
              <c:pt idx="2">
                <c:v>118</c:v>
              </c:pt>
              <c:pt idx="3">
                <c:v>119</c:v>
              </c:pt>
              <c:pt idx="4">
                <c:v>118</c:v>
              </c:pt>
              <c:pt idx="5">
                <c:v>118</c:v>
              </c:pt>
              <c:pt idx="6">
                <c:v>118</c:v>
              </c:pt>
              <c:pt idx="7">
                <c:v>118</c:v>
              </c:pt>
              <c:pt idx="8">
                <c:v>118.5</c:v>
              </c:pt>
              <c:pt idx="9">
                <c:v>116</c:v>
              </c:pt>
              <c:pt idx="10">
                <c:v>118</c:v>
              </c:pt>
              <c:pt idx="11">
                <c:v>116</c:v>
              </c:pt>
              <c:pt idx="12">
                <c:v>117</c:v>
              </c:pt>
              <c:pt idx="13">
                <c:v>116.5</c:v>
              </c:pt>
              <c:pt idx="14">
                <c:v>115.5</c:v>
              </c:pt>
              <c:pt idx="15">
                <c:v>115</c:v>
              </c:pt>
              <c:pt idx="16">
                <c:v>117</c:v>
              </c:pt>
              <c:pt idx="17">
                <c:v>116</c:v>
              </c:pt>
              <c:pt idx="18">
                <c:v>116</c:v>
              </c:pt>
            </c:numLit>
          </c:val>
          <c:extLst>
            <c:ext xmlns:c16="http://schemas.microsoft.com/office/drawing/2014/chart" uri="{C3380CC4-5D6E-409C-BE32-E72D297353CC}">
              <c16:uniqueId val="{00000006-EFC1-426F-A809-0AAF3FE63B24}"/>
            </c:ext>
          </c:extLst>
        </c:ser>
        <c:ser>
          <c:idx val="7"/>
          <c:order val="7"/>
          <c:tx>
            <c:v>レシーブ/中央値</c:v>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116.5</c:v>
              </c:pt>
              <c:pt idx="1">
                <c:v>127</c:v>
              </c:pt>
              <c:pt idx="2">
                <c:v>117</c:v>
              </c:pt>
              <c:pt idx="3">
                <c:v>121</c:v>
              </c:pt>
              <c:pt idx="4">
                <c:v>117</c:v>
              </c:pt>
              <c:pt idx="5">
                <c:v>115</c:v>
              </c:pt>
              <c:pt idx="6">
                <c:v>116</c:v>
              </c:pt>
              <c:pt idx="7">
                <c:v>117</c:v>
              </c:pt>
              <c:pt idx="8">
                <c:v>115.5</c:v>
              </c:pt>
              <c:pt idx="9">
                <c:v>115</c:v>
              </c:pt>
              <c:pt idx="10">
                <c:v>116</c:v>
              </c:pt>
              <c:pt idx="11">
                <c:v>117</c:v>
              </c:pt>
              <c:pt idx="12">
                <c:v>115</c:v>
              </c:pt>
              <c:pt idx="13">
                <c:v>116</c:v>
              </c:pt>
              <c:pt idx="14">
                <c:v>116.5</c:v>
              </c:pt>
              <c:pt idx="15">
                <c:v>116.5</c:v>
              </c:pt>
              <c:pt idx="16">
                <c:v>115</c:v>
              </c:pt>
              <c:pt idx="17">
                <c:v>115</c:v>
              </c:pt>
              <c:pt idx="18">
                <c:v>116</c:v>
              </c:pt>
            </c:numLit>
          </c:val>
          <c:extLst>
            <c:ext xmlns:c16="http://schemas.microsoft.com/office/drawing/2014/chart" uri="{C3380CC4-5D6E-409C-BE32-E72D297353CC}">
              <c16:uniqueId val="{00000007-EFC1-426F-A809-0AAF3FE63B24}"/>
            </c:ext>
          </c:extLst>
        </c:ser>
        <c:ser>
          <c:idx val="8"/>
          <c:order val="8"/>
          <c:tx>
            <c:v>スピード/中央値</c:v>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119</c:v>
              </c:pt>
              <c:pt idx="1">
                <c:v>120.5</c:v>
              </c:pt>
              <c:pt idx="2">
                <c:v>119</c:v>
              </c:pt>
              <c:pt idx="3">
                <c:v>119</c:v>
              </c:pt>
              <c:pt idx="4">
                <c:v>118</c:v>
              </c:pt>
              <c:pt idx="5">
                <c:v>117</c:v>
              </c:pt>
              <c:pt idx="6">
                <c:v>116</c:v>
              </c:pt>
              <c:pt idx="7">
                <c:v>117</c:v>
              </c:pt>
              <c:pt idx="8">
                <c:v>117</c:v>
              </c:pt>
              <c:pt idx="9">
                <c:v>118.5</c:v>
              </c:pt>
              <c:pt idx="10">
                <c:v>118</c:v>
              </c:pt>
              <c:pt idx="11">
                <c:v>117</c:v>
              </c:pt>
              <c:pt idx="12">
                <c:v>117</c:v>
              </c:pt>
              <c:pt idx="13">
                <c:v>116</c:v>
              </c:pt>
              <c:pt idx="14">
                <c:v>115</c:v>
              </c:pt>
              <c:pt idx="15">
                <c:v>115</c:v>
              </c:pt>
              <c:pt idx="16">
                <c:v>116</c:v>
              </c:pt>
              <c:pt idx="17">
                <c:v>116</c:v>
              </c:pt>
              <c:pt idx="18">
                <c:v>116</c:v>
              </c:pt>
            </c:numLit>
          </c:val>
          <c:extLst>
            <c:ext xmlns:c16="http://schemas.microsoft.com/office/drawing/2014/chart" uri="{C3380CC4-5D6E-409C-BE32-E72D297353CC}">
              <c16:uniqueId val="{00000008-EFC1-426F-A809-0AAF3FE63B24}"/>
            </c:ext>
          </c:extLst>
        </c:ser>
        <c:ser>
          <c:idx val="9"/>
          <c:order val="9"/>
          <c:tx>
            <c:v>メンタル/中央値</c:v>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38.5</c:v>
              </c:pt>
              <c:pt idx="1">
                <c:v>38.5</c:v>
              </c:pt>
              <c:pt idx="2">
                <c:v>36</c:v>
              </c:pt>
              <c:pt idx="3">
                <c:v>36</c:v>
              </c:pt>
              <c:pt idx="4">
                <c:v>36</c:v>
              </c:pt>
              <c:pt idx="5">
                <c:v>41</c:v>
              </c:pt>
              <c:pt idx="6">
                <c:v>41</c:v>
              </c:pt>
              <c:pt idx="7">
                <c:v>36</c:v>
              </c:pt>
              <c:pt idx="8">
                <c:v>36</c:v>
              </c:pt>
              <c:pt idx="9">
                <c:v>31</c:v>
              </c:pt>
              <c:pt idx="10">
                <c:v>36</c:v>
              </c:pt>
              <c:pt idx="11">
                <c:v>36</c:v>
              </c:pt>
              <c:pt idx="12">
                <c:v>41</c:v>
              </c:pt>
              <c:pt idx="13">
                <c:v>31</c:v>
              </c:pt>
              <c:pt idx="14">
                <c:v>34.5</c:v>
              </c:pt>
              <c:pt idx="15">
                <c:v>31</c:v>
              </c:pt>
              <c:pt idx="16">
                <c:v>31</c:v>
              </c:pt>
              <c:pt idx="17">
                <c:v>31</c:v>
              </c:pt>
              <c:pt idx="18">
                <c:v>31</c:v>
              </c:pt>
            </c:numLit>
          </c:val>
          <c:extLst>
            <c:ext xmlns:c16="http://schemas.microsoft.com/office/drawing/2014/chart" uri="{C3380CC4-5D6E-409C-BE32-E72D297353CC}">
              <c16:uniqueId val="{00000009-EFC1-426F-A809-0AAF3FE63B24}"/>
            </c:ext>
          </c:extLst>
        </c:ser>
        <c:ser>
          <c:idx val="10"/>
          <c:order val="10"/>
          <c:tx>
            <c:v>合計/中央値</c:v>
          </c:tx>
          <c:spPr>
            <a:no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ja-JP"/>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9"/>
              <c:pt idx="0">
                <c:v>鴎台</c:v>
              </c:pt>
              <c:pt idx="1">
                <c:v>井闥山</c:v>
              </c:pt>
              <c:pt idx="2">
                <c:v>白鳥沢</c:v>
              </c:pt>
              <c:pt idx="3">
                <c:v>梟谷</c:v>
              </c:pt>
              <c:pt idx="4">
                <c:v>稲荷崎</c:v>
              </c:pt>
              <c:pt idx="5">
                <c:v>生川</c:v>
              </c:pt>
              <c:pt idx="6">
                <c:v>早流川</c:v>
              </c:pt>
              <c:pt idx="7">
                <c:v>椿原</c:v>
              </c:pt>
              <c:pt idx="8">
                <c:v>戸美</c:v>
              </c:pt>
              <c:pt idx="9">
                <c:v>伊達工</c:v>
              </c:pt>
              <c:pt idx="10">
                <c:v>和久南</c:v>
              </c:pt>
              <c:pt idx="11">
                <c:v>森然</c:v>
              </c:pt>
              <c:pt idx="12">
                <c:v>条善寺</c:v>
              </c:pt>
              <c:pt idx="13">
                <c:v>扇南</c:v>
              </c:pt>
              <c:pt idx="14">
                <c:v>音駒</c:v>
              </c:pt>
              <c:pt idx="15">
                <c:v>烏野</c:v>
              </c:pt>
              <c:pt idx="16">
                <c:v>角川</c:v>
              </c:pt>
              <c:pt idx="17">
                <c:v>青城</c:v>
              </c:pt>
              <c:pt idx="18">
                <c:v>常波</c:v>
              </c:pt>
            </c:strLit>
          </c:cat>
          <c:val>
            <c:numLit>
              <c:formatCode>General</c:formatCode>
              <c:ptCount val="19"/>
              <c:pt idx="0">
                <c:v>1105.5</c:v>
              </c:pt>
              <c:pt idx="1">
                <c:v>1098</c:v>
              </c:pt>
              <c:pt idx="2">
                <c:v>1089.5</c:v>
              </c:pt>
              <c:pt idx="3">
                <c:v>1089</c:v>
              </c:pt>
              <c:pt idx="4">
                <c:v>1082</c:v>
              </c:pt>
              <c:pt idx="5">
                <c:v>1081</c:v>
              </c:pt>
              <c:pt idx="6">
                <c:v>1075</c:v>
              </c:pt>
              <c:pt idx="7">
                <c:v>1071</c:v>
              </c:pt>
              <c:pt idx="8">
                <c:v>1071</c:v>
              </c:pt>
              <c:pt idx="9">
                <c:v>1070.5</c:v>
              </c:pt>
              <c:pt idx="10">
                <c:v>1069</c:v>
              </c:pt>
              <c:pt idx="11">
                <c:v>1069</c:v>
              </c:pt>
              <c:pt idx="12">
                <c:v>1067</c:v>
              </c:pt>
              <c:pt idx="13">
                <c:v>1061.5</c:v>
              </c:pt>
              <c:pt idx="14">
                <c:v>1061.5</c:v>
              </c:pt>
              <c:pt idx="15">
                <c:v>1060.5</c:v>
              </c:pt>
              <c:pt idx="16">
                <c:v>1060</c:v>
              </c:pt>
              <c:pt idx="17">
                <c:v>1057</c:v>
              </c:pt>
              <c:pt idx="18">
                <c:v>1057</c:v>
              </c:pt>
            </c:numLit>
          </c:val>
          <c:extLst>
            <c:ext xmlns:c16="http://schemas.microsoft.com/office/drawing/2014/chart" uri="{C3380CC4-5D6E-409C-BE32-E72D297353CC}">
              <c16:uniqueId val="{0000000A-EFC1-426F-A809-0AAF3FE63B24}"/>
            </c:ext>
          </c:extLst>
        </c:ser>
        <c:dLbls>
          <c:dLblPos val="inEnd"/>
          <c:showLegendKey val="0"/>
          <c:showVal val="1"/>
          <c:showCatName val="0"/>
          <c:showSerName val="0"/>
          <c:showPercent val="0"/>
          <c:showBubbleSize val="0"/>
        </c:dLbls>
        <c:gapWidth val="20"/>
        <c:overlap val="100"/>
        <c:axId val="1374618895"/>
        <c:axId val="1374597775"/>
      </c:barChart>
      <c:catAx>
        <c:axId val="1374618895"/>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74597775"/>
        <c:crosses val="autoZero"/>
        <c:auto val="1"/>
        <c:lblAlgn val="ctr"/>
        <c:lblOffset val="100"/>
        <c:noMultiLvlLbl val="0"/>
        <c:extLst>
          <c:ext xmlns:c15="http://schemas.microsoft.com/office/drawing/2012/chart" uri="{F40574EE-89B7-4290-83BB-5DA773EAF853}">
            <c15:numFmt c:formatCode="General" c:sourceLinked="1"/>
          </c:ext>
        </c:extLst>
      </c:catAx>
      <c:valAx>
        <c:axId val="1374597775"/>
        <c:scaling>
          <c:orientation val="minMax"/>
          <c:max val="1150"/>
          <c:min val="0"/>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74618895"/>
        <c:crosses val="autoZero"/>
        <c:crossBetween val="between"/>
        <c:majorUnit val="100"/>
        <c:extLst>
          <c:ext xmlns:c15="http://schemas.microsoft.com/office/drawing/2012/chart" uri="{F40574EE-89B7-4290-83BB-5DA773EAF853}">
            <c15:numFmt c:formatCode="0.00" c:sourceLinked="1"/>
          </c:ext>
        </c:extLst>
      </c:valAx>
      <c:spPr>
        <a:noFill/>
        <a:ln>
          <a:noFill/>
        </a:ln>
        <a:effectLst/>
      </c:spPr>
    </c:plotArea>
    <c:legend>
      <c:legendPos val="b"/>
      <c:layout>
        <c:manualLayout>
          <c:xMode val="edge"/>
          <c:yMode val="edge"/>
          <c:x val="9.9996210366752297E-2"/>
          <c:y val="0.92439487615625715"/>
          <c:w val="0.81404501242157568"/>
          <c:h val="4.68222039599419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extLst>
    <c:ext xmlns:c15="http://schemas.microsoft.com/office/drawing/2012/chart" uri="{723BEF56-08C2-4564-9609-F4CBC75E7E54}">
      <c15:pivotSource>
        <c15:name>[ハイドリキャラ能力一覧Annex.xlsx]PivotChartTable1</c15:name>
        <c15:fmtId val="26"/>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烏野</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9.6513017615139265E-2"/>
          <c:y val="0.17052591054899854"/>
          <c:w val="0.43655230471427997"/>
          <c:h val="0.77411361408193247"/>
        </c:manualLayout>
      </c:layout>
      <c:radarChart>
        <c:radarStyle val="marker"/>
        <c:varyColors val="0"/>
        <c:ser>
          <c:idx val="0"/>
          <c:order val="0"/>
          <c:tx>
            <c:strRef>
              <c:f>烏野!$F$2</c:f>
              <c:strCache>
                <c:ptCount val="1"/>
                <c:pt idx="0">
                  <c:v>日向翔陽ICO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烏野!$G$2:$K$2</c:f>
              <c:numCache>
                <c:formatCode>General</c:formatCode>
                <c:ptCount val="5"/>
                <c:pt idx="0">
                  <c:v>94.481447500000002</c:v>
                </c:pt>
                <c:pt idx="1">
                  <c:v>91.480129469999994</c:v>
                </c:pt>
                <c:pt idx="2">
                  <c:v>96.627551249999996</c:v>
                </c:pt>
                <c:pt idx="3">
                  <c:v>102.9977322</c:v>
                </c:pt>
                <c:pt idx="4">
                  <c:v>108.43112189999999</c:v>
                </c:pt>
              </c:numCache>
            </c:numRef>
          </c:val>
          <c:extLst>
            <c:ext xmlns:c16="http://schemas.microsoft.com/office/drawing/2014/chart" uri="{C3380CC4-5D6E-409C-BE32-E72D297353CC}">
              <c16:uniqueId val="{00000000-0E16-4566-B6BA-6CAE59EE6BD7}"/>
            </c:ext>
          </c:extLst>
        </c:ser>
        <c:ser>
          <c:idx val="1"/>
          <c:order val="1"/>
          <c:tx>
            <c:strRef>
              <c:f>烏野!$F$3</c:f>
              <c:strCache>
                <c:ptCount val="1"/>
                <c:pt idx="0">
                  <c:v>影山飛雄ICO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烏野!$G$3:$K$3</c:f>
              <c:numCache>
                <c:formatCode>General</c:formatCode>
                <c:ptCount val="5"/>
                <c:pt idx="0">
                  <c:v>101.8395175</c:v>
                </c:pt>
                <c:pt idx="1">
                  <c:v>102.8399568</c:v>
                </c:pt>
                <c:pt idx="2">
                  <c:v>115.73809420000001</c:v>
                </c:pt>
                <c:pt idx="3">
                  <c:v>98.501133890000006</c:v>
                </c:pt>
                <c:pt idx="4">
                  <c:v>96.065476459999999</c:v>
                </c:pt>
              </c:numCache>
            </c:numRef>
          </c:val>
          <c:extLst xmlns:c15="http://schemas.microsoft.com/office/drawing/2012/chart">
            <c:ext xmlns:c16="http://schemas.microsoft.com/office/drawing/2014/chart" uri="{C3380CC4-5D6E-409C-BE32-E72D297353CC}">
              <c16:uniqueId val="{0000000C-0E16-4566-B6BA-6CAE59EE6BD7}"/>
            </c:ext>
          </c:extLst>
        </c:ser>
        <c:ser>
          <c:idx val="2"/>
          <c:order val="2"/>
          <c:tx>
            <c:strRef>
              <c:f>烏野!$F$4</c:f>
              <c:strCache>
                <c:ptCount val="1"/>
                <c:pt idx="0">
                  <c:v>月島蛍ICO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烏野!$G$4:$K$4</c:f>
              <c:numCache>
                <c:formatCode>General</c:formatCode>
                <c:ptCount val="5"/>
                <c:pt idx="0">
                  <c:v>95.094620000000006</c:v>
                </c:pt>
                <c:pt idx="1">
                  <c:v>97.160043160000001</c:v>
                </c:pt>
                <c:pt idx="2">
                  <c:v>96.627551249999996</c:v>
                </c:pt>
                <c:pt idx="3">
                  <c:v>94.004535559999994</c:v>
                </c:pt>
                <c:pt idx="4">
                  <c:v>103.3724488</c:v>
                </c:pt>
              </c:numCache>
            </c:numRef>
          </c:val>
          <c:extLst xmlns:c15="http://schemas.microsoft.com/office/drawing/2012/chart">
            <c:ext xmlns:c16="http://schemas.microsoft.com/office/drawing/2014/chart" uri="{C3380CC4-5D6E-409C-BE32-E72D297353CC}">
              <c16:uniqueId val="{0000000D-0E16-4566-B6BA-6CAE59EE6BD7}"/>
            </c:ext>
          </c:extLst>
        </c:ser>
        <c:ser>
          <c:idx val="3"/>
          <c:order val="3"/>
          <c:tx>
            <c:strRef>
              <c:f>烏野!$F$5</c:f>
              <c:strCache>
                <c:ptCount val="1"/>
                <c:pt idx="0">
                  <c:v>山口忠ICO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烏野!$G$5:$K$5</c:f>
              <c:numCache>
                <c:formatCode>General</c:formatCode>
                <c:ptCount val="5"/>
                <c:pt idx="0">
                  <c:v>93.868274999999997</c:v>
                </c:pt>
                <c:pt idx="1">
                  <c:v>99.526673900000006</c:v>
                </c:pt>
                <c:pt idx="2">
                  <c:v>103.3724488</c:v>
                </c:pt>
                <c:pt idx="3">
                  <c:v>100</c:v>
                </c:pt>
                <c:pt idx="4">
                  <c:v>97.189626039999993</c:v>
                </c:pt>
              </c:numCache>
            </c:numRef>
          </c:val>
          <c:extLst xmlns:c15="http://schemas.microsoft.com/office/drawing/2012/chart">
            <c:ext xmlns:c16="http://schemas.microsoft.com/office/drawing/2014/chart" uri="{C3380CC4-5D6E-409C-BE32-E72D297353CC}">
              <c16:uniqueId val="{0000000E-0E16-4566-B6BA-6CAE59EE6BD7}"/>
            </c:ext>
          </c:extLst>
        </c:ser>
        <c:ser>
          <c:idx val="4"/>
          <c:order val="4"/>
          <c:tx>
            <c:strRef>
              <c:f>烏野!$F$6</c:f>
              <c:strCache>
                <c:ptCount val="1"/>
                <c:pt idx="0">
                  <c:v>西谷夕ICO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烏野!$G$6:$K$6</c:f>
              <c:numCache>
                <c:formatCode>General</c:formatCode>
                <c:ptCount val="5"/>
                <c:pt idx="0">
                  <c:v>98.160482500000001</c:v>
                </c:pt>
                <c:pt idx="1">
                  <c:v>96.686717020000003</c:v>
                </c:pt>
                <c:pt idx="2">
                  <c:v>105.6207479</c:v>
                </c:pt>
                <c:pt idx="3">
                  <c:v>111.9909289</c:v>
                </c:pt>
                <c:pt idx="4">
                  <c:v>93.817177290000004</c:v>
                </c:pt>
              </c:numCache>
            </c:numRef>
          </c:val>
          <c:extLst xmlns:c15="http://schemas.microsoft.com/office/drawing/2012/chart">
            <c:ext xmlns:c16="http://schemas.microsoft.com/office/drawing/2014/chart" uri="{C3380CC4-5D6E-409C-BE32-E72D297353CC}">
              <c16:uniqueId val="{00000001-0E16-4566-B6BA-6CAE59EE6BD7}"/>
            </c:ext>
          </c:extLst>
        </c:ser>
        <c:ser>
          <c:idx val="5"/>
          <c:order val="5"/>
          <c:tx>
            <c:strRef>
              <c:f>烏野!$F$7</c:f>
              <c:strCache>
                <c:ptCount val="1"/>
                <c:pt idx="0">
                  <c:v>田中龍之介ICO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烏野!$G$7:$K$7</c:f>
              <c:numCache>
                <c:formatCode>General</c:formatCode>
                <c:ptCount val="5"/>
                <c:pt idx="0">
                  <c:v>100.6131725</c:v>
                </c:pt>
                <c:pt idx="1">
                  <c:v>93.846760180000004</c:v>
                </c:pt>
                <c:pt idx="2">
                  <c:v>97.751700830000004</c:v>
                </c:pt>
                <c:pt idx="3">
                  <c:v>96.252834719999996</c:v>
                </c:pt>
                <c:pt idx="4">
                  <c:v>96.627551249999996</c:v>
                </c:pt>
              </c:numCache>
            </c:numRef>
          </c:val>
          <c:extLst xmlns:c15="http://schemas.microsoft.com/office/drawing/2012/chart">
            <c:ext xmlns:c16="http://schemas.microsoft.com/office/drawing/2014/chart" uri="{C3380CC4-5D6E-409C-BE32-E72D297353CC}">
              <c16:uniqueId val="{0000000F-0E16-4566-B6BA-6CAE59EE6BD7}"/>
            </c:ext>
          </c:extLst>
        </c:ser>
        <c:ser>
          <c:idx val="6"/>
          <c:order val="6"/>
          <c:tx>
            <c:strRef>
              <c:f>烏野!$F$8</c:f>
              <c:strCache>
                <c:ptCount val="1"/>
                <c:pt idx="0">
                  <c:v>澤村大地ICO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烏野!$G$8:$K$8</c:f>
              <c:numCache>
                <c:formatCode>General</c:formatCode>
                <c:ptCount val="5"/>
                <c:pt idx="0">
                  <c:v>98.773655000000005</c:v>
                </c:pt>
                <c:pt idx="1">
                  <c:v>99.526673900000006</c:v>
                </c:pt>
                <c:pt idx="2">
                  <c:v>101.1241496</c:v>
                </c:pt>
                <c:pt idx="3">
                  <c:v>106.74489749999999</c:v>
                </c:pt>
                <c:pt idx="4">
                  <c:v>96.627551249999996</c:v>
                </c:pt>
              </c:numCache>
            </c:numRef>
          </c:val>
          <c:extLst xmlns:c15="http://schemas.microsoft.com/office/drawing/2012/chart">
            <c:ext xmlns:c16="http://schemas.microsoft.com/office/drawing/2014/chart" uri="{C3380CC4-5D6E-409C-BE32-E72D297353CC}">
              <c16:uniqueId val="{00000010-0E16-4566-B6BA-6CAE59EE6BD7}"/>
            </c:ext>
          </c:extLst>
        </c:ser>
        <c:ser>
          <c:idx val="7"/>
          <c:order val="7"/>
          <c:tx>
            <c:strRef>
              <c:f>烏野!$F$9</c:f>
              <c:strCache>
                <c:ptCount val="1"/>
                <c:pt idx="0">
                  <c:v>菅原考支ICO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烏野!$G$9:$K$9</c:f>
              <c:numCache>
                <c:formatCode>General</c:formatCode>
                <c:ptCount val="5"/>
                <c:pt idx="0">
                  <c:v>96.934137500000006</c:v>
                </c:pt>
                <c:pt idx="1">
                  <c:v>99.053347720000005</c:v>
                </c:pt>
                <c:pt idx="2">
                  <c:v>110.11734629999999</c:v>
                </c:pt>
                <c:pt idx="3">
                  <c:v>95.503401670000002</c:v>
                </c:pt>
                <c:pt idx="4">
                  <c:v>96.627551249999996</c:v>
                </c:pt>
              </c:numCache>
            </c:numRef>
          </c:val>
          <c:extLst xmlns:c15="http://schemas.microsoft.com/office/drawing/2012/chart">
            <c:ext xmlns:c16="http://schemas.microsoft.com/office/drawing/2014/chart" uri="{C3380CC4-5D6E-409C-BE32-E72D297353CC}">
              <c16:uniqueId val="{00000011-0E16-4566-B6BA-6CAE59EE6BD7}"/>
            </c:ext>
          </c:extLst>
        </c:ser>
        <c:ser>
          <c:idx val="8"/>
          <c:order val="8"/>
          <c:tx>
            <c:strRef>
              <c:f>烏野!$F$10</c:f>
              <c:strCache>
                <c:ptCount val="1"/>
                <c:pt idx="0">
                  <c:v>東峰旭ICO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烏野!$G$10:$K$10</c:f>
              <c:numCache>
                <c:formatCode>General</c:formatCode>
                <c:ptCount val="5"/>
                <c:pt idx="0">
                  <c:v>101.8395175</c:v>
                </c:pt>
                <c:pt idx="1">
                  <c:v>100.47332609999999</c:v>
                </c:pt>
                <c:pt idx="2">
                  <c:v>97.751700830000004</c:v>
                </c:pt>
                <c:pt idx="3">
                  <c:v>94.004535559999994</c:v>
                </c:pt>
                <c:pt idx="4">
                  <c:v>99.437925210000003</c:v>
                </c:pt>
              </c:numCache>
            </c:numRef>
          </c:val>
          <c:extLst xmlns:c15="http://schemas.microsoft.com/office/drawing/2012/chart">
            <c:ext xmlns:c16="http://schemas.microsoft.com/office/drawing/2014/chart" uri="{C3380CC4-5D6E-409C-BE32-E72D297353CC}">
              <c16:uniqueId val="{00000012-0E16-4566-B6BA-6CAE59EE6BD7}"/>
            </c:ext>
          </c:extLst>
        </c:ser>
        <c:ser>
          <c:idx val="9"/>
          <c:order val="9"/>
          <c:tx>
            <c:strRef>
              <c:f>烏野!$F$11</c:f>
              <c:strCache>
                <c:ptCount val="1"/>
                <c:pt idx="0">
                  <c:v>縁下力ICO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烏野!$G$11:$K$11</c:f>
              <c:numCache>
                <c:formatCode>General</c:formatCode>
                <c:ptCount val="5"/>
                <c:pt idx="0">
                  <c:v>94.481447500000002</c:v>
                </c:pt>
                <c:pt idx="1">
                  <c:v>96.686717020000003</c:v>
                </c:pt>
                <c:pt idx="2">
                  <c:v>95.503401670000002</c:v>
                </c:pt>
                <c:pt idx="3">
                  <c:v>97.751700830000004</c:v>
                </c:pt>
                <c:pt idx="4">
                  <c:v>94.379252080000001</c:v>
                </c:pt>
              </c:numCache>
            </c:numRef>
          </c:val>
          <c:extLst xmlns:c15="http://schemas.microsoft.com/office/drawing/2012/chart">
            <c:ext xmlns:c16="http://schemas.microsoft.com/office/drawing/2014/chart" uri="{C3380CC4-5D6E-409C-BE32-E72D297353CC}">
              <c16:uniqueId val="{00000002-0E16-4566-B6BA-6CAE59EE6BD7}"/>
            </c:ext>
          </c:extLst>
        </c:ser>
        <c:ser>
          <c:idx val="10"/>
          <c:order val="10"/>
          <c:tx>
            <c:strRef>
              <c:f>烏野!$F$12</c:f>
              <c:strCache>
                <c:ptCount val="1"/>
                <c:pt idx="0">
                  <c:v>木下久志ICO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烏野!$G$12:$K$12</c:f>
              <c:numCache>
                <c:formatCode>General</c:formatCode>
                <c:ptCount val="5"/>
                <c:pt idx="0">
                  <c:v>98.160482500000001</c:v>
                </c:pt>
                <c:pt idx="1">
                  <c:v>99.526673900000006</c:v>
                </c:pt>
                <c:pt idx="2">
                  <c:v>97.751700830000004</c:v>
                </c:pt>
                <c:pt idx="3">
                  <c:v>94.753968610000001</c:v>
                </c:pt>
                <c:pt idx="4">
                  <c:v>96.065476459999999</c:v>
                </c:pt>
              </c:numCache>
            </c:numRef>
          </c:val>
          <c:extLst xmlns:c15="http://schemas.microsoft.com/office/drawing/2012/chart">
            <c:ext xmlns:c16="http://schemas.microsoft.com/office/drawing/2014/chart" uri="{C3380CC4-5D6E-409C-BE32-E72D297353CC}">
              <c16:uniqueId val="{00000013-0E16-4566-B6BA-6CAE59EE6BD7}"/>
            </c:ext>
          </c:extLst>
        </c:ser>
        <c:ser>
          <c:idx val="11"/>
          <c:order val="11"/>
          <c:tx>
            <c:strRef>
              <c:f>烏野!$F$13</c:f>
              <c:strCache>
                <c:ptCount val="1"/>
                <c:pt idx="0">
                  <c:v>成田一仁ICO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烏野!$G$13:$K$13</c:f>
              <c:numCache>
                <c:formatCode>General</c:formatCode>
                <c:ptCount val="5"/>
                <c:pt idx="0">
                  <c:v>95.707792499999996</c:v>
                </c:pt>
                <c:pt idx="1">
                  <c:v>99.526673900000006</c:v>
                </c:pt>
                <c:pt idx="2">
                  <c:v>96.627551249999996</c:v>
                </c:pt>
                <c:pt idx="3">
                  <c:v>92.505669440000005</c:v>
                </c:pt>
                <c:pt idx="4">
                  <c:v>97.751700830000004</c:v>
                </c:pt>
              </c:numCache>
            </c:numRef>
          </c:val>
          <c:extLst xmlns:c15="http://schemas.microsoft.com/office/drawing/2012/chart">
            <c:ext xmlns:c16="http://schemas.microsoft.com/office/drawing/2014/chart" uri="{C3380CC4-5D6E-409C-BE32-E72D297353CC}">
              <c16:uniqueId val="{00000014-0E16-4566-B6BA-6CAE59EE6BD7}"/>
            </c:ext>
          </c:extLst>
        </c:ser>
        <c:ser>
          <c:idx val="12"/>
          <c:order val="12"/>
          <c:tx>
            <c:strRef>
              <c:f>烏野!$F$14</c:f>
              <c:strCache>
                <c:ptCount val="1"/>
                <c:pt idx="0">
                  <c:v>Xmas影山飛雄ICO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烏野!$G$14:$K$14</c:f>
              <c:numCache>
                <c:formatCode>General</c:formatCode>
                <c:ptCount val="5"/>
                <c:pt idx="0">
                  <c:v>103.06586249999999</c:v>
                </c:pt>
                <c:pt idx="1">
                  <c:v>107.5732182</c:v>
                </c:pt>
                <c:pt idx="2">
                  <c:v>122.4829917</c:v>
                </c:pt>
                <c:pt idx="3">
                  <c:v>100</c:v>
                </c:pt>
                <c:pt idx="4">
                  <c:v>98.313775629999995</c:v>
                </c:pt>
              </c:numCache>
            </c:numRef>
          </c:val>
          <c:extLst>
            <c:ext xmlns:c16="http://schemas.microsoft.com/office/drawing/2014/chart" uri="{C3380CC4-5D6E-409C-BE32-E72D297353CC}">
              <c16:uniqueId val="{00000000-9366-4882-B2A0-06CC30D458A8}"/>
            </c:ext>
          </c:extLst>
        </c:ser>
        <c:ser>
          <c:idx val="13"/>
          <c:order val="13"/>
          <c:tx>
            <c:strRef>
              <c:f>烏野!$F$15</c:f>
              <c:strCache>
                <c:ptCount val="1"/>
                <c:pt idx="0">
                  <c:v>Xmas西谷夕ICO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烏野!$G$15:$K$15</c:f>
              <c:numCache>
                <c:formatCode>General</c:formatCode>
                <c:ptCount val="5"/>
                <c:pt idx="0">
                  <c:v>99.386827499999995</c:v>
                </c:pt>
                <c:pt idx="1">
                  <c:v>98.106695439999996</c:v>
                </c:pt>
                <c:pt idx="2">
                  <c:v>111.2414958</c:v>
                </c:pt>
                <c:pt idx="3">
                  <c:v>120.23469249999999</c:v>
                </c:pt>
                <c:pt idx="4">
                  <c:v>95.503401670000002</c:v>
                </c:pt>
              </c:numCache>
            </c:numRef>
          </c:val>
          <c:extLst>
            <c:ext xmlns:c16="http://schemas.microsoft.com/office/drawing/2014/chart" uri="{C3380CC4-5D6E-409C-BE32-E72D297353CC}">
              <c16:uniqueId val="{00000001-9366-4882-B2A0-06CC30D458A8}"/>
            </c:ext>
          </c:extLst>
        </c:ser>
        <c:ser>
          <c:idx val="14"/>
          <c:order val="14"/>
          <c:tx>
            <c:strRef>
              <c:f>烏野!$F$16</c:f>
              <c:strCache>
                <c:ptCount val="1"/>
                <c:pt idx="0">
                  <c:v>新年田中龍之介ICO</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烏野!$G$16:$K$16</c:f>
              <c:numCache>
                <c:formatCode>General</c:formatCode>
                <c:ptCount val="5"/>
                <c:pt idx="0">
                  <c:v>104.2922075</c:v>
                </c:pt>
                <c:pt idx="1">
                  <c:v>92.900107890000001</c:v>
                </c:pt>
                <c:pt idx="2">
                  <c:v>98.875850420000006</c:v>
                </c:pt>
                <c:pt idx="3">
                  <c:v>97.751700830000004</c:v>
                </c:pt>
                <c:pt idx="4">
                  <c:v>100.5620748</c:v>
                </c:pt>
              </c:numCache>
            </c:numRef>
          </c:val>
          <c:extLst>
            <c:ext xmlns:c16="http://schemas.microsoft.com/office/drawing/2014/chart" uri="{C3380CC4-5D6E-409C-BE32-E72D297353CC}">
              <c16:uniqueId val="{00000002-9366-4882-B2A0-06CC30D458A8}"/>
            </c:ext>
          </c:extLst>
        </c:ser>
        <c:ser>
          <c:idx val="15"/>
          <c:order val="15"/>
          <c:tx>
            <c:strRef>
              <c:f>烏野!$F$17</c:f>
              <c:strCache>
                <c:ptCount val="1"/>
                <c:pt idx="0">
                  <c:v>雪遊び山口忠ICO</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烏野!$G$17:$K$17</c:f>
              <c:numCache>
                <c:formatCode>General</c:formatCode>
                <c:ptCount val="5"/>
                <c:pt idx="0">
                  <c:v>93.255102500000007</c:v>
                </c:pt>
                <c:pt idx="1">
                  <c:v>104.2599353</c:v>
                </c:pt>
                <c:pt idx="2">
                  <c:v>101.1241496</c:v>
                </c:pt>
                <c:pt idx="3">
                  <c:v>103.74716530000001</c:v>
                </c:pt>
                <c:pt idx="4">
                  <c:v>98.313775629999995</c:v>
                </c:pt>
              </c:numCache>
            </c:numRef>
          </c:val>
          <c:extLst>
            <c:ext xmlns:c16="http://schemas.microsoft.com/office/drawing/2014/chart" uri="{C3380CC4-5D6E-409C-BE32-E72D297353CC}">
              <c16:uniqueId val="{00000003-9366-4882-B2A0-06CC30D458A8}"/>
            </c:ext>
          </c:extLst>
        </c:ser>
        <c:ser>
          <c:idx val="16"/>
          <c:order val="16"/>
          <c:tx>
            <c:strRef>
              <c:f>烏野!$F$18</c:f>
              <c:strCache>
                <c:ptCount val="1"/>
                <c:pt idx="0">
                  <c:v>1周年日向翔陽ICO</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烏野!$G$18:$K$18</c:f>
              <c:numCache>
                <c:formatCode>General</c:formatCode>
                <c:ptCount val="5"/>
                <c:pt idx="0">
                  <c:v>96.320965000000001</c:v>
                </c:pt>
                <c:pt idx="1">
                  <c:v>91.480129469999994</c:v>
                </c:pt>
                <c:pt idx="2">
                  <c:v>101.1241496</c:v>
                </c:pt>
                <c:pt idx="3">
                  <c:v>108.9931967</c:v>
                </c:pt>
                <c:pt idx="4">
                  <c:v>108.43112189999999</c:v>
                </c:pt>
              </c:numCache>
            </c:numRef>
          </c:val>
          <c:extLst>
            <c:ext xmlns:c16="http://schemas.microsoft.com/office/drawing/2014/chart" uri="{C3380CC4-5D6E-409C-BE32-E72D297353CC}">
              <c16:uniqueId val="{00000004-9366-4882-B2A0-06CC30D458A8}"/>
            </c:ext>
          </c:extLst>
        </c:ser>
        <c:ser>
          <c:idx val="17"/>
          <c:order val="17"/>
          <c:tx>
            <c:strRef>
              <c:f>烏野!$F$19</c:f>
              <c:strCache>
                <c:ptCount val="1"/>
                <c:pt idx="0">
                  <c:v>1周年影山飛雄ICO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烏野!$G$19:$K$19</c:f>
              <c:numCache>
                <c:formatCode>General</c:formatCode>
                <c:ptCount val="5"/>
                <c:pt idx="0">
                  <c:v>104.2922075</c:v>
                </c:pt>
                <c:pt idx="1">
                  <c:v>106.626566</c:v>
                </c:pt>
                <c:pt idx="2">
                  <c:v>121.3588421</c:v>
                </c:pt>
                <c:pt idx="3">
                  <c:v>100</c:v>
                </c:pt>
                <c:pt idx="4">
                  <c:v>98.875850420000006</c:v>
                </c:pt>
              </c:numCache>
            </c:numRef>
          </c:val>
          <c:extLst>
            <c:ext xmlns:c16="http://schemas.microsoft.com/office/drawing/2014/chart" uri="{C3380CC4-5D6E-409C-BE32-E72D297353CC}">
              <c16:uniqueId val="{00000005-9366-4882-B2A0-06CC30D458A8}"/>
            </c:ext>
          </c:extLst>
        </c:ser>
        <c:ser>
          <c:idx val="18"/>
          <c:order val="18"/>
          <c:tx>
            <c:strRef>
              <c:f>烏野!$F$20</c:f>
              <c:strCache>
                <c:ptCount val="1"/>
                <c:pt idx="0">
                  <c:v>1周年月島蛍ICO</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烏野!$G$20:$K$20</c:f>
              <c:numCache>
                <c:formatCode>General</c:formatCode>
                <c:ptCount val="5"/>
                <c:pt idx="0">
                  <c:v>98.160482500000001</c:v>
                </c:pt>
                <c:pt idx="1">
                  <c:v>96.213390880000006</c:v>
                </c:pt>
                <c:pt idx="2">
                  <c:v>97.751700830000004</c:v>
                </c:pt>
                <c:pt idx="3">
                  <c:v>93.255102500000007</c:v>
                </c:pt>
                <c:pt idx="4">
                  <c:v>110.11734629999999</c:v>
                </c:pt>
              </c:numCache>
            </c:numRef>
          </c:val>
          <c:extLst>
            <c:ext xmlns:c16="http://schemas.microsoft.com/office/drawing/2014/chart" uri="{C3380CC4-5D6E-409C-BE32-E72D297353CC}">
              <c16:uniqueId val="{00000006-9366-4882-B2A0-06CC30D458A8}"/>
            </c:ext>
          </c:extLst>
        </c:ser>
        <c:ser>
          <c:idx val="19"/>
          <c:order val="19"/>
          <c:tx>
            <c:strRef>
              <c:f>烏野!$F$21</c:f>
              <c:strCache>
                <c:ptCount val="1"/>
                <c:pt idx="0">
                  <c:v>サバゲ東峰旭ICO</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烏野!$G$21:$K$21</c:f>
              <c:numCache>
                <c:formatCode>General</c:formatCode>
                <c:ptCount val="5"/>
                <c:pt idx="0">
                  <c:v>105.5185525</c:v>
                </c:pt>
                <c:pt idx="1">
                  <c:v>99.526673900000006</c:v>
                </c:pt>
                <c:pt idx="2">
                  <c:v>98.875850420000006</c:v>
                </c:pt>
                <c:pt idx="3">
                  <c:v>95.503401670000002</c:v>
                </c:pt>
                <c:pt idx="4">
                  <c:v>103.3724488</c:v>
                </c:pt>
              </c:numCache>
            </c:numRef>
          </c:val>
          <c:extLst>
            <c:ext xmlns:c16="http://schemas.microsoft.com/office/drawing/2014/chart" uri="{C3380CC4-5D6E-409C-BE32-E72D297353CC}">
              <c16:uniqueId val="{00000007-9366-4882-B2A0-06CC30D458A8}"/>
            </c:ext>
          </c:extLst>
        </c:ser>
        <c:ser>
          <c:idx val="20"/>
          <c:order val="20"/>
          <c:tx>
            <c:strRef>
              <c:f>烏野!$F$22</c:f>
              <c:strCache>
                <c:ptCount val="1"/>
                <c:pt idx="0">
                  <c:v>RPG田中龍之介ICO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烏野!$G$22:$K$22</c:f>
              <c:numCache>
                <c:formatCode>General</c:formatCode>
                <c:ptCount val="5"/>
                <c:pt idx="0">
                  <c:v>101.8395175</c:v>
                </c:pt>
                <c:pt idx="1">
                  <c:v>93.846760180000004</c:v>
                </c:pt>
                <c:pt idx="2">
                  <c:v>97.751700830000004</c:v>
                </c:pt>
                <c:pt idx="3">
                  <c:v>100</c:v>
                </c:pt>
                <c:pt idx="4">
                  <c:v>101.1241496</c:v>
                </c:pt>
              </c:numCache>
            </c:numRef>
          </c:val>
          <c:extLst>
            <c:ext xmlns:c16="http://schemas.microsoft.com/office/drawing/2014/chart" uri="{C3380CC4-5D6E-409C-BE32-E72D297353CC}">
              <c16:uniqueId val="{00000008-9366-4882-B2A0-06CC30D458A8}"/>
            </c:ext>
          </c:extLst>
        </c:ser>
        <c:ser>
          <c:idx val="21"/>
          <c:order val="21"/>
          <c:tx>
            <c:strRef>
              <c:f>烏野!$F$23</c:f>
              <c:strCache>
                <c:ptCount val="1"/>
                <c:pt idx="0">
                  <c:v>RPG澤村大地ICO</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烏野!$G$23:$K$23</c:f>
              <c:numCache>
                <c:formatCode>General</c:formatCode>
                <c:ptCount val="5"/>
                <c:pt idx="0">
                  <c:v>99.386827499999995</c:v>
                </c:pt>
                <c:pt idx="1">
                  <c:v>103.78660910000001</c:v>
                </c:pt>
                <c:pt idx="2">
                  <c:v>101.1241496</c:v>
                </c:pt>
                <c:pt idx="3">
                  <c:v>109.74262969999999</c:v>
                </c:pt>
                <c:pt idx="4">
                  <c:v>97.189626039999993</c:v>
                </c:pt>
              </c:numCache>
            </c:numRef>
          </c:val>
          <c:extLst>
            <c:ext xmlns:c16="http://schemas.microsoft.com/office/drawing/2014/chart" uri="{C3380CC4-5D6E-409C-BE32-E72D297353CC}">
              <c16:uniqueId val="{00000009-9366-4882-B2A0-06CC30D458A8}"/>
            </c:ext>
          </c:extLst>
        </c:ser>
        <c:ser>
          <c:idx val="22"/>
          <c:order val="22"/>
          <c:tx>
            <c:strRef>
              <c:f>烏野!$F$24</c:f>
              <c:strCache>
                <c:ptCount val="1"/>
                <c:pt idx="0">
                  <c:v>RPG縁下力ICO</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烏野!$G$24:$K$24</c:f>
              <c:numCache>
                <c:formatCode>General</c:formatCode>
                <c:ptCount val="5"/>
                <c:pt idx="0">
                  <c:v>95.094620000000006</c:v>
                </c:pt>
                <c:pt idx="1">
                  <c:v>99.526673900000006</c:v>
                </c:pt>
                <c:pt idx="2">
                  <c:v>95.503401670000002</c:v>
                </c:pt>
                <c:pt idx="3">
                  <c:v>102.24829920000001</c:v>
                </c:pt>
                <c:pt idx="4">
                  <c:v>95.503401670000002</c:v>
                </c:pt>
              </c:numCache>
            </c:numRef>
          </c:val>
          <c:extLst>
            <c:ext xmlns:c16="http://schemas.microsoft.com/office/drawing/2014/chart" uri="{C3380CC4-5D6E-409C-BE32-E72D297353CC}">
              <c16:uniqueId val="{0000000A-9366-4882-B2A0-06CC30D458A8}"/>
            </c:ext>
          </c:extLst>
        </c:ser>
        <c:ser>
          <c:idx val="23"/>
          <c:order val="23"/>
          <c:tx>
            <c:strRef>
              <c:f>烏野!$F$25</c:f>
              <c:strCache>
                <c:ptCount val="1"/>
                <c:pt idx="0">
                  <c:v>バーガー西谷夕ICO</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烏野!$G$25:$K$25</c:f>
              <c:numCache>
                <c:formatCode>General</c:formatCode>
                <c:ptCount val="5"/>
                <c:pt idx="0">
                  <c:v>98.160482500000001</c:v>
                </c:pt>
                <c:pt idx="1">
                  <c:v>97.160043160000001</c:v>
                </c:pt>
                <c:pt idx="2">
                  <c:v>113.489795</c:v>
                </c:pt>
                <c:pt idx="3">
                  <c:v>122.4829917</c:v>
                </c:pt>
                <c:pt idx="4">
                  <c:v>94.379252080000001</c:v>
                </c:pt>
              </c:numCache>
            </c:numRef>
          </c:val>
          <c:extLst>
            <c:ext xmlns:c16="http://schemas.microsoft.com/office/drawing/2014/chart" uri="{C3380CC4-5D6E-409C-BE32-E72D297353CC}">
              <c16:uniqueId val="{0000000B-9366-4882-B2A0-06CC30D458A8}"/>
            </c:ext>
          </c:extLst>
        </c:ser>
        <c:ser>
          <c:idx val="24"/>
          <c:order val="24"/>
          <c:tx>
            <c:strRef>
              <c:f>烏野!$F$26</c:f>
              <c:strCache>
                <c:ptCount val="1"/>
                <c:pt idx="0">
                  <c:v>梅雨菅原考支ICO</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烏野!$G$26:$K$26</c:f>
              <c:numCache>
                <c:formatCode>General</c:formatCode>
                <c:ptCount val="5"/>
                <c:pt idx="0">
                  <c:v>97.547309999999996</c:v>
                </c:pt>
                <c:pt idx="1">
                  <c:v>105.2065875</c:v>
                </c:pt>
                <c:pt idx="2">
                  <c:v>115.73809420000001</c:v>
                </c:pt>
                <c:pt idx="3">
                  <c:v>100.7494331</c:v>
                </c:pt>
                <c:pt idx="4">
                  <c:v>95.503401670000002</c:v>
                </c:pt>
              </c:numCache>
            </c:numRef>
          </c:val>
          <c:extLst>
            <c:ext xmlns:c16="http://schemas.microsoft.com/office/drawing/2014/chart" uri="{C3380CC4-5D6E-409C-BE32-E72D297353CC}">
              <c16:uniqueId val="{0000000C-9366-4882-B2A0-06CC30D458A8}"/>
            </c:ext>
          </c:extLst>
        </c:ser>
        <c:ser>
          <c:idx val="25"/>
          <c:order val="25"/>
          <c:tx>
            <c:strRef>
              <c:f>烏野!$F$27</c:f>
              <c:strCache>
                <c:ptCount val="1"/>
                <c:pt idx="0">
                  <c:v>制服日向翔陽ICO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烏野!$G$27:$K$27</c:f>
              <c:numCache>
                <c:formatCode>General</c:formatCode>
                <c:ptCount val="5"/>
                <c:pt idx="0">
                  <c:v>96.320965000000001</c:v>
                </c:pt>
                <c:pt idx="1">
                  <c:v>92.426781750000004</c:v>
                </c:pt>
                <c:pt idx="2">
                  <c:v>97.751700830000004</c:v>
                </c:pt>
                <c:pt idx="3">
                  <c:v>104.4965983</c:v>
                </c:pt>
                <c:pt idx="4">
                  <c:v>111.8035706</c:v>
                </c:pt>
              </c:numCache>
            </c:numRef>
          </c:val>
          <c:extLst>
            <c:ext xmlns:c16="http://schemas.microsoft.com/office/drawing/2014/chart" uri="{C3380CC4-5D6E-409C-BE32-E72D297353CC}">
              <c16:uniqueId val="{0000000D-9366-4882-B2A0-06CC30D458A8}"/>
            </c:ext>
          </c:extLst>
        </c:ser>
        <c:ser>
          <c:idx val="26"/>
          <c:order val="26"/>
          <c:tx>
            <c:strRef>
              <c:f>烏野!$F$28</c:f>
              <c:strCache>
                <c:ptCount val="1"/>
                <c:pt idx="0">
                  <c:v>制服影山飛雄ICO</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烏野!$G$28:$K$28</c:f>
              <c:numCache>
                <c:formatCode>General</c:formatCode>
                <c:ptCount val="5"/>
                <c:pt idx="0">
                  <c:v>102.45269</c:v>
                </c:pt>
                <c:pt idx="1">
                  <c:v>105.6799137</c:v>
                </c:pt>
                <c:pt idx="2">
                  <c:v>119.1105429</c:v>
                </c:pt>
                <c:pt idx="3">
                  <c:v>100</c:v>
                </c:pt>
                <c:pt idx="4">
                  <c:v>97.189626039999993</c:v>
                </c:pt>
              </c:numCache>
            </c:numRef>
          </c:val>
          <c:extLst>
            <c:ext xmlns:c16="http://schemas.microsoft.com/office/drawing/2014/chart" uri="{C3380CC4-5D6E-409C-BE32-E72D297353CC}">
              <c16:uniqueId val="{0000000E-9366-4882-B2A0-06CC30D458A8}"/>
            </c:ext>
          </c:extLst>
        </c:ser>
        <c:ser>
          <c:idx val="27"/>
          <c:order val="27"/>
          <c:tx>
            <c:strRef>
              <c:f>烏野!$F$29</c:f>
              <c:strCache>
                <c:ptCount val="1"/>
                <c:pt idx="0">
                  <c:v>制服西谷夕ICO</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烏野!$G$29:$K$29</c:f>
              <c:numCache>
                <c:formatCode>General</c:formatCode>
                <c:ptCount val="5"/>
                <c:pt idx="0">
                  <c:v>98.773655000000005</c:v>
                </c:pt>
                <c:pt idx="1">
                  <c:v>97.633369299999998</c:v>
                </c:pt>
                <c:pt idx="2">
                  <c:v>108.9931967</c:v>
                </c:pt>
                <c:pt idx="3">
                  <c:v>116.4875272</c:v>
                </c:pt>
                <c:pt idx="4">
                  <c:v>94.941326880000005</c:v>
                </c:pt>
              </c:numCache>
            </c:numRef>
          </c:val>
          <c:extLst>
            <c:ext xmlns:c16="http://schemas.microsoft.com/office/drawing/2014/chart" uri="{C3380CC4-5D6E-409C-BE32-E72D297353CC}">
              <c16:uniqueId val="{0000000F-9366-4882-B2A0-06CC30D458A8}"/>
            </c:ext>
          </c:extLst>
        </c:ser>
        <c:ser>
          <c:idx val="28"/>
          <c:order val="28"/>
          <c:tx>
            <c:strRef>
              <c:f>烏野!$F$30</c:f>
              <c:strCache>
                <c:ptCount val="1"/>
                <c:pt idx="0">
                  <c:v>制服田中龍之介ICO</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烏野!$G$30:$K$30</c:f>
              <c:numCache>
                <c:formatCode>General</c:formatCode>
                <c:ptCount val="5"/>
                <c:pt idx="0">
                  <c:v>102.45269</c:v>
                </c:pt>
                <c:pt idx="1">
                  <c:v>95.740064739999994</c:v>
                </c:pt>
                <c:pt idx="2">
                  <c:v>98.875850420000006</c:v>
                </c:pt>
                <c:pt idx="3">
                  <c:v>97.751700830000004</c:v>
                </c:pt>
                <c:pt idx="4">
                  <c:v>98.875850420000006</c:v>
                </c:pt>
              </c:numCache>
            </c:numRef>
          </c:val>
          <c:extLst>
            <c:ext xmlns:c16="http://schemas.microsoft.com/office/drawing/2014/chart" uri="{C3380CC4-5D6E-409C-BE32-E72D297353CC}">
              <c16:uniqueId val="{00000010-9366-4882-B2A0-06CC30D458A8}"/>
            </c:ext>
          </c:extLst>
        </c:ser>
        <c:ser>
          <c:idx val="29"/>
          <c:order val="29"/>
          <c:tx>
            <c:strRef>
              <c:f>烏野!$F$31</c:f>
              <c:strCache>
                <c:ptCount val="1"/>
                <c:pt idx="0">
                  <c:v>王冠日向翔陽ICO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烏野!$G$31:$K$31</c:f>
              <c:numCache>
                <c:formatCode>General</c:formatCode>
                <c:ptCount val="5"/>
                <c:pt idx="0">
                  <c:v>98.160482500000001</c:v>
                </c:pt>
                <c:pt idx="1">
                  <c:v>92.426781750000004</c:v>
                </c:pt>
                <c:pt idx="2">
                  <c:v>98.875850420000006</c:v>
                </c:pt>
                <c:pt idx="3">
                  <c:v>105.9954644</c:v>
                </c:pt>
                <c:pt idx="4">
                  <c:v>114.05186980000001</c:v>
                </c:pt>
              </c:numCache>
            </c:numRef>
          </c:val>
          <c:extLst>
            <c:ext xmlns:c16="http://schemas.microsoft.com/office/drawing/2014/chart" uri="{C3380CC4-5D6E-409C-BE32-E72D297353CC}">
              <c16:uniqueId val="{00000011-9366-4882-B2A0-06CC30D458A8}"/>
            </c:ext>
          </c:extLst>
        </c:ser>
        <c:ser>
          <c:idx val="30"/>
          <c:order val="30"/>
          <c:tx>
            <c:strRef>
              <c:f>烏野!$F$32</c:f>
              <c:strCache>
                <c:ptCount val="1"/>
                <c:pt idx="0">
                  <c:v>王冠影山飛雄ICO</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烏野!$G$32:$K$32</c:f>
              <c:numCache>
                <c:formatCode>General</c:formatCode>
                <c:ptCount val="5"/>
                <c:pt idx="0">
                  <c:v>103.06586249999999</c:v>
                </c:pt>
                <c:pt idx="1">
                  <c:v>107.09989210000001</c:v>
                </c:pt>
                <c:pt idx="2">
                  <c:v>120.23469249999999</c:v>
                </c:pt>
                <c:pt idx="3">
                  <c:v>103.74716530000001</c:v>
                </c:pt>
                <c:pt idx="4">
                  <c:v>97.751700830000004</c:v>
                </c:pt>
              </c:numCache>
            </c:numRef>
          </c:val>
          <c:extLst>
            <c:ext xmlns:c16="http://schemas.microsoft.com/office/drawing/2014/chart" uri="{C3380CC4-5D6E-409C-BE32-E72D297353CC}">
              <c16:uniqueId val="{00000012-9366-4882-B2A0-06CC30D458A8}"/>
            </c:ext>
          </c:extLst>
        </c:ser>
        <c:ser>
          <c:idx val="31"/>
          <c:order val="31"/>
          <c:tx>
            <c:strRef>
              <c:f>烏野!$F$33</c:f>
              <c:strCache>
                <c:ptCount val="1"/>
                <c:pt idx="0">
                  <c:v>花火月島蛍ICO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烏野!$G$33:$K$33</c:f>
              <c:numCache>
                <c:formatCode>General</c:formatCode>
                <c:ptCount val="5"/>
                <c:pt idx="0">
                  <c:v>98.160482500000001</c:v>
                </c:pt>
                <c:pt idx="1">
                  <c:v>98.106695439999996</c:v>
                </c:pt>
                <c:pt idx="2">
                  <c:v>98.875850420000006</c:v>
                </c:pt>
                <c:pt idx="3">
                  <c:v>97.002267779999997</c:v>
                </c:pt>
                <c:pt idx="4">
                  <c:v>109.5552715</c:v>
                </c:pt>
              </c:numCache>
            </c:numRef>
          </c:val>
          <c:extLst>
            <c:ext xmlns:c16="http://schemas.microsoft.com/office/drawing/2014/chart" uri="{C3380CC4-5D6E-409C-BE32-E72D297353CC}">
              <c16:uniqueId val="{00000013-9366-4882-B2A0-06CC30D458A8}"/>
            </c:ext>
          </c:extLst>
        </c:ser>
        <c:ser>
          <c:idx val="32"/>
          <c:order val="32"/>
          <c:tx>
            <c:strRef>
              <c:f>烏野!$F$34</c:f>
              <c:strCache>
                <c:ptCount val="1"/>
                <c:pt idx="0">
                  <c:v>花火縁下力ICO</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烏野!$G$34:$K$34</c:f>
              <c:numCache>
                <c:formatCode>General</c:formatCode>
                <c:ptCount val="5"/>
                <c:pt idx="0">
                  <c:v>98.160482500000001</c:v>
                </c:pt>
                <c:pt idx="1">
                  <c:v>98.580021579999993</c:v>
                </c:pt>
                <c:pt idx="2">
                  <c:v>98.875850420000006</c:v>
                </c:pt>
                <c:pt idx="3">
                  <c:v>102.24829920000001</c:v>
                </c:pt>
                <c:pt idx="4">
                  <c:v>97.751700830000004</c:v>
                </c:pt>
              </c:numCache>
            </c:numRef>
          </c:val>
          <c:extLst>
            <c:ext xmlns:c16="http://schemas.microsoft.com/office/drawing/2014/chart" uri="{C3380CC4-5D6E-409C-BE32-E72D297353CC}">
              <c16:uniqueId val="{00000014-9366-4882-B2A0-06CC30D458A8}"/>
            </c:ext>
          </c:extLst>
        </c:ser>
        <c:ser>
          <c:idx val="33"/>
          <c:order val="33"/>
          <c:tx>
            <c:strRef>
              <c:f>烏野!$F$35</c:f>
              <c:strCache>
                <c:ptCount val="1"/>
                <c:pt idx="0">
                  <c:v>スパイ山口忠ICO</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烏野!$G$35:$K$35</c:f>
              <c:numCache>
                <c:formatCode>General</c:formatCode>
                <c:ptCount val="5"/>
                <c:pt idx="0">
                  <c:v>95.094620000000006</c:v>
                </c:pt>
                <c:pt idx="1">
                  <c:v>104.7332614</c:v>
                </c:pt>
                <c:pt idx="2">
                  <c:v>104.4965983</c:v>
                </c:pt>
                <c:pt idx="3">
                  <c:v>103.74716530000001</c:v>
                </c:pt>
                <c:pt idx="4">
                  <c:v>100</c:v>
                </c:pt>
              </c:numCache>
            </c:numRef>
          </c:val>
          <c:extLst>
            <c:ext xmlns:c16="http://schemas.microsoft.com/office/drawing/2014/chart" uri="{C3380CC4-5D6E-409C-BE32-E72D297353CC}">
              <c16:uniqueId val="{00000015-9366-4882-B2A0-06CC30D458A8}"/>
            </c:ext>
          </c:extLst>
        </c:ser>
        <c:ser>
          <c:idx val="34"/>
          <c:order val="34"/>
          <c:tx>
            <c:strRef>
              <c:f>烏野!$F$36</c:f>
              <c:strCache>
                <c:ptCount val="1"/>
                <c:pt idx="0">
                  <c:v>仮装田中龍之介ICO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烏野!$G$36:$K$36</c:f>
              <c:numCache>
                <c:formatCode>General</c:formatCode>
                <c:ptCount val="5"/>
                <c:pt idx="0">
                  <c:v>104.2922075</c:v>
                </c:pt>
                <c:pt idx="1">
                  <c:v>95.740064739999994</c:v>
                </c:pt>
                <c:pt idx="2">
                  <c:v>100</c:v>
                </c:pt>
                <c:pt idx="3">
                  <c:v>99.250566939999999</c:v>
                </c:pt>
                <c:pt idx="4">
                  <c:v>101.1241496</c:v>
                </c:pt>
              </c:numCache>
            </c:numRef>
          </c:val>
          <c:extLst>
            <c:ext xmlns:c16="http://schemas.microsoft.com/office/drawing/2014/chart" uri="{C3380CC4-5D6E-409C-BE32-E72D297353CC}">
              <c16:uniqueId val="{00000016-9366-4882-B2A0-06CC30D458A8}"/>
            </c:ext>
          </c:extLst>
        </c:ser>
        <c:ser>
          <c:idx val="35"/>
          <c:order val="35"/>
          <c:tx>
            <c:strRef>
              <c:f>烏野!$F$37</c:f>
              <c:strCache>
                <c:ptCount val="1"/>
                <c:pt idx="0">
                  <c:v>文化祭2西谷夕ICO</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烏野!$G$37:$K$37</c:f>
              <c:numCache>
                <c:formatCode>General</c:formatCode>
                <c:ptCount val="5"/>
                <c:pt idx="0">
                  <c:v>100</c:v>
                </c:pt>
                <c:pt idx="1">
                  <c:v>99.053347720000005</c:v>
                </c:pt>
                <c:pt idx="2">
                  <c:v>112.36564540000001</c:v>
                </c:pt>
                <c:pt idx="3">
                  <c:v>123.2324247</c:v>
                </c:pt>
                <c:pt idx="4">
                  <c:v>96.627551249999996</c:v>
                </c:pt>
              </c:numCache>
            </c:numRef>
          </c:val>
          <c:extLst>
            <c:ext xmlns:c16="http://schemas.microsoft.com/office/drawing/2014/chart" uri="{C3380CC4-5D6E-409C-BE32-E72D297353CC}">
              <c16:uniqueId val="{00000017-9366-4882-B2A0-06CC30D458A8}"/>
            </c:ext>
          </c:extLst>
        </c:ser>
        <c:ser>
          <c:idx val="36"/>
          <c:order val="36"/>
          <c:tx>
            <c:strRef>
              <c:f>烏野!$F$38</c:f>
              <c:strCache>
                <c:ptCount val="1"/>
                <c:pt idx="0">
                  <c:v>ジャージ日向翔陽ICO</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烏野!$G$38:$K$38</c:f>
              <c:numCache>
                <c:formatCode>General</c:formatCode>
                <c:ptCount val="5"/>
                <c:pt idx="0">
                  <c:v>97.547309999999996</c:v>
                </c:pt>
                <c:pt idx="1">
                  <c:v>92.426781750000004</c:v>
                </c:pt>
                <c:pt idx="2">
                  <c:v>98.875850420000006</c:v>
                </c:pt>
                <c:pt idx="3">
                  <c:v>108.24376359999999</c:v>
                </c:pt>
                <c:pt idx="4">
                  <c:v>113.489795</c:v>
                </c:pt>
              </c:numCache>
            </c:numRef>
          </c:val>
          <c:extLst>
            <c:ext xmlns:c16="http://schemas.microsoft.com/office/drawing/2014/chart" uri="{C3380CC4-5D6E-409C-BE32-E72D297353CC}">
              <c16:uniqueId val="{00000018-9366-4882-B2A0-06CC30D458A8}"/>
            </c:ext>
          </c:extLst>
        </c:ser>
        <c:ser>
          <c:idx val="37"/>
          <c:order val="37"/>
          <c:tx>
            <c:strRef>
              <c:f>烏野!$F$39</c:f>
              <c:strCache>
                <c:ptCount val="1"/>
                <c:pt idx="0">
                  <c:v>ジャージ影山飛雄ICO</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烏野!$G$39:$K$39</c:f>
              <c:numCache>
                <c:formatCode>General</c:formatCode>
                <c:ptCount val="5"/>
                <c:pt idx="0">
                  <c:v>103.679035</c:v>
                </c:pt>
                <c:pt idx="1">
                  <c:v>108.9931967</c:v>
                </c:pt>
                <c:pt idx="2">
                  <c:v>124.7312908</c:v>
                </c:pt>
                <c:pt idx="3">
                  <c:v>101.4988661</c:v>
                </c:pt>
                <c:pt idx="4">
                  <c:v>99.437925210000003</c:v>
                </c:pt>
              </c:numCache>
            </c:numRef>
          </c:val>
          <c:extLst>
            <c:ext xmlns:c16="http://schemas.microsoft.com/office/drawing/2014/chart" uri="{C3380CC4-5D6E-409C-BE32-E72D297353CC}">
              <c16:uniqueId val="{00000019-9366-4882-B2A0-06CC30D458A8}"/>
            </c:ext>
          </c:extLst>
        </c:ser>
        <c:ser>
          <c:idx val="38"/>
          <c:order val="38"/>
          <c:tx>
            <c:strRef>
              <c:f>烏野!$F$40</c:f>
              <c:strCache>
                <c:ptCount val="1"/>
                <c:pt idx="0">
                  <c:v>ジャージ月島蛍ICO</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烏野!$G$40:$K$40</c:f>
              <c:numCache>
                <c:formatCode>General</c:formatCode>
                <c:ptCount val="5"/>
                <c:pt idx="0">
                  <c:v>98.773655000000005</c:v>
                </c:pt>
                <c:pt idx="1">
                  <c:v>98.106695439999996</c:v>
                </c:pt>
                <c:pt idx="2">
                  <c:v>101.1241496</c:v>
                </c:pt>
                <c:pt idx="3">
                  <c:v>97.002267779999997</c:v>
                </c:pt>
                <c:pt idx="4">
                  <c:v>108.43112189999999</c:v>
                </c:pt>
              </c:numCache>
            </c:numRef>
          </c:val>
          <c:extLst>
            <c:ext xmlns:c16="http://schemas.microsoft.com/office/drawing/2014/chart" uri="{C3380CC4-5D6E-409C-BE32-E72D297353CC}">
              <c16:uniqueId val="{0000001A-9366-4882-B2A0-06CC30D458A8}"/>
            </c:ext>
          </c:extLst>
        </c:ser>
        <c:ser>
          <c:idx val="39"/>
          <c:order val="39"/>
          <c:tx>
            <c:strRef>
              <c:f>烏野!$F$41</c:f>
              <c:strCache>
                <c:ptCount val="1"/>
                <c:pt idx="0">
                  <c:v>ジャージ山口忠ICO</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烏野!$G$41:$K$41</c:f>
              <c:numCache>
                <c:formatCode>General</c:formatCode>
                <c:ptCount val="5"/>
                <c:pt idx="0">
                  <c:v>96.320965000000001</c:v>
                </c:pt>
                <c:pt idx="1">
                  <c:v>102.3666307</c:v>
                </c:pt>
                <c:pt idx="2">
                  <c:v>105.6207479</c:v>
                </c:pt>
                <c:pt idx="3">
                  <c:v>104.4965983</c:v>
                </c:pt>
                <c:pt idx="4">
                  <c:v>101.1241496</c:v>
                </c:pt>
              </c:numCache>
            </c:numRef>
          </c:val>
          <c:extLst>
            <c:ext xmlns:c16="http://schemas.microsoft.com/office/drawing/2014/chart" uri="{C3380CC4-5D6E-409C-BE32-E72D297353CC}">
              <c16:uniqueId val="{0000001B-9366-4882-B2A0-06CC30D458A8}"/>
            </c:ext>
          </c:extLst>
        </c:ser>
        <c:ser>
          <c:idx val="40"/>
          <c:order val="40"/>
          <c:tx>
            <c:strRef>
              <c:f>烏野!$F$42</c:f>
              <c:strCache>
                <c:ptCount val="1"/>
                <c:pt idx="0">
                  <c:v>Xmas2菅原考支ICO</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烏野!$G$42:$K$42</c:f>
              <c:numCache>
                <c:formatCode>General</c:formatCode>
                <c:ptCount val="5"/>
                <c:pt idx="0">
                  <c:v>98.773655000000005</c:v>
                </c:pt>
                <c:pt idx="1">
                  <c:v>103.78660910000001</c:v>
                </c:pt>
                <c:pt idx="2">
                  <c:v>113.489795</c:v>
                </c:pt>
                <c:pt idx="3">
                  <c:v>100</c:v>
                </c:pt>
                <c:pt idx="4">
                  <c:v>97.751700830000004</c:v>
                </c:pt>
              </c:numCache>
            </c:numRef>
          </c:val>
          <c:extLst>
            <c:ext xmlns:c16="http://schemas.microsoft.com/office/drawing/2014/chart" uri="{C3380CC4-5D6E-409C-BE32-E72D297353CC}">
              <c16:uniqueId val="{0000001C-9366-4882-B2A0-06CC30D458A8}"/>
            </c:ext>
          </c:extLst>
        </c:ser>
        <c:ser>
          <c:idx val="41"/>
          <c:order val="41"/>
          <c:tx>
            <c:strRef>
              <c:f>烏野!$F$43</c:f>
              <c:strCache>
                <c:ptCount val="1"/>
                <c:pt idx="0">
                  <c:v>プール掃除澤村大地ICO</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烏野!$G$43:$K$43</c:f>
              <c:numCache>
                <c:formatCode>General</c:formatCode>
                <c:ptCount val="5"/>
                <c:pt idx="0">
                  <c:v>100.6131725</c:v>
                </c:pt>
                <c:pt idx="1">
                  <c:v>101.41997840000001</c:v>
                </c:pt>
                <c:pt idx="2">
                  <c:v>102.24829920000001</c:v>
                </c:pt>
                <c:pt idx="3">
                  <c:v>108.24376359999999</c:v>
                </c:pt>
                <c:pt idx="4">
                  <c:v>98.875850420000006</c:v>
                </c:pt>
              </c:numCache>
            </c:numRef>
          </c:val>
          <c:extLst>
            <c:ext xmlns:c16="http://schemas.microsoft.com/office/drawing/2014/chart" uri="{C3380CC4-5D6E-409C-BE32-E72D297353CC}">
              <c16:uniqueId val="{0000001D-9366-4882-B2A0-06CC30D458A8}"/>
            </c:ext>
          </c:extLst>
        </c:ser>
        <c:ser>
          <c:idx val="42"/>
          <c:order val="42"/>
          <c:tx>
            <c:strRef>
              <c:f>烏野!$F$44</c:f>
              <c:strCache>
                <c:ptCount val="1"/>
                <c:pt idx="0">
                  <c:v>プール掃除菅原考支ICO</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烏野!$G$44:$K$44</c:f>
              <c:numCache>
                <c:formatCode>General</c:formatCode>
                <c:ptCount val="5"/>
                <c:pt idx="0">
                  <c:v>97.547309999999996</c:v>
                </c:pt>
                <c:pt idx="1">
                  <c:v>101.89330459999999</c:v>
                </c:pt>
                <c:pt idx="2">
                  <c:v>113.489795</c:v>
                </c:pt>
                <c:pt idx="3">
                  <c:v>97.002267779999997</c:v>
                </c:pt>
                <c:pt idx="4">
                  <c:v>97.751700830000004</c:v>
                </c:pt>
              </c:numCache>
            </c:numRef>
          </c:val>
          <c:extLst>
            <c:ext xmlns:c16="http://schemas.microsoft.com/office/drawing/2014/chart" uri="{C3380CC4-5D6E-409C-BE32-E72D297353CC}">
              <c16:uniqueId val="{0000001E-9366-4882-B2A0-06CC30D458A8}"/>
            </c:ext>
          </c:extLst>
        </c:ser>
        <c:ser>
          <c:idx val="43"/>
          <c:order val="43"/>
          <c:tx>
            <c:strRef>
              <c:f>烏野!$F$45</c:f>
              <c:strCache>
                <c:ptCount val="1"/>
                <c:pt idx="0">
                  <c:v>プール掃除東峰旭ICO</c:v>
                </c:pt>
              </c:strCache>
            </c:strRef>
          </c:tx>
          <c:spPr>
            <a:ln w="28575"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烏野!$G$45:$K$45</c:f>
              <c:numCache>
                <c:formatCode>General</c:formatCode>
                <c:ptCount val="5"/>
                <c:pt idx="0">
                  <c:v>100</c:v>
                </c:pt>
                <c:pt idx="1">
                  <c:v>99.526673900000006</c:v>
                </c:pt>
                <c:pt idx="2">
                  <c:v>94.379252080000001</c:v>
                </c:pt>
                <c:pt idx="3">
                  <c:v>89.507937220000002</c:v>
                </c:pt>
                <c:pt idx="4">
                  <c:v>96.065476459999999</c:v>
                </c:pt>
              </c:numCache>
            </c:numRef>
          </c:val>
          <c:extLst>
            <c:ext xmlns:c16="http://schemas.microsoft.com/office/drawing/2014/chart" uri="{C3380CC4-5D6E-409C-BE32-E72D297353CC}">
              <c16:uniqueId val="{0000001F-9366-4882-B2A0-06CC30D458A8}"/>
            </c:ext>
          </c:extLst>
        </c:ser>
        <c:ser>
          <c:idx val="44"/>
          <c:order val="44"/>
          <c:tx>
            <c:strRef>
              <c:f>烏野!$F$46</c:f>
              <c:strCache>
                <c:ptCount val="1"/>
                <c:pt idx="0">
                  <c:v>新年2澤村大地ICO</c:v>
                </c:pt>
              </c:strCache>
            </c:strRef>
          </c:tx>
          <c:spPr>
            <a:ln w="28575"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烏野!$G$46:$K$46</c:f>
              <c:numCache>
                <c:formatCode>General</c:formatCode>
                <c:ptCount val="5"/>
                <c:pt idx="0">
                  <c:v>102.45269</c:v>
                </c:pt>
                <c:pt idx="1">
                  <c:v>101.41997840000001</c:v>
                </c:pt>
                <c:pt idx="2">
                  <c:v>103.3724488</c:v>
                </c:pt>
                <c:pt idx="3">
                  <c:v>111.2414958</c:v>
                </c:pt>
                <c:pt idx="4">
                  <c:v>100.5620748</c:v>
                </c:pt>
              </c:numCache>
            </c:numRef>
          </c:val>
          <c:extLst>
            <c:ext xmlns:c16="http://schemas.microsoft.com/office/drawing/2014/chart" uri="{C3380CC4-5D6E-409C-BE32-E72D297353CC}">
              <c16:uniqueId val="{00000020-9366-4882-B2A0-06CC30D458A8}"/>
            </c:ext>
          </c:extLst>
        </c:ser>
        <c:ser>
          <c:idx val="45"/>
          <c:order val="45"/>
          <c:tx>
            <c:strRef>
              <c:f>烏野!$F$47</c:f>
              <c:strCache>
                <c:ptCount val="1"/>
                <c:pt idx="0">
                  <c:v>2周年影山飛雄ICO</c:v>
                </c:pt>
              </c:strCache>
            </c:strRef>
          </c:tx>
          <c:spPr>
            <a:ln w="28575" cap="rnd">
              <a:solidFill>
                <a:schemeClr val="accent4">
                  <a:lumMod val="70000"/>
                </a:schemeClr>
              </a:solidFill>
              <a:round/>
            </a:ln>
            <a:effectLst/>
          </c:spPr>
          <c:marker>
            <c:symbol val="circle"/>
            <c:size val="5"/>
            <c:spPr>
              <a:solidFill>
                <a:schemeClr val="accent4">
                  <a:lumMod val="70000"/>
                </a:schemeClr>
              </a:solidFill>
              <a:ln w="9525">
                <a:solidFill>
                  <a:schemeClr val="accent4">
                    <a:lumMod val="7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烏野!$G$47:$K$47</c:f>
              <c:numCache>
                <c:formatCode>General</c:formatCode>
                <c:ptCount val="5"/>
                <c:pt idx="0">
                  <c:v>103.679035</c:v>
                </c:pt>
                <c:pt idx="1">
                  <c:v>109.46652280000001</c:v>
                </c:pt>
                <c:pt idx="2">
                  <c:v>123.60714129999999</c:v>
                </c:pt>
                <c:pt idx="3">
                  <c:v>102.9977322</c:v>
                </c:pt>
                <c:pt idx="4">
                  <c:v>99.437925210000003</c:v>
                </c:pt>
              </c:numCache>
            </c:numRef>
          </c:val>
          <c:extLst>
            <c:ext xmlns:c16="http://schemas.microsoft.com/office/drawing/2014/chart" uri="{C3380CC4-5D6E-409C-BE32-E72D297353CC}">
              <c16:uniqueId val="{00000021-9366-4882-B2A0-06CC30D458A8}"/>
            </c:ext>
          </c:extLst>
        </c:ser>
        <c:ser>
          <c:idx val="46"/>
          <c:order val="46"/>
          <c:tx>
            <c:strRef>
              <c:f>烏野!$F$48</c:f>
              <c:strCache>
                <c:ptCount val="1"/>
                <c:pt idx="0">
                  <c:v>2周年月島蛍ICO</c:v>
                </c:pt>
              </c:strCache>
            </c:strRef>
          </c:tx>
          <c:spPr>
            <a:ln w="28575" cap="rnd">
              <a:solidFill>
                <a:schemeClr val="accent5">
                  <a:lumMod val="70000"/>
                </a:schemeClr>
              </a:solidFill>
              <a:round/>
            </a:ln>
            <a:effectLst/>
          </c:spPr>
          <c:marker>
            <c:symbol val="circle"/>
            <c:size val="5"/>
            <c:spPr>
              <a:solidFill>
                <a:schemeClr val="accent5">
                  <a:lumMod val="70000"/>
                </a:schemeClr>
              </a:solidFill>
              <a:ln w="9525">
                <a:solidFill>
                  <a:schemeClr val="accent5">
                    <a:lumMod val="7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烏野!$G$48:$K$48</c:f>
              <c:numCache>
                <c:formatCode>General</c:formatCode>
                <c:ptCount val="5"/>
                <c:pt idx="0">
                  <c:v>98.773655000000005</c:v>
                </c:pt>
                <c:pt idx="1">
                  <c:v>99.053347720000005</c:v>
                </c:pt>
                <c:pt idx="2">
                  <c:v>100</c:v>
                </c:pt>
                <c:pt idx="3">
                  <c:v>98.501133890000006</c:v>
                </c:pt>
                <c:pt idx="4">
                  <c:v>111.8035706</c:v>
                </c:pt>
              </c:numCache>
            </c:numRef>
          </c:val>
          <c:extLst>
            <c:ext xmlns:c16="http://schemas.microsoft.com/office/drawing/2014/chart" uri="{C3380CC4-5D6E-409C-BE32-E72D297353CC}">
              <c16:uniqueId val="{00000022-9366-4882-B2A0-06CC30D458A8}"/>
            </c:ext>
          </c:extLst>
        </c:ser>
        <c:ser>
          <c:idx val="47"/>
          <c:order val="47"/>
          <c:tx>
            <c:strRef>
              <c:f>烏野!$F$49</c:f>
              <c:strCache>
                <c:ptCount val="1"/>
                <c:pt idx="0">
                  <c:v>2周年西谷夕ICO</c:v>
                </c:pt>
              </c:strCache>
            </c:strRef>
          </c:tx>
          <c:spPr>
            <a:ln w="28575" cap="rnd">
              <a:solidFill>
                <a:schemeClr val="accent6">
                  <a:lumMod val="70000"/>
                </a:schemeClr>
              </a:solidFill>
              <a:round/>
            </a:ln>
            <a:effectLst/>
          </c:spPr>
          <c:marker>
            <c:symbol val="circle"/>
            <c:size val="5"/>
            <c:spPr>
              <a:solidFill>
                <a:schemeClr val="accent6">
                  <a:lumMod val="70000"/>
                </a:schemeClr>
              </a:solidFill>
              <a:ln w="9525">
                <a:solidFill>
                  <a:schemeClr val="accent6">
                    <a:lumMod val="7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烏野!$G$49:$K$49</c:f>
              <c:numCache>
                <c:formatCode>General</c:formatCode>
                <c:ptCount val="5"/>
                <c:pt idx="0">
                  <c:v>99.386827499999995</c:v>
                </c:pt>
                <c:pt idx="1">
                  <c:v>99.053347720000005</c:v>
                </c:pt>
                <c:pt idx="2">
                  <c:v>113.489795</c:v>
                </c:pt>
                <c:pt idx="3">
                  <c:v>123.9818578</c:v>
                </c:pt>
                <c:pt idx="4">
                  <c:v>96.627551249999996</c:v>
                </c:pt>
              </c:numCache>
            </c:numRef>
          </c:val>
          <c:extLst>
            <c:ext xmlns:c16="http://schemas.microsoft.com/office/drawing/2014/chart" uri="{C3380CC4-5D6E-409C-BE32-E72D297353CC}">
              <c16:uniqueId val="{00000023-9366-4882-B2A0-06CC30D458A8}"/>
            </c:ext>
          </c:extLst>
        </c:ser>
        <c:ser>
          <c:idx val="48"/>
          <c:order val="48"/>
          <c:tx>
            <c:strRef>
              <c:f>烏野!$F$50</c:f>
              <c:strCache>
                <c:ptCount val="1"/>
                <c:pt idx="0">
                  <c:v>遊園地日向翔陽ICO</c:v>
                </c:pt>
              </c:strCache>
            </c:strRef>
          </c:tx>
          <c:spPr>
            <a:ln w="28575" cap="rnd">
              <a:solidFill>
                <a:schemeClr val="accent1">
                  <a:lumMod val="50000"/>
                  <a:lumOff val="50000"/>
                </a:schemeClr>
              </a:solid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烏野!$G$50:$K$50</c:f>
              <c:numCache>
                <c:formatCode>General</c:formatCode>
                <c:ptCount val="5"/>
                <c:pt idx="0">
                  <c:v>97.547309999999996</c:v>
                </c:pt>
                <c:pt idx="1">
                  <c:v>92.900107890000001</c:v>
                </c:pt>
                <c:pt idx="2">
                  <c:v>98.875850420000006</c:v>
                </c:pt>
                <c:pt idx="3">
                  <c:v>106.74489749999999</c:v>
                </c:pt>
                <c:pt idx="4">
                  <c:v>115.1760194</c:v>
                </c:pt>
              </c:numCache>
            </c:numRef>
          </c:val>
          <c:extLst>
            <c:ext xmlns:c16="http://schemas.microsoft.com/office/drawing/2014/chart" uri="{C3380CC4-5D6E-409C-BE32-E72D297353CC}">
              <c16:uniqueId val="{00000024-9366-4882-B2A0-06CC30D458A8}"/>
            </c:ext>
          </c:extLst>
        </c:ser>
        <c:ser>
          <c:idx val="49"/>
          <c:order val="49"/>
          <c:tx>
            <c:strRef>
              <c:f>烏野!$F$51</c:f>
              <c:strCache>
                <c:ptCount val="1"/>
                <c:pt idx="0">
                  <c:v>妖木下久志ICO</c:v>
                </c:pt>
              </c:strCache>
            </c:strRef>
          </c:tx>
          <c:spPr>
            <a:ln w="28575" cap="rnd">
              <a:solidFill>
                <a:schemeClr val="accent2">
                  <a:lumMod val="50000"/>
                  <a:lumOff val="50000"/>
                </a:schemeClr>
              </a:solid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烏野!$G$51:$K$51</c:f>
              <c:numCache>
                <c:formatCode>General</c:formatCode>
                <c:ptCount val="5"/>
                <c:pt idx="0">
                  <c:v>100</c:v>
                </c:pt>
                <c:pt idx="1">
                  <c:v>101.41997840000001</c:v>
                </c:pt>
                <c:pt idx="2">
                  <c:v>98.875850420000006</c:v>
                </c:pt>
                <c:pt idx="3">
                  <c:v>96.252834719999996</c:v>
                </c:pt>
                <c:pt idx="4">
                  <c:v>98.313775629999995</c:v>
                </c:pt>
              </c:numCache>
            </c:numRef>
          </c:val>
          <c:extLst>
            <c:ext xmlns:c16="http://schemas.microsoft.com/office/drawing/2014/chart" uri="{C3380CC4-5D6E-409C-BE32-E72D297353CC}">
              <c16:uniqueId val="{00000025-9366-4882-B2A0-06CC30D458A8}"/>
            </c:ext>
          </c:extLst>
        </c:ser>
        <c:ser>
          <c:idx val="50"/>
          <c:order val="50"/>
          <c:tx>
            <c:strRef>
              <c:f>烏野!$F$52</c:f>
              <c:strCache>
                <c:ptCount val="1"/>
                <c:pt idx="0">
                  <c:v>中学生影山飛雄ICO</c:v>
                </c:pt>
              </c:strCache>
            </c:strRef>
          </c:tx>
          <c:spPr>
            <a:ln w="28575" cap="rnd">
              <a:solidFill>
                <a:schemeClr val="accent3">
                  <a:lumMod val="50000"/>
                  <a:lumOff val="50000"/>
                </a:schemeClr>
              </a:solid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烏野!$G$52:$K$52</c:f>
              <c:numCache>
                <c:formatCode>General</c:formatCode>
                <c:ptCount val="5"/>
                <c:pt idx="0">
                  <c:v>104.90537999999999</c:v>
                </c:pt>
                <c:pt idx="1">
                  <c:v>108.5198705</c:v>
                </c:pt>
                <c:pt idx="2">
                  <c:v>123.60714129999999</c:v>
                </c:pt>
                <c:pt idx="3">
                  <c:v>101.4988661</c:v>
                </c:pt>
                <c:pt idx="4">
                  <c:v>100.5620748</c:v>
                </c:pt>
              </c:numCache>
            </c:numRef>
          </c:val>
          <c:extLst>
            <c:ext xmlns:c16="http://schemas.microsoft.com/office/drawing/2014/chart" uri="{C3380CC4-5D6E-409C-BE32-E72D297353CC}">
              <c16:uniqueId val="{00000026-9366-4882-B2A0-06CC30D458A8}"/>
            </c:ext>
          </c:extLst>
        </c:ser>
        <c:ser>
          <c:idx val="51"/>
          <c:order val="51"/>
          <c:tx>
            <c:strRef>
              <c:f>烏野!$F$53</c:f>
              <c:strCache>
                <c:ptCount val="1"/>
                <c:pt idx="0">
                  <c:v>アート2月島蛍ICO</c:v>
                </c:pt>
              </c:strCache>
            </c:strRef>
          </c:tx>
          <c:spPr>
            <a:ln w="28575" cap="rnd">
              <a:solidFill>
                <a:schemeClr val="accent4">
                  <a:lumMod val="50000"/>
                  <a:lumOff val="50000"/>
                </a:schemeClr>
              </a:solid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烏野!$G$53:$K$53</c:f>
              <c:numCache>
                <c:formatCode>General</c:formatCode>
                <c:ptCount val="5"/>
                <c:pt idx="0">
                  <c:v>100</c:v>
                </c:pt>
                <c:pt idx="1">
                  <c:v>99.053347720000005</c:v>
                </c:pt>
                <c:pt idx="2">
                  <c:v>100</c:v>
                </c:pt>
                <c:pt idx="3">
                  <c:v>100</c:v>
                </c:pt>
                <c:pt idx="4">
                  <c:v>110.679421</c:v>
                </c:pt>
              </c:numCache>
            </c:numRef>
          </c:val>
          <c:extLst>
            <c:ext xmlns:c16="http://schemas.microsoft.com/office/drawing/2014/chart" uri="{C3380CC4-5D6E-409C-BE32-E72D297353CC}">
              <c16:uniqueId val="{00000027-9366-4882-B2A0-06CC30D458A8}"/>
            </c:ext>
          </c:extLst>
        </c:ser>
        <c:ser>
          <c:idx val="52"/>
          <c:order val="52"/>
          <c:tx>
            <c:strRef>
              <c:f>烏野!$F$54</c:f>
              <c:strCache>
                <c:ptCount val="1"/>
                <c:pt idx="0">
                  <c:v>水着月島蛍ICO</c:v>
                </c:pt>
              </c:strCache>
            </c:strRef>
          </c:tx>
          <c:spPr>
            <a:ln w="28575" cap="rnd">
              <a:solidFill>
                <a:schemeClr val="accent5">
                  <a:lumMod val="50000"/>
                  <a:lumOff val="50000"/>
                </a:schemeClr>
              </a:solid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烏野!$G$54:$K$54</c:f>
              <c:numCache>
                <c:formatCode>General</c:formatCode>
                <c:ptCount val="5"/>
                <c:pt idx="0">
                  <c:v>96.934137500000006</c:v>
                </c:pt>
                <c:pt idx="1">
                  <c:v>98.106695439999996</c:v>
                </c:pt>
                <c:pt idx="2">
                  <c:v>97.751700830000004</c:v>
                </c:pt>
                <c:pt idx="3">
                  <c:v>95.503401670000002</c:v>
                </c:pt>
                <c:pt idx="4">
                  <c:v>106.74489749999999</c:v>
                </c:pt>
              </c:numCache>
            </c:numRef>
          </c:val>
          <c:extLst>
            <c:ext xmlns:c16="http://schemas.microsoft.com/office/drawing/2014/chart" uri="{C3380CC4-5D6E-409C-BE32-E72D297353CC}">
              <c16:uniqueId val="{00000028-9366-4882-B2A0-06CC30D458A8}"/>
            </c:ext>
          </c:extLst>
        </c:ser>
        <c:ser>
          <c:idx val="53"/>
          <c:order val="53"/>
          <c:tx>
            <c:strRef>
              <c:f>烏野!$F$55</c:f>
              <c:strCache>
                <c:ptCount val="1"/>
                <c:pt idx="0">
                  <c:v>水着山口忠ICO</c:v>
                </c:pt>
              </c:strCache>
            </c:strRef>
          </c:tx>
          <c:spPr>
            <a:ln w="28575" cap="rnd">
              <a:solidFill>
                <a:schemeClr val="accent6">
                  <a:lumMod val="50000"/>
                  <a:lumOff val="50000"/>
                </a:schemeClr>
              </a:solid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烏野!$G$55:$K$55</c:f>
              <c:numCache>
                <c:formatCode>General</c:formatCode>
                <c:ptCount val="5"/>
                <c:pt idx="0">
                  <c:v>94.481447500000002</c:v>
                </c:pt>
                <c:pt idx="1">
                  <c:v>102.3666307</c:v>
                </c:pt>
                <c:pt idx="2">
                  <c:v>104.4965983</c:v>
                </c:pt>
                <c:pt idx="3">
                  <c:v>101.4988661</c:v>
                </c:pt>
                <c:pt idx="4">
                  <c:v>99.437925210000003</c:v>
                </c:pt>
              </c:numCache>
            </c:numRef>
          </c:val>
          <c:extLst>
            <c:ext xmlns:c16="http://schemas.microsoft.com/office/drawing/2014/chart" uri="{C3380CC4-5D6E-409C-BE32-E72D297353CC}">
              <c16:uniqueId val="{00000029-9366-4882-B2A0-06CC30D458A8}"/>
            </c:ext>
          </c:extLst>
        </c:ser>
        <c:ser>
          <c:idx val="54"/>
          <c:order val="54"/>
          <c:tx>
            <c:strRef>
              <c:f>烏野!$F$56</c:f>
              <c:strCache>
                <c:ptCount val="1"/>
                <c:pt idx="0">
                  <c:v>夏祭り2菅原考支ICO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烏野!$G$56:$K$56</c:f>
              <c:numCache>
                <c:formatCode>General</c:formatCode>
                <c:ptCount val="5"/>
                <c:pt idx="0">
                  <c:v>96.320965000000001</c:v>
                </c:pt>
                <c:pt idx="1">
                  <c:v>102.3666307</c:v>
                </c:pt>
                <c:pt idx="2">
                  <c:v>116.8622438</c:v>
                </c:pt>
                <c:pt idx="3">
                  <c:v>100</c:v>
                </c:pt>
                <c:pt idx="4">
                  <c:v>95.503401670000002</c:v>
                </c:pt>
              </c:numCache>
            </c:numRef>
          </c:val>
          <c:extLst>
            <c:ext xmlns:c16="http://schemas.microsoft.com/office/drawing/2014/chart" uri="{C3380CC4-5D6E-409C-BE32-E72D297353CC}">
              <c16:uniqueId val="{0000002A-9366-4882-B2A0-06CC30D458A8}"/>
            </c:ext>
          </c:extLst>
        </c:ser>
        <c:ser>
          <c:idx val="55"/>
          <c:order val="55"/>
          <c:tx>
            <c:strRef>
              <c:f>烏野!$F$57</c:f>
              <c:strCache>
                <c:ptCount val="1"/>
                <c:pt idx="0">
                  <c:v>夏祭り2東峰旭ICO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烏野!$G$57:$K$57</c:f>
              <c:numCache>
                <c:formatCode>General</c:formatCode>
                <c:ptCount val="5"/>
                <c:pt idx="0">
                  <c:v>106.74489749999999</c:v>
                </c:pt>
                <c:pt idx="1">
                  <c:v>99.526673900000006</c:v>
                </c:pt>
                <c:pt idx="2">
                  <c:v>100</c:v>
                </c:pt>
                <c:pt idx="3">
                  <c:v>97.002267779999997</c:v>
                </c:pt>
                <c:pt idx="4">
                  <c:v>106.1828227</c:v>
                </c:pt>
              </c:numCache>
            </c:numRef>
          </c:val>
          <c:extLst>
            <c:ext xmlns:c16="http://schemas.microsoft.com/office/drawing/2014/chart" uri="{C3380CC4-5D6E-409C-BE32-E72D297353CC}">
              <c16:uniqueId val="{0000002B-9366-4882-B2A0-06CC30D458A8}"/>
            </c:ext>
          </c:extLst>
        </c:ser>
        <c:ser>
          <c:idx val="56"/>
          <c:order val="56"/>
          <c:tx>
            <c:strRef>
              <c:f>烏野!$F$58</c:f>
              <c:strCache>
                <c:ptCount val="1"/>
                <c:pt idx="0">
                  <c:v>焼き芋月島蛍ICO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烏野!$G$58:$K$58</c:f>
              <c:numCache>
                <c:formatCode>General</c:formatCode>
                <c:ptCount val="5"/>
                <c:pt idx="0">
                  <c:v>99.386827499999995</c:v>
                </c:pt>
                <c:pt idx="1">
                  <c:v>100</c:v>
                </c:pt>
                <c:pt idx="2">
                  <c:v>101.1241496</c:v>
                </c:pt>
                <c:pt idx="3">
                  <c:v>100</c:v>
                </c:pt>
                <c:pt idx="4">
                  <c:v>114.05186980000001</c:v>
                </c:pt>
              </c:numCache>
            </c:numRef>
          </c:val>
          <c:extLst>
            <c:ext xmlns:c16="http://schemas.microsoft.com/office/drawing/2014/chart" uri="{C3380CC4-5D6E-409C-BE32-E72D297353CC}">
              <c16:uniqueId val="{0000002C-9366-4882-B2A0-06CC30D458A8}"/>
            </c:ext>
          </c:extLst>
        </c:ser>
        <c:ser>
          <c:idx val="57"/>
          <c:order val="57"/>
          <c:tx>
            <c:strRef>
              <c:f>烏野!$F$59</c:f>
              <c:strCache>
                <c:ptCount val="1"/>
                <c:pt idx="0">
                  <c:v>焼き芋山口忠ICO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烏野!$G$59:$K$59</c:f>
              <c:numCache>
                <c:formatCode>General</c:formatCode>
                <c:ptCount val="5"/>
                <c:pt idx="0">
                  <c:v>95.707792499999996</c:v>
                </c:pt>
                <c:pt idx="1">
                  <c:v>106.626566</c:v>
                </c:pt>
                <c:pt idx="2">
                  <c:v>105.6207479</c:v>
                </c:pt>
                <c:pt idx="3">
                  <c:v>105.24603140000001</c:v>
                </c:pt>
                <c:pt idx="4">
                  <c:v>101.1241496</c:v>
                </c:pt>
              </c:numCache>
            </c:numRef>
          </c:val>
          <c:extLst>
            <c:ext xmlns:c16="http://schemas.microsoft.com/office/drawing/2014/chart" uri="{C3380CC4-5D6E-409C-BE32-E72D297353CC}">
              <c16:uniqueId val="{0000002D-9366-4882-B2A0-06CC30D458A8}"/>
            </c:ext>
          </c:extLst>
        </c:ser>
        <c:ser>
          <c:idx val="58"/>
          <c:order val="58"/>
          <c:tx>
            <c:strRef>
              <c:f>烏野!$F$60</c:f>
              <c:strCache>
                <c:ptCount val="1"/>
                <c:pt idx="0">
                  <c:v>ハロウィン日向翔陽ICO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烏野!$G$60:$K$60</c:f>
              <c:numCache>
                <c:formatCode>General</c:formatCode>
                <c:ptCount val="5"/>
                <c:pt idx="0">
                  <c:v>98.773655000000005</c:v>
                </c:pt>
                <c:pt idx="1">
                  <c:v>93.373434040000006</c:v>
                </c:pt>
                <c:pt idx="2">
                  <c:v>100</c:v>
                </c:pt>
                <c:pt idx="3">
                  <c:v>108.24376359999999</c:v>
                </c:pt>
                <c:pt idx="4">
                  <c:v>116.300169</c:v>
                </c:pt>
              </c:numCache>
            </c:numRef>
          </c:val>
          <c:extLst>
            <c:ext xmlns:c16="http://schemas.microsoft.com/office/drawing/2014/chart" uri="{C3380CC4-5D6E-409C-BE32-E72D297353CC}">
              <c16:uniqueId val="{0000002E-9366-4882-B2A0-06CC30D458A8}"/>
            </c:ext>
          </c:extLst>
        </c:ser>
        <c:ser>
          <c:idx val="59"/>
          <c:order val="59"/>
          <c:tx>
            <c:strRef>
              <c:f>烏野!$F$61</c:f>
              <c:strCache>
                <c:ptCount val="1"/>
                <c:pt idx="0">
                  <c:v>ハロウィン西谷夕ICO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烏野!$G$61:$K$61</c:f>
              <c:numCache>
                <c:formatCode>General</c:formatCode>
                <c:ptCount val="5"/>
                <c:pt idx="0">
                  <c:v>100.6131725</c:v>
                </c:pt>
                <c:pt idx="1">
                  <c:v>100</c:v>
                </c:pt>
                <c:pt idx="2">
                  <c:v>113.489795</c:v>
                </c:pt>
                <c:pt idx="3">
                  <c:v>126.2301569</c:v>
                </c:pt>
                <c:pt idx="4">
                  <c:v>97.751700830000004</c:v>
                </c:pt>
              </c:numCache>
            </c:numRef>
          </c:val>
          <c:extLst>
            <c:ext xmlns:c16="http://schemas.microsoft.com/office/drawing/2014/chart" uri="{C3380CC4-5D6E-409C-BE32-E72D297353CC}">
              <c16:uniqueId val="{0000002F-9366-4882-B2A0-06CC30D458A8}"/>
            </c:ext>
          </c:extLst>
        </c:ser>
        <c:ser>
          <c:idx val="60"/>
          <c:order val="60"/>
          <c:tx>
            <c:strRef>
              <c:f>烏野!$F$62</c:f>
              <c:strCache>
                <c:ptCount val="1"/>
                <c:pt idx="0">
                  <c:v>文化祭3影山飛雄ICO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烏野!$G$62:$K$62</c:f>
              <c:numCache>
                <c:formatCode>General</c:formatCode>
                <c:ptCount val="5"/>
                <c:pt idx="0">
                  <c:v>104.2922075</c:v>
                </c:pt>
                <c:pt idx="1">
                  <c:v>110.4131751</c:v>
                </c:pt>
                <c:pt idx="2">
                  <c:v>126.97959</c:v>
                </c:pt>
                <c:pt idx="3">
                  <c:v>102.9977322</c:v>
                </c:pt>
                <c:pt idx="4">
                  <c:v>100.5620748</c:v>
                </c:pt>
              </c:numCache>
            </c:numRef>
          </c:val>
          <c:extLst>
            <c:ext xmlns:c16="http://schemas.microsoft.com/office/drawing/2014/chart" uri="{C3380CC4-5D6E-409C-BE32-E72D297353CC}">
              <c16:uniqueId val="{00000030-9366-4882-B2A0-06CC30D458A8}"/>
            </c:ext>
          </c:extLst>
        </c:ser>
        <c:ser>
          <c:idx val="61"/>
          <c:order val="61"/>
          <c:tx>
            <c:strRef>
              <c:f>烏野!$F$63</c:f>
              <c:strCache>
                <c:ptCount val="1"/>
                <c:pt idx="0">
                  <c:v>Xmas3田中龍之介ICO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烏野!$G$63:$K$63</c:f>
              <c:numCache>
                <c:formatCode>General</c:formatCode>
                <c:ptCount val="5"/>
                <c:pt idx="0">
                  <c:v>103.06586249999999</c:v>
                </c:pt>
                <c:pt idx="1">
                  <c:v>95.740064739999994</c:v>
                </c:pt>
                <c:pt idx="2">
                  <c:v>98.875850420000006</c:v>
                </c:pt>
                <c:pt idx="3">
                  <c:v>100.7494331</c:v>
                </c:pt>
                <c:pt idx="4">
                  <c:v>102.24829920000001</c:v>
                </c:pt>
              </c:numCache>
            </c:numRef>
          </c:val>
          <c:extLst>
            <c:ext xmlns:c16="http://schemas.microsoft.com/office/drawing/2014/chart" uri="{C3380CC4-5D6E-409C-BE32-E72D297353CC}">
              <c16:uniqueId val="{00000031-9366-4882-B2A0-06CC30D458A8}"/>
            </c:ext>
          </c:extLst>
        </c:ser>
        <c:ser>
          <c:idx val="62"/>
          <c:order val="62"/>
          <c:tx>
            <c:strRef>
              <c:f>烏野!$F$64</c:f>
              <c:strCache>
                <c:ptCount val="1"/>
                <c:pt idx="0">
                  <c:v>Xmas3澤村大地ICO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烏野!$G$64:$K$64</c:f>
              <c:numCache>
                <c:formatCode>General</c:formatCode>
                <c:ptCount val="5"/>
                <c:pt idx="0">
                  <c:v>101.22634499999999</c:v>
                </c:pt>
                <c:pt idx="1">
                  <c:v>104.2599353</c:v>
                </c:pt>
                <c:pt idx="2">
                  <c:v>102.24829920000001</c:v>
                </c:pt>
                <c:pt idx="3">
                  <c:v>111.2414958</c:v>
                </c:pt>
                <c:pt idx="4">
                  <c:v>99.437925210000003</c:v>
                </c:pt>
              </c:numCache>
            </c:numRef>
          </c:val>
          <c:extLst>
            <c:ext xmlns:c16="http://schemas.microsoft.com/office/drawing/2014/chart" uri="{C3380CC4-5D6E-409C-BE32-E72D297353CC}">
              <c16:uniqueId val="{00000032-9366-4882-B2A0-06CC30D458A8}"/>
            </c:ext>
          </c:extLst>
        </c:ser>
        <c:ser>
          <c:idx val="63"/>
          <c:order val="63"/>
          <c:tx>
            <c:strRef>
              <c:f>烏野!$F$65</c:f>
              <c:strCache>
                <c:ptCount val="1"/>
                <c:pt idx="0">
                  <c:v>寝正月月島蛍ICO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烏野!$G$65:$K$65</c:f>
              <c:numCache>
                <c:formatCode>General</c:formatCode>
                <c:ptCount val="5"/>
                <c:pt idx="0">
                  <c:v>100.6131725</c:v>
                </c:pt>
                <c:pt idx="1">
                  <c:v>100</c:v>
                </c:pt>
                <c:pt idx="2">
                  <c:v>101.1241496</c:v>
                </c:pt>
                <c:pt idx="3">
                  <c:v>100</c:v>
                </c:pt>
                <c:pt idx="4">
                  <c:v>112.9277202</c:v>
                </c:pt>
              </c:numCache>
            </c:numRef>
          </c:val>
          <c:extLst>
            <c:ext xmlns:c16="http://schemas.microsoft.com/office/drawing/2014/chart" uri="{C3380CC4-5D6E-409C-BE32-E72D297353CC}">
              <c16:uniqueId val="{00000033-9366-4882-B2A0-06CC30D458A8}"/>
            </c:ext>
          </c:extLst>
        </c:ser>
        <c:ser>
          <c:idx val="64"/>
          <c:order val="64"/>
          <c:tx>
            <c:strRef>
              <c:f>烏野!$F$66</c:f>
              <c:strCache>
                <c:ptCount val="1"/>
                <c:pt idx="0">
                  <c:v>和装体験日向翔陽ICO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烏野!$G$66:$K$66</c:f>
              <c:numCache>
                <c:formatCode>General</c:formatCode>
                <c:ptCount val="5"/>
                <c:pt idx="0">
                  <c:v>100</c:v>
                </c:pt>
                <c:pt idx="1">
                  <c:v>93.373434040000006</c:v>
                </c:pt>
                <c:pt idx="2">
                  <c:v>100</c:v>
                </c:pt>
                <c:pt idx="3">
                  <c:v>108.24376359999999</c:v>
                </c:pt>
                <c:pt idx="4">
                  <c:v>115.73809420000001</c:v>
                </c:pt>
              </c:numCache>
            </c:numRef>
          </c:val>
          <c:extLst>
            <c:ext xmlns:c16="http://schemas.microsoft.com/office/drawing/2014/chart" uri="{C3380CC4-5D6E-409C-BE32-E72D297353CC}">
              <c16:uniqueId val="{00000034-9366-4882-B2A0-06CC30D458A8}"/>
            </c:ext>
          </c:extLst>
        </c:ser>
        <c:ser>
          <c:idx val="65"/>
          <c:order val="65"/>
          <c:tx>
            <c:strRef>
              <c:f>烏野!$F$67</c:f>
              <c:strCache>
                <c:ptCount val="1"/>
                <c:pt idx="0">
                  <c:v>和装体験東峰旭ICO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烏野!$G$67:$K$67</c:f>
              <c:numCache>
                <c:formatCode>General</c:formatCode>
                <c:ptCount val="5"/>
                <c:pt idx="0">
                  <c:v>107.35807</c:v>
                </c:pt>
                <c:pt idx="1">
                  <c:v>99.526673900000006</c:v>
                </c:pt>
                <c:pt idx="2">
                  <c:v>100</c:v>
                </c:pt>
                <c:pt idx="3">
                  <c:v>98.501133890000006</c:v>
                </c:pt>
                <c:pt idx="4">
                  <c:v>105.05867309999999</c:v>
                </c:pt>
              </c:numCache>
            </c:numRef>
          </c:val>
          <c:extLst>
            <c:ext xmlns:c16="http://schemas.microsoft.com/office/drawing/2014/chart" uri="{C3380CC4-5D6E-409C-BE32-E72D297353CC}">
              <c16:uniqueId val="{00000000-659D-476B-8CCB-73CEEE577248}"/>
            </c:ext>
          </c:extLst>
        </c:ser>
        <c:ser>
          <c:idx val="66"/>
          <c:order val="66"/>
          <c:tx>
            <c:strRef>
              <c:f>烏野!$F$68</c:f>
              <c:strCache>
                <c:ptCount val="1"/>
                <c:pt idx="0">
                  <c:v>格ゲー日向翔陽ICO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烏野!$G$68:$K$68</c:f>
              <c:numCache>
                <c:formatCode>General</c:formatCode>
                <c:ptCount val="5"/>
                <c:pt idx="0">
                  <c:v>99.386827499999995</c:v>
                </c:pt>
                <c:pt idx="1">
                  <c:v>94.320086320000001</c:v>
                </c:pt>
                <c:pt idx="2">
                  <c:v>101.1241496</c:v>
                </c:pt>
                <c:pt idx="3">
                  <c:v>109.74262969999999</c:v>
                </c:pt>
                <c:pt idx="4">
                  <c:v>118.54846809999999</c:v>
                </c:pt>
              </c:numCache>
            </c:numRef>
          </c:val>
          <c:extLst>
            <c:ext xmlns:c16="http://schemas.microsoft.com/office/drawing/2014/chart" uri="{C3380CC4-5D6E-409C-BE32-E72D297353CC}">
              <c16:uniqueId val="{00000000-05C9-46E6-82A6-57CD3C541390}"/>
            </c:ext>
          </c:extLst>
        </c:ser>
        <c:ser>
          <c:idx val="67"/>
          <c:order val="67"/>
          <c:tx>
            <c:strRef>
              <c:f>烏野!$F$69</c:f>
              <c:strCache>
                <c:ptCount val="1"/>
                <c:pt idx="0">
                  <c:v>格ゲー影山飛雄ICO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烏野!$G$69:$K$69</c:f>
              <c:numCache>
                <c:formatCode>General</c:formatCode>
                <c:ptCount val="5"/>
                <c:pt idx="0">
                  <c:v>104.2922075</c:v>
                </c:pt>
                <c:pt idx="1">
                  <c:v>111.3598274</c:v>
                </c:pt>
                <c:pt idx="2">
                  <c:v>124.7312908</c:v>
                </c:pt>
                <c:pt idx="3">
                  <c:v>104.4965983</c:v>
                </c:pt>
                <c:pt idx="4">
                  <c:v>100.5620748</c:v>
                </c:pt>
              </c:numCache>
            </c:numRef>
          </c:val>
          <c:extLst>
            <c:ext xmlns:c16="http://schemas.microsoft.com/office/drawing/2014/chart" uri="{C3380CC4-5D6E-409C-BE32-E72D297353CC}">
              <c16:uniqueId val="{00000000-E226-48EF-A9D3-FCADBEF92689}"/>
            </c:ext>
          </c:extLst>
        </c:ser>
        <c:ser>
          <c:idx val="68"/>
          <c:order val="68"/>
          <c:tx>
            <c:strRef>
              <c:f>烏野!$F$70</c:f>
              <c:strCache>
                <c:ptCount val="1"/>
                <c:pt idx="0">
                  <c:v>格ゲー清水潔子ICO</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烏野!$G$70:$K$70</c:f>
              <c:numCache>
                <c:formatCode>General</c:formatCode>
                <c:ptCount val="5"/>
                <c:pt idx="0">
                  <c:v>101.22634499999999</c:v>
                </c:pt>
                <c:pt idx="1">
                  <c:v>103.78660910000001</c:v>
                </c:pt>
                <c:pt idx="2">
                  <c:v>116.8622438</c:v>
                </c:pt>
                <c:pt idx="3">
                  <c:v>97.002267779999997</c:v>
                </c:pt>
                <c:pt idx="4">
                  <c:v>94.941326880000005</c:v>
                </c:pt>
              </c:numCache>
            </c:numRef>
          </c:val>
          <c:extLst>
            <c:ext xmlns:c16="http://schemas.microsoft.com/office/drawing/2014/chart" uri="{C3380CC4-5D6E-409C-BE32-E72D297353CC}">
              <c16:uniqueId val="{00000000-25D1-4C19-8A3F-BA813DA27CF5}"/>
            </c:ext>
          </c:extLst>
        </c:ser>
        <c:ser>
          <c:idx val="69"/>
          <c:order val="69"/>
          <c:tx>
            <c:strRef>
              <c:f>烏野!$F$71</c:f>
              <c:strCache>
                <c:ptCount val="1"/>
                <c:pt idx="0">
                  <c:v>格ゲー谷地仁花ICO</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烏野!$G$71:$K$71</c:f>
              <c:numCache>
                <c:formatCode>General</c:formatCode>
                <c:ptCount val="5"/>
                <c:pt idx="0">
                  <c:v>95.094620000000006</c:v>
                </c:pt>
                <c:pt idx="1">
                  <c:v>90.533477189999999</c:v>
                </c:pt>
                <c:pt idx="2">
                  <c:v>95.503401670000002</c:v>
                </c:pt>
                <c:pt idx="3">
                  <c:v>101.4988661</c:v>
                </c:pt>
                <c:pt idx="4">
                  <c:v>109.5552715</c:v>
                </c:pt>
              </c:numCache>
            </c:numRef>
          </c:val>
          <c:extLst>
            <c:ext xmlns:c16="http://schemas.microsoft.com/office/drawing/2014/chart" uri="{C3380CC4-5D6E-409C-BE32-E72D297353CC}">
              <c16:uniqueId val="{00000000-7EC9-41E1-8AFB-0AE0ACBD9B78}"/>
            </c:ext>
          </c:extLst>
        </c:ser>
        <c:ser>
          <c:idx val="70"/>
          <c:order val="70"/>
          <c:tx>
            <c:strRef>
              <c:f>烏野!$F$72</c:f>
              <c:strCache>
                <c:ptCount val="1"/>
                <c:pt idx="0">
                  <c:v>思い出月島蛍ICO</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烏野!$G$72:$K$72</c:f>
              <c:numCache>
                <c:formatCode>General</c:formatCode>
                <c:ptCount val="5"/>
                <c:pt idx="0">
                  <c:v>101.8395175</c:v>
                </c:pt>
                <c:pt idx="1">
                  <c:v>101.41997840000001</c:v>
                </c:pt>
                <c:pt idx="2">
                  <c:v>102.24829920000001</c:v>
                </c:pt>
                <c:pt idx="3">
                  <c:v>101.4988661</c:v>
                </c:pt>
                <c:pt idx="4">
                  <c:v>114.05186980000001</c:v>
                </c:pt>
              </c:numCache>
            </c:numRef>
          </c:val>
          <c:extLst>
            <c:ext xmlns:c16="http://schemas.microsoft.com/office/drawing/2014/chart" uri="{C3380CC4-5D6E-409C-BE32-E72D297353CC}">
              <c16:uniqueId val="{00000000-5806-4E5E-9AA1-943E0CF65D63}"/>
            </c:ext>
          </c:extLst>
        </c:ser>
        <c:ser>
          <c:idx val="71"/>
          <c:order val="71"/>
          <c:tx>
            <c:strRef>
              <c:f>烏野!$F$73</c:f>
              <c:strCache>
                <c:ptCount val="1"/>
                <c:pt idx="0">
                  <c:v>思い出山口忠ICO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烏野!$G$73:$K$73</c:f>
              <c:numCache>
                <c:formatCode>General</c:formatCode>
                <c:ptCount val="5"/>
                <c:pt idx="0">
                  <c:v>96.320965000000001</c:v>
                </c:pt>
                <c:pt idx="1">
                  <c:v>108.5198705</c:v>
                </c:pt>
                <c:pt idx="2">
                  <c:v>106.74489749999999</c:v>
                </c:pt>
                <c:pt idx="3">
                  <c:v>106.74489749999999</c:v>
                </c:pt>
                <c:pt idx="4">
                  <c:v>102.24829920000001</c:v>
                </c:pt>
              </c:numCache>
            </c:numRef>
          </c:val>
          <c:extLst>
            <c:ext xmlns:c16="http://schemas.microsoft.com/office/drawing/2014/chart" uri="{C3380CC4-5D6E-409C-BE32-E72D297353CC}">
              <c16:uniqueId val="{00000000-EAD7-4E4F-A3D9-AB81529E460C}"/>
            </c:ext>
          </c:extLst>
        </c:ser>
        <c:ser>
          <c:idx val="72"/>
          <c:order val="72"/>
          <c:tx>
            <c:strRef>
              <c:f>烏野!$F$74</c:f>
              <c:strCache>
                <c:ptCount val="1"/>
                <c:pt idx="0">
                  <c:v>思い出西谷夕ICO</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烏野!$G$74:$K$74</c:f>
              <c:numCache>
                <c:formatCode>General</c:formatCode>
                <c:ptCount val="5"/>
                <c:pt idx="0">
                  <c:v>101.22634499999999</c:v>
                </c:pt>
                <c:pt idx="1">
                  <c:v>100.9466523</c:v>
                </c:pt>
                <c:pt idx="2">
                  <c:v>114.6139446</c:v>
                </c:pt>
                <c:pt idx="3">
                  <c:v>129.22788919999999</c:v>
                </c:pt>
                <c:pt idx="4">
                  <c:v>98.875850420000006</c:v>
                </c:pt>
              </c:numCache>
            </c:numRef>
          </c:val>
          <c:extLst>
            <c:ext xmlns:c16="http://schemas.microsoft.com/office/drawing/2014/chart" uri="{C3380CC4-5D6E-409C-BE32-E72D297353CC}">
              <c16:uniqueId val="{00000000-BB70-4931-9EC4-AFC0FE797D7D}"/>
            </c:ext>
          </c:extLst>
        </c:ser>
        <c:ser>
          <c:idx val="73"/>
          <c:order val="73"/>
          <c:tx>
            <c:strRef>
              <c:f>烏野!$F$75</c:f>
              <c:strCache>
                <c:ptCount val="1"/>
                <c:pt idx="0">
                  <c:v>夏祭り日向翔陽ICO</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烏野!$G$75:$K$75</c:f>
              <c:numCache>
                <c:formatCode>General</c:formatCode>
                <c:ptCount val="5"/>
                <c:pt idx="0">
                  <c:v>96.320965000000001</c:v>
                </c:pt>
                <c:pt idx="1">
                  <c:v>90.533477189999999</c:v>
                </c:pt>
                <c:pt idx="2">
                  <c:v>95.503401670000002</c:v>
                </c:pt>
                <c:pt idx="3">
                  <c:v>105.9954644</c:v>
                </c:pt>
                <c:pt idx="4">
                  <c:v>114.05186980000001</c:v>
                </c:pt>
              </c:numCache>
            </c:numRef>
          </c:val>
          <c:extLst>
            <c:ext xmlns:c16="http://schemas.microsoft.com/office/drawing/2014/chart" uri="{C3380CC4-5D6E-409C-BE32-E72D297353CC}">
              <c16:uniqueId val="{00000000-25C6-4554-8D4C-9BA364A944B0}"/>
            </c:ext>
          </c:extLst>
        </c:ser>
        <c:ser>
          <c:idx val="74"/>
          <c:order val="74"/>
          <c:tx>
            <c:strRef>
              <c:f>烏野!$F$76</c:f>
              <c:strCache>
                <c:ptCount val="1"/>
                <c:pt idx="0">
                  <c:v>夏祭り影山飛雄ICO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烏野!$G$76:$K$76</c:f>
              <c:numCache>
                <c:formatCode>General</c:formatCode>
                <c:ptCount val="5"/>
                <c:pt idx="0">
                  <c:v>101.22634499999999</c:v>
                </c:pt>
                <c:pt idx="1">
                  <c:v>107.5732182</c:v>
                </c:pt>
                <c:pt idx="2">
                  <c:v>119.1105429</c:v>
                </c:pt>
                <c:pt idx="3">
                  <c:v>101.4988661</c:v>
                </c:pt>
                <c:pt idx="4">
                  <c:v>94.941326880000005</c:v>
                </c:pt>
              </c:numCache>
            </c:numRef>
          </c:val>
          <c:extLst>
            <c:ext xmlns:c16="http://schemas.microsoft.com/office/drawing/2014/chart" uri="{C3380CC4-5D6E-409C-BE32-E72D297353CC}">
              <c16:uniqueId val="{00000000-A9B4-453B-B41C-71D531E5F0C8}"/>
            </c:ext>
          </c:extLst>
        </c:ser>
        <c:ser>
          <c:idx val="75"/>
          <c:order val="75"/>
          <c:tx>
            <c:strRef>
              <c:f>烏野!$F$77</c:f>
              <c:strCache>
                <c:ptCount val="1"/>
                <c:pt idx="0">
                  <c:v>探偵縁下力ICO</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烏野!$G$77:$K$77</c:f>
              <c:numCache>
                <c:formatCode>General</c:formatCode>
                <c:ptCount val="5"/>
                <c:pt idx="0">
                  <c:v>96.320965000000001</c:v>
                </c:pt>
                <c:pt idx="1">
                  <c:v>98.580021579999993</c:v>
                </c:pt>
                <c:pt idx="2">
                  <c:v>97.751700830000004</c:v>
                </c:pt>
                <c:pt idx="3">
                  <c:v>99.250566939999999</c:v>
                </c:pt>
                <c:pt idx="4">
                  <c:v>96.627551249999996</c:v>
                </c:pt>
              </c:numCache>
            </c:numRef>
          </c:val>
          <c:extLst>
            <c:ext xmlns:c16="http://schemas.microsoft.com/office/drawing/2014/chart" uri="{C3380CC4-5D6E-409C-BE32-E72D297353CC}">
              <c16:uniqueId val="{00000000-0B24-4C4F-BA64-50149771C785}"/>
            </c:ext>
          </c:extLst>
        </c:ser>
        <c:ser>
          <c:idx val="76"/>
          <c:order val="76"/>
          <c:tx>
            <c:strRef>
              <c:f>烏野!$F$78</c:f>
              <c:strCache>
                <c:ptCount val="1"/>
                <c:pt idx="0">
                  <c:v>職業体験月島蛍ICO</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烏野!$G$78:$K$78</c:f>
              <c:numCache>
                <c:formatCode>General</c:formatCode>
                <c:ptCount val="5"/>
                <c:pt idx="0">
                  <c:v>98.773655000000005</c:v>
                </c:pt>
                <c:pt idx="1">
                  <c:v>99.526673900000006</c:v>
                </c:pt>
                <c:pt idx="2">
                  <c:v>97.751700830000004</c:v>
                </c:pt>
                <c:pt idx="3">
                  <c:v>93.255102500000007</c:v>
                </c:pt>
                <c:pt idx="4">
                  <c:v>105.05867309999999</c:v>
                </c:pt>
              </c:numCache>
            </c:numRef>
          </c:val>
          <c:extLst>
            <c:ext xmlns:c16="http://schemas.microsoft.com/office/drawing/2014/chart" uri="{C3380CC4-5D6E-409C-BE32-E72D297353CC}">
              <c16:uniqueId val="{00000000-CC6F-46B0-99D7-3410C4FE322A}"/>
            </c:ext>
          </c:extLst>
        </c:ser>
        <c:ser>
          <c:idx val="77"/>
          <c:order val="77"/>
          <c:tx>
            <c:strRef>
              <c:f>烏野!$F$79</c:f>
              <c:strCache>
                <c:ptCount val="1"/>
                <c:pt idx="0">
                  <c:v>文化祭澤村大地ICO</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烏野!$G$79:$K$79</c:f>
              <c:numCache>
                <c:formatCode>General</c:formatCode>
                <c:ptCount val="5"/>
                <c:pt idx="0">
                  <c:v>101.8395175</c:v>
                </c:pt>
                <c:pt idx="1">
                  <c:v>99.526673900000006</c:v>
                </c:pt>
                <c:pt idx="2">
                  <c:v>102.24829920000001</c:v>
                </c:pt>
                <c:pt idx="3">
                  <c:v>108.24376359999999</c:v>
                </c:pt>
                <c:pt idx="4">
                  <c:v>100</c:v>
                </c:pt>
              </c:numCache>
            </c:numRef>
          </c:val>
          <c:extLst>
            <c:ext xmlns:c16="http://schemas.microsoft.com/office/drawing/2014/chart" uri="{C3380CC4-5D6E-409C-BE32-E72D297353CC}">
              <c16:uniqueId val="{00000001-CC6F-46B0-99D7-3410C4FE322A}"/>
            </c:ext>
          </c:extLst>
        </c:ser>
        <c:ser>
          <c:idx val="78"/>
          <c:order val="78"/>
          <c:tx>
            <c:strRef>
              <c:f>烏野!$F$80</c:f>
              <c:strCache>
                <c:ptCount val="1"/>
                <c:pt idx="0">
                  <c:v>文化祭菅原考支ICO</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烏野!$G$1:$K$1</c:f>
              <c:strCache>
                <c:ptCount val="5"/>
                <c:pt idx="0">
                  <c:v>Q_RZS.AttackVal</c:v>
                </c:pt>
                <c:pt idx="1">
                  <c:v>Q_RZS.ServeVal</c:v>
                </c:pt>
                <c:pt idx="2">
                  <c:v>Q_RZS.TossVal</c:v>
                </c:pt>
                <c:pt idx="3">
                  <c:v>Q_RZS.ReceiveVal</c:v>
                </c:pt>
                <c:pt idx="4">
                  <c:v>Q_RZS.BlockVal</c:v>
                </c:pt>
              </c:strCache>
            </c:strRef>
          </c:cat>
          <c:val>
            <c:numRef>
              <c:f>烏野!$G$80:$K$80</c:f>
              <c:numCache>
                <c:formatCode>General</c:formatCode>
                <c:ptCount val="5"/>
                <c:pt idx="0">
                  <c:v>96.934137500000006</c:v>
                </c:pt>
                <c:pt idx="1">
                  <c:v>103.78660910000001</c:v>
                </c:pt>
                <c:pt idx="2">
                  <c:v>112.36564540000001</c:v>
                </c:pt>
                <c:pt idx="3">
                  <c:v>98.501133890000006</c:v>
                </c:pt>
                <c:pt idx="4">
                  <c:v>95.503401670000002</c:v>
                </c:pt>
              </c:numCache>
            </c:numRef>
          </c:val>
          <c:extLst>
            <c:ext xmlns:c16="http://schemas.microsoft.com/office/drawing/2014/chart" uri="{C3380CC4-5D6E-409C-BE32-E72D297353CC}">
              <c16:uniqueId val="{00000000-20B3-4DA2-B207-96AE1273DB4C}"/>
            </c:ext>
          </c:extLst>
        </c:ser>
        <c:dLbls>
          <c:showLegendKey val="0"/>
          <c:showVal val="0"/>
          <c:showCatName val="0"/>
          <c:showSerName val="0"/>
          <c:showPercent val="0"/>
          <c:showBubbleSize val="0"/>
        </c:dLbls>
        <c:axId val="1721965728"/>
        <c:axId val="1721966208"/>
        <c:extLst/>
      </c:radarChart>
      <c:catAx>
        <c:axId val="1721965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21966208"/>
        <c:crosses val="autoZero"/>
        <c:auto val="1"/>
        <c:lblAlgn val="ctr"/>
        <c:lblOffset val="100"/>
        <c:noMultiLvlLbl val="0"/>
      </c:catAx>
      <c:valAx>
        <c:axId val="1721966208"/>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21965728"/>
        <c:crosses val="autoZero"/>
        <c:crossBetween val="between"/>
        <c:majorUnit val="10"/>
        <c:minorUnit val="5"/>
      </c:valAx>
      <c:spPr>
        <a:noFill/>
        <a:ln>
          <a:noFill/>
        </a:ln>
        <a:effectLst/>
      </c:spPr>
    </c:plotArea>
    <c:legend>
      <c:legendPos val="t"/>
      <c:layout>
        <c:manualLayout>
          <c:xMode val="edge"/>
          <c:yMode val="edge"/>
          <c:x val="0.58547381467391291"/>
          <c:y val="8.5750201987044611E-2"/>
          <c:w val="0.41452619322741119"/>
          <c:h val="0.9142498162940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音駒</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7.3250983364982619E-2"/>
          <c:y val="0.1737855459137583"/>
          <c:w val="0.3841006172773041"/>
          <c:h val="0.80392966993342663"/>
        </c:manualLayout>
      </c:layout>
      <c:radarChart>
        <c:radarStyle val="marker"/>
        <c:varyColors val="0"/>
        <c:ser>
          <c:idx val="0"/>
          <c:order val="0"/>
          <c:tx>
            <c:strRef>
              <c:f>音駒!$F$2</c:f>
              <c:strCache>
                <c:ptCount val="1"/>
                <c:pt idx="0">
                  <c:v>孤爪研磨ICO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音駒!$G$2:$K$2</c:f>
              <c:numCache>
                <c:formatCode>General</c:formatCode>
                <c:ptCount val="5"/>
                <c:pt idx="0">
                  <c:v>95.707792499999996</c:v>
                </c:pt>
                <c:pt idx="1">
                  <c:v>101.89330459999999</c:v>
                </c:pt>
                <c:pt idx="2">
                  <c:v>113.489795</c:v>
                </c:pt>
                <c:pt idx="3">
                  <c:v>96.252834719999996</c:v>
                </c:pt>
                <c:pt idx="4">
                  <c:v>93.817177290000004</c:v>
                </c:pt>
              </c:numCache>
            </c:numRef>
          </c:val>
          <c:extLst>
            <c:ext xmlns:c16="http://schemas.microsoft.com/office/drawing/2014/chart" uri="{C3380CC4-5D6E-409C-BE32-E72D297353CC}">
              <c16:uniqueId val="{00000000-E2BE-494C-9902-3A6CED79BF46}"/>
            </c:ext>
          </c:extLst>
        </c:ser>
        <c:ser>
          <c:idx val="1"/>
          <c:order val="1"/>
          <c:tx>
            <c:strRef>
              <c:f>音駒!$F$3</c:f>
              <c:strCache>
                <c:ptCount val="1"/>
                <c:pt idx="0">
                  <c:v>黒尾鉄朗ICO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音駒!$G$3:$K$3</c:f>
              <c:numCache>
                <c:formatCode>General</c:formatCode>
                <c:ptCount val="5"/>
                <c:pt idx="0">
                  <c:v>103.679035</c:v>
                </c:pt>
                <c:pt idx="1">
                  <c:v>100</c:v>
                </c:pt>
                <c:pt idx="2">
                  <c:v>98.875850420000006</c:v>
                </c:pt>
                <c:pt idx="3">
                  <c:v>96.252834719999996</c:v>
                </c:pt>
                <c:pt idx="4">
                  <c:v>104.4965983</c:v>
                </c:pt>
              </c:numCache>
            </c:numRef>
          </c:val>
          <c:extLst xmlns:c15="http://schemas.microsoft.com/office/drawing/2012/chart">
            <c:ext xmlns:c16="http://schemas.microsoft.com/office/drawing/2014/chart" uri="{C3380CC4-5D6E-409C-BE32-E72D297353CC}">
              <c16:uniqueId val="{00000009-E2BE-494C-9902-3A6CED79BF46}"/>
            </c:ext>
          </c:extLst>
        </c:ser>
        <c:ser>
          <c:idx val="2"/>
          <c:order val="2"/>
          <c:tx>
            <c:strRef>
              <c:f>音駒!$F$4</c:f>
              <c:strCache>
                <c:ptCount val="1"/>
                <c:pt idx="0">
                  <c:v>灰羽リエーフICO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音駒!$G$4:$K$4</c:f>
              <c:numCache>
                <c:formatCode>General</c:formatCode>
                <c:ptCount val="5"/>
                <c:pt idx="0">
                  <c:v>95.707792499999996</c:v>
                </c:pt>
                <c:pt idx="1">
                  <c:v>94.320086320000001</c:v>
                </c:pt>
                <c:pt idx="2">
                  <c:v>97.751700830000004</c:v>
                </c:pt>
                <c:pt idx="3">
                  <c:v>94.753968610000001</c:v>
                </c:pt>
                <c:pt idx="4">
                  <c:v>100.5620748</c:v>
                </c:pt>
              </c:numCache>
            </c:numRef>
          </c:val>
          <c:extLst xmlns:c15="http://schemas.microsoft.com/office/drawing/2012/chart">
            <c:ext xmlns:c16="http://schemas.microsoft.com/office/drawing/2014/chart" uri="{C3380CC4-5D6E-409C-BE32-E72D297353CC}">
              <c16:uniqueId val="{0000000A-E2BE-494C-9902-3A6CED79BF46}"/>
            </c:ext>
          </c:extLst>
        </c:ser>
        <c:ser>
          <c:idx val="3"/>
          <c:order val="3"/>
          <c:tx>
            <c:strRef>
              <c:f>音駒!$F$5</c:f>
              <c:strCache>
                <c:ptCount val="1"/>
                <c:pt idx="0">
                  <c:v>夜久衛輔ICO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音駒!$G$5:$K$5</c:f>
              <c:numCache>
                <c:formatCode>General</c:formatCode>
                <c:ptCount val="5"/>
                <c:pt idx="0">
                  <c:v>98.773655000000005</c:v>
                </c:pt>
                <c:pt idx="1">
                  <c:v>97.633369299999998</c:v>
                </c:pt>
                <c:pt idx="2">
                  <c:v>101.1241496</c:v>
                </c:pt>
                <c:pt idx="3">
                  <c:v>111.2414958</c:v>
                </c:pt>
                <c:pt idx="4">
                  <c:v>93.817177290000004</c:v>
                </c:pt>
              </c:numCache>
            </c:numRef>
          </c:val>
          <c:extLst xmlns:c15="http://schemas.microsoft.com/office/drawing/2012/chart">
            <c:ext xmlns:c16="http://schemas.microsoft.com/office/drawing/2014/chart" uri="{C3380CC4-5D6E-409C-BE32-E72D297353CC}">
              <c16:uniqueId val="{0000000B-E2BE-494C-9902-3A6CED79BF46}"/>
            </c:ext>
          </c:extLst>
        </c:ser>
        <c:ser>
          <c:idx val="4"/>
          <c:order val="4"/>
          <c:tx>
            <c:strRef>
              <c:f>音駒!$F$6</c:f>
              <c:strCache>
                <c:ptCount val="1"/>
                <c:pt idx="0">
                  <c:v>福永招平ICO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音駒!$G$6:$K$6</c:f>
              <c:numCache>
                <c:formatCode>General</c:formatCode>
                <c:ptCount val="5"/>
                <c:pt idx="0">
                  <c:v>95.707792499999996</c:v>
                </c:pt>
                <c:pt idx="1">
                  <c:v>92.426781750000004</c:v>
                </c:pt>
                <c:pt idx="2">
                  <c:v>98.875850420000006</c:v>
                </c:pt>
                <c:pt idx="3">
                  <c:v>95.503401670000002</c:v>
                </c:pt>
                <c:pt idx="4">
                  <c:v>96.065476459999999</c:v>
                </c:pt>
              </c:numCache>
            </c:numRef>
          </c:val>
          <c:extLst>
            <c:ext xmlns:c16="http://schemas.microsoft.com/office/drawing/2014/chart" uri="{C3380CC4-5D6E-409C-BE32-E72D297353CC}">
              <c16:uniqueId val="{00000001-E2BE-494C-9902-3A6CED79BF46}"/>
            </c:ext>
          </c:extLst>
        </c:ser>
        <c:ser>
          <c:idx val="5"/>
          <c:order val="5"/>
          <c:tx>
            <c:strRef>
              <c:f>音駒!$F$7</c:f>
              <c:strCache>
                <c:ptCount val="1"/>
                <c:pt idx="0">
                  <c:v>犬岡走ICO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音駒!$G$7:$K$7</c:f>
              <c:numCache>
                <c:formatCode>General</c:formatCode>
                <c:ptCount val="5"/>
                <c:pt idx="0">
                  <c:v>94.481447500000002</c:v>
                </c:pt>
                <c:pt idx="1">
                  <c:v>94.320086320000001</c:v>
                </c:pt>
                <c:pt idx="2">
                  <c:v>97.751700830000004</c:v>
                </c:pt>
                <c:pt idx="3">
                  <c:v>94.753968610000001</c:v>
                </c:pt>
                <c:pt idx="4">
                  <c:v>100</c:v>
                </c:pt>
              </c:numCache>
            </c:numRef>
          </c:val>
          <c:extLst xmlns:c15="http://schemas.microsoft.com/office/drawing/2012/chart">
            <c:ext xmlns:c16="http://schemas.microsoft.com/office/drawing/2014/chart" uri="{C3380CC4-5D6E-409C-BE32-E72D297353CC}">
              <c16:uniqueId val="{0000000C-E2BE-494C-9902-3A6CED79BF46}"/>
            </c:ext>
          </c:extLst>
        </c:ser>
        <c:ser>
          <c:idx val="6"/>
          <c:order val="6"/>
          <c:tx>
            <c:strRef>
              <c:f>音駒!$F$8</c:f>
              <c:strCache>
                <c:ptCount val="1"/>
                <c:pt idx="0">
                  <c:v>山本猛虎ICO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音駒!$G$8:$K$8</c:f>
              <c:numCache>
                <c:formatCode>General</c:formatCode>
                <c:ptCount val="5"/>
                <c:pt idx="0">
                  <c:v>101.8395175</c:v>
                </c:pt>
                <c:pt idx="1">
                  <c:v>100.9466523</c:v>
                </c:pt>
                <c:pt idx="2">
                  <c:v>98.875850420000006</c:v>
                </c:pt>
                <c:pt idx="3">
                  <c:v>95.503401670000002</c:v>
                </c:pt>
                <c:pt idx="4">
                  <c:v>96.065476459999999</c:v>
                </c:pt>
              </c:numCache>
            </c:numRef>
          </c:val>
          <c:extLst xmlns:c15="http://schemas.microsoft.com/office/drawing/2012/chart">
            <c:ext xmlns:c16="http://schemas.microsoft.com/office/drawing/2014/chart" uri="{C3380CC4-5D6E-409C-BE32-E72D297353CC}">
              <c16:uniqueId val="{0000000D-E2BE-494C-9902-3A6CED79BF46}"/>
            </c:ext>
          </c:extLst>
        </c:ser>
        <c:ser>
          <c:idx val="7"/>
          <c:order val="7"/>
          <c:tx>
            <c:strRef>
              <c:f>音駒!$F$9</c:f>
              <c:strCache>
                <c:ptCount val="1"/>
                <c:pt idx="0">
                  <c:v>芝山優生ICO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音駒!$G$9:$K$9</c:f>
              <c:numCache>
                <c:formatCode>General</c:formatCode>
                <c:ptCount val="5"/>
                <c:pt idx="0">
                  <c:v>94.481447500000002</c:v>
                </c:pt>
                <c:pt idx="1">
                  <c:v>93.373434040000006</c:v>
                </c:pt>
                <c:pt idx="2">
                  <c:v>97.751700830000004</c:v>
                </c:pt>
                <c:pt idx="3">
                  <c:v>104.4965983</c:v>
                </c:pt>
                <c:pt idx="4">
                  <c:v>95.503401670000002</c:v>
                </c:pt>
              </c:numCache>
            </c:numRef>
          </c:val>
          <c:extLst xmlns:c15="http://schemas.microsoft.com/office/drawing/2012/chart">
            <c:ext xmlns:c16="http://schemas.microsoft.com/office/drawing/2014/chart" uri="{C3380CC4-5D6E-409C-BE32-E72D297353CC}">
              <c16:uniqueId val="{0000000E-E2BE-494C-9902-3A6CED79BF46}"/>
            </c:ext>
          </c:extLst>
        </c:ser>
        <c:ser>
          <c:idx val="8"/>
          <c:order val="8"/>
          <c:tx>
            <c:strRef>
              <c:f>音駒!$F$10</c:f>
              <c:strCache>
                <c:ptCount val="1"/>
                <c:pt idx="0">
                  <c:v>海信之ICO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音駒!$G$10:$K$10</c:f>
              <c:numCache>
                <c:formatCode>General</c:formatCode>
                <c:ptCount val="5"/>
                <c:pt idx="0">
                  <c:v>102.45269</c:v>
                </c:pt>
                <c:pt idx="1">
                  <c:v>101.41997840000001</c:v>
                </c:pt>
                <c:pt idx="2">
                  <c:v>98.875850420000006</c:v>
                </c:pt>
                <c:pt idx="3">
                  <c:v>97.751700830000004</c:v>
                </c:pt>
                <c:pt idx="4">
                  <c:v>97.189626039999993</c:v>
                </c:pt>
              </c:numCache>
            </c:numRef>
          </c:val>
          <c:extLst xmlns:c15="http://schemas.microsoft.com/office/drawing/2012/chart">
            <c:ext xmlns:c16="http://schemas.microsoft.com/office/drawing/2014/chart" uri="{C3380CC4-5D6E-409C-BE32-E72D297353CC}">
              <c16:uniqueId val="{00000002-E2BE-494C-9902-3A6CED79BF46}"/>
            </c:ext>
          </c:extLst>
        </c:ser>
        <c:ser>
          <c:idx val="9"/>
          <c:order val="9"/>
          <c:tx>
            <c:strRef>
              <c:f>音駒!$F$11</c:f>
              <c:strCache>
                <c:ptCount val="1"/>
                <c:pt idx="0">
                  <c:v>手白球彦ICO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音駒!$G$11:$K$11</c:f>
              <c:numCache>
                <c:formatCode>General</c:formatCode>
                <c:ptCount val="5"/>
                <c:pt idx="0">
                  <c:v>93.255102500000007</c:v>
                </c:pt>
                <c:pt idx="1">
                  <c:v>98.580021579999993</c:v>
                </c:pt>
                <c:pt idx="2">
                  <c:v>105.6207479</c:v>
                </c:pt>
                <c:pt idx="3">
                  <c:v>97.002267779999997</c:v>
                </c:pt>
                <c:pt idx="4">
                  <c:v>94.379252080000001</c:v>
                </c:pt>
              </c:numCache>
            </c:numRef>
          </c:val>
          <c:extLst xmlns:c15="http://schemas.microsoft.com/office/drawing/2012/chart">
            <c:ext xmlns:c16="http://schemas.microsoft.com/office/drawing/2014/chart" uri="{C3380CC4-5D6E-409C-BE32-E72D297353CC}">
              <c16:uniqueId val="{0000000F-E2BE-494C-9902-3A6CED79BF46}"/>
            </c:ext>
          </c:extLst>
        </c:ser>
        <c:ser>
          <c:idx val="10"/>
          <c:order val="10"/>
          <c:tx>
            <c:strRef>
              <c:f>音駒!$F$12</c:f>
              <c:strCache>
                <c:ptCount val="1"/>
                <c:pt idx="0">
                  <c:v>新年犬岡走ICO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音駒!$G$12:$K$12</c:f>
              <c:numCache>
                <c:formatCode>General</c:formatCode>
                <c:ptCount val="5"/>
                <c:pt idx="0">
                  <c:v>96.320965000000001</c:v>
                </c:pt>
                <c:pt idx="1">
                  <c:v>95.266738599999996</c:v>
                </c:pt>
                <c:pt idx="2">
                  <c:v>98.875850420000006</c:v>
                </c:pt>
                <c:pt idx="3">
                  <c:v>96.252834719999996</c:v>
                </c:pt>
                <c:pt idx="4">
                  <c:v>103.3724488</c:v>
                </c:pt>
              </c:numCache>
            </c:numRef>
          </c:val>
          <c:extLst>
            <c:ext xmlns:c16="http://schemas.microsoft.com/office/drawing/2014/chart" uri="{C3380CC4-5D6E-409C-BE32-E72D297353CC}">
              <c16:uniqueId val="{00000000-6B1E-4004-A813-C6F5C84591F6}"/>
            </c:ext>
          </c:extLst>
        </c:ser>
        <c:ser>
          <c:idx val="11"/>
          <c:order val="11"/>
          <c:tx>
            <c:strRef>
              <c:f>音駒!$F$13</c:f>
              <c:strCache>
                <c:ptCount val="1"/>
                <c:pt idx="0">
                  <c:v>新年山本猛虎ICO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音駒!$G$13:$K$13</c:f>
              <c:numCache>
                <c:formatCode>General</c:formatCode>
                <c:ptCount val="5"/>
                <c:pt idx="0">
                  <c:v>103.679035</c:v>
                </c:pt>
                <c:pt idx="1">
                  <c:v>102.3666307</c:v>
                </c:pt>
                <c:pt idx="2">
                  <c:v>100</c:v>
                </c:pt>
                <c:pt idx="3">
                  <c:v>97.002267779999997</c:v>
                </c:pt>
                <c:pt idx="4">
                  <c:v>98.313775629999995</c:v>
                </c:pt>
              </c:numCache>
            </c:numRef>
          </c:val>
          <c:extLst>
            <c:ext xmlns:c16="http://schemas.microsoft.com/office/drawing/2014/chart" uri="{C3380CC4-5D6E-409C-BE32-E72D297353CC}">
              <c16:uniqueId val="{00000001-6B1E-4004-A813-C6F5C84591F6}"/>
            </c:ext>
          </c:extLst>
        </c:ser>
        <c:ser>
          <c:idx val="12"/>
          <c:order val="12"/>
          <c:tx>
            <c:strRef>
              <c:f>音駒!$F$14</c:f>
              <c:strCache>
                <c:ptCount val="1"/>
                <c:pt idx="0">
                  <c:v>1周年孤爪研磨ICO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音駒!$G$14:$K$14</c:f>
              <c:numCache>
                <c:formatCode>General</c:formatCode>
                <c:ptCount val="5"/>
                <c:pt idx="0">
                  <c:v>96.934137500000006</c:v>
                </c:pt>
                <c:pt idx="1">
                  <c:v>106.626566</c:v>
                </c:pt>
                <c:pt idx="2">
                  <c:v>120.23469249999999</c:v>
                </c:pt>
                <c:pt idx="3">
                  <c:v>97.751700830000004</c:v>
                </c:pt>
                <c:pt idx="4">
                  <c:v>96.065476459999999</c:v>
                </c:pt>
              </c:numCache>
            </c:numRef>
          </c:val>
          <c:extLst>
            <c:ext xmlns:c16="http://schemas.microsoft.com/office/drawing/2014/chart" uri="{C3380CC4-5D6E-409C-BE32-E72D297353CC}">
              <c16:uniqueId val="{00000002-6B1E-4004-A813-C6F5C84591F6}"/>
            </c:ext>
          </c:extLst>
        </c:ser>
        <c:ser>
          <c:idx val="13"/>
          <c:order val="13"/>
          <c:tx>
            <c:strRef>
              <c:f>音駒!$F$15</c:f>
              <c:strCache>
                <c:ptCount val="1"/>
                <c:pt idx="0">
                  <c:v>1周年黒尾鉄朗ICO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音駒!$G$15:$K$15</c:f>
              <c:numCache>
                <c:formatCode>General</c:formatCode>
                <c:ptCount val="5"/>
                <c:pt idx="0">
                  <c:v>107.35807</c:v>
                </c:pt>
                <c:pt idx="1">
                  <c:v>99.526673900000006</c:v>
                </c:pt>
                <c:pt idx="2">
                  <c:v>100</c:v>
                </c:pt>
                <c:pt idx="3">
                  <c:v>101.4988661</c:v>
                </c:pt>
                <c:pt idx="4">
                  <c:v>105.05867309999999</c:v>
                </c:pt>
              </c:numCache>
            </c:numRef>
          </c:val>
          <c:extLst>
            <c:ext xmlns:c16="http://schemas.microsoft.com/office/drawing/2014/chart" uri="{C3380CC4-5D6E-409C-BE32-E72D297353CC}">
              <c16:uniqueId val="{00000003-6B1E-4004-A813-C6F5C84591F6}"/>
            </c:ext>
          </c:extLst>
        </c:ser>
        <c:ser>
          <c:idx val="14"/>
          <c:order val="14"/>
          <c:tx>
            <c:strRef>
              <c:f>音駒!$F$16</c:f>
              <c:strCache>
                <c:ptCount val="1"/>
                <c:pt idx="0">
                  <c:v>1周年夜久衛輔ICO</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音駒!$G$16:$K$16</c:f>
              <c:numCache>
                <c:formatCode>General</c:formatCode>
                <c:ptCount val="5"/>
                <c:pt idx="0">
                  <c:v>99.386827499999995</c:v>
                </c:pt>
                <c:pt idx="1">
                  <c:v>98.580021579999993</c:v>
                </c:pt>
                <c:pt idx="2">
                  <c:v>104.4965983</c:v>
                </c:pt>
                <c:pt idx="3">
                  <c:v>115.73809420000001</c:v>
                </c:pt>
                <c:pt idx="4">
                  <c:v>94.941326880000005</c:v>
                </c:pt>
              </c:numCache>
            </c:numRef>
          </c:val>
          <c:extLst>
            <c:ext xmlns:c16="http://schemas.microsoft.com/office/drawing/2014/chart" uri="{C3380CC4-5D6E-409C-BE32-E72D297353CC}">
              <c16:uniqueId val="{00000004-6B1E-4004-A813-C6F5C84591F6}"/>
            </c:ext>
          </c:extLst>
        </c:ser>
        <c:ser>
          <c:idx val="15"/>
          <c:order val="15"/>
          <c:tx>
            <c:strRef>
              <c:f>音駒!$F$17</c:f>
              <c:strCache>
                <c:ptCount val="1"/>
                <c:pt idx="0">
                  <c:v>路地裏灰羽リエーフICO</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音駒!$G$17:$K$17</c:f>
              <c:numCache>
                <c:formatCode>General</c:formatCode>
                <c:ptCount val="5"/>
                <c:pt idx="0">
                  <c:v>99.386827499999995</c:v>
                </c:pt>
                <c:pt idx="1">
                  <c:v>93.373434040000006</c:v>
                </c:pt>
                <c:pt idx="2">
                  <c:v>98.875850420000006</c:v>
                </c:pt>
                <c:pt idx="3">
                  <c:v>94.753968610000001</c:v>
                </c:pt>
                <c:pt idx="4">
                  <c:v>106.1828227</c:v>
                </c:pt>
              </c:numCache>
            </c:numRef>
          </c:val>
          <c:extLst>
            <c:ext xmlns:c16="http://schemas.microsoft.com/office/drawing/2014/chart" uri="{C3380CC4-5D6E-409C-BE32-E72D297353CC}">
              <c16:uniqueId val="{00000005-6B1E-4004-A813-C6F5C84591F6}"/>
            </c:ext>
          </c:extLst>
        </c:ser>
        <c:ser>
          <c:idx val="16"/>
          <c:order val="16"/>
          <c:tx>
            <c:strRef>
              <c:f>音駒!$F$18</c:f>
              <c:strCache>
                <c:ptCount val="1"/>
                <c:pt idx="0">
                  <c:v>バーガー福永招平ICO</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音駒!$G$18:$K$18</c:f>
              <c:numCache>
                <c:formatCode>General</c:formatCode>
                <c:ptCount val="5"/>
                <c:pt idx="0">
                  <c:v>97.547309999999996</c:v>
                </c:pt>
                <c:pt idx="1">
                  <c:v>94.320086320000001</c:v>
                </c:pt>
                <c:pt idx="2">
                  <c:v>100</c:v>
                </c:pt>
                <c:pt idx="3">
                  <c:v>97.002267779999997</c:v>
                </c:pt>
                <c:pt idx="4">
                  <c:v>98.313775629999995</c:v>
                </c:pt>
              </c:numCache>
            </c:numRef>
          </c:val>
          <c:extLst>
            <c:ext xmlns:c16="http://schemas.microsoft.com/office/drawing/2014/chart" uri="{C3380CC4-5D6E-409C-BE32-E72D297353CC}">
              <c16:uniqueId val="{00000006-6B1E-4004-A813-C6F5C84591F6}"/>
            </c:ext>
          </c:extLst>
        </c:ser>
        <c:ser>
          <c:idx val="17"/>
          <c:order val="17"/>
          <c:tx>
            <c:strRef>
              <c:f>音駒!$F$19</c:f>
              <c:strCache>
                <c:ptCount val="1"/>
                <c:pt idx="0">
                  <c:v>キャンプ黒尾鉄朗ICO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音駒!$G$19:$K$19</c:f>
              <c:numCache>
                <c:formatCode>General</c:formatCode>
                <c:ptCount val="5"/>
                <c:pt idx="0">
                  <c:v>106.74489749999999</c:v>
                </c:pt>
                <c:pt idx="1">
                  <c:v>100.9466523</c:v>
                </c:pt>
                <c:pt idx="2">
                  <c:v>101.1241496</c:v>
                </c:pt>
                <c:pt idx="3">
                  <c:v>99.250566939999999</c:v>
                </c:pt>
                <c:pt idx="4">
                  <c:v>110.679421</c:v>
                </c:pt>
              </c:numCache>
            </c:numRef>
          </c:val>
          <c:extLst>
            <c:ext xmlns:c16="http://schemas.microsoft.com/office/drawing/2014/chart" uri="{C3380CC4-5D6E-409C-BE32-E72D297353CC}">
              <c16:uniqueId val="{00000007-6B1E-4004-A813-C6F5C84591F6}"/>
            </c:ext>
          </c:extLst>
        </c:ser>
        <c:ser>
          <c:idx val="18"/>
          <c:order val="18"/>
          <c:tx>
            <c:strRef>
              <c:f>音駒!$F$20</c:f>
              <c:strCache>
                <c:ptCount val="1"/>
                <c:pt idx="0">
                  <c:v>制服孤爪研磨ICO</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音駒!$G$20:$K$20</c:f>
              <c:numCache>
                <c:formatCode>General</c:formatCode>
                <c:ptCount val="5"/>
                <c:pt idx="0">
                  <c:v>96.320965000000001</c:v>
                </c:pt>
                <c:pt idx="1">
                  <c:v>104.7332614</c:v>
                </c:pt>
                <c:pt idx="2">
                  <c:v>116.8622438</c:v>
                </c:pt>
                <c:pt idx="3">
                  <c:v>97.751700830000004</c:v>
                </c:pt>
                <c:pt idx="4">
                  <c:v>94.941326880000005</c:v>
                </c:pt>
              </c:numCache>
            </c:numRef>
          </c:val>
          <c:extLst>
            <c:ext xmlns:c16="http://schemas.microsoft.com/office/drawing/2014/chart" uri="{C3380CC4-5D6E-409C-BE32-E72D297353CC}">
              <c16:uniqueId val="{00000008-6B1E-4004-A813-C6F5C84591F6}"/>
            </c:ext>
          </c:extLst>
        </c:ser>
        <c:ser>
          <c:idx val="19"/>
          <c:order val="19"/>
          <c:tx>
            <c:strRef>
              <c:f>音駒!$F$21</c:f>
              <c:strCache>
                <c:ptCount val="1"/>
                <c:pt idx="0">
                  <c:v>制服黒尾鉄朗ICO</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音駒!$G$21:$K$21</c:f>
              <c:numCache>
                <c:formatCode>General</c:formatCode>
                <c:ptCount val="5"/>
                <c:pt idx="0">
                  <c:v>105.5185525</c:v>
                </c:pt>
                <c:pt idx="1">
                  <c:v>100.9466523</c:v>
                </c:pt>
                <c:pt idx="2">
                  <c:v>100</c:v>
                </c:pt>
                <c:pt idx="3">
                  <c:v>97.751700830000004</c:v>
                </c:pt>
                <c:pt idx="4">
                  <c:v>107.8690471</c:v>
                </c:pt>
              </c:numCache>
            </c:numRef>
          </c:val>
          <c:extLst>
            <c:ext xmlns:c16="http://schemas.microsoft.com/office/drawing/2014/chart" uri="{C3380CC4-5D6E-409C-BE32-E72D297353CC}">
              <c16:uniqueId val="{00000009-6B1E-4004-A813-C6F5C84591F6}"/>
            </c:ext>
          </c:extLst>
        </c:ser>
        <c:ser>
          <c:idx val="20"/>
          <c:order val="20"/>
          <c:tx>
            <c:strRef>
              <c:f>音駒!$F$22</c:f>
              <c:strCache>
                <c:ptCount val="1"/>
                <c:pt idx="0">
                  <c:v>花火夜久衛輔ICO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音駒!$G$22:$K$22</c:f>
              <c:numCache>
                <c:formatCode>General</c:formatCode>
                <c:ptCount val="5"/>
                <c:pt idx="0">
                  <c:v>98.160482500000001</c:v>
                </c:pt>
                <c:pt idx="1">
                  <c:v>97.160043160000001</c:v>
                </c:pt>
                <c:pt idx="2">
                  <c:v>105.6207479</c:v>
                </c:pt>
                <c:pt idx="3">
                  <c:v>119.4852594</c:v>
                </c:pt>
                <c:pt idx="4">
                  <c:v>94.941326880000005</c:v>
                </c:pt>
              </c:numCache>
            </c:numRef>
          </c:val>
          <c:extLst>
            <c:ext xmlns:c16="http://schemas.microsoft.com/office/drawing/2014/chart" uri="{C3380CC4-5D6E-409C-BE32-E72D297353CC}">
              <c16:uniqueId val="{0000000A-6B1E-4004-A813-C6F5C84591F6}"/>
            </c:ext>
          </c:extLst>
        </c:ser>
        <c:ser>
          <c:idx val="21"/>
          <c:order val="21"/>
          <c:tx>
            <c:strRef>
              <c:f>音駒!$F$23</c:f>
              <c:strCache>
                <c:ptCount val="1"/>
                <c:pt idx="0">
                  <c:v>スパイ孤爪研磨ICO</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音駒!$G$23:$K$23</c:f>
              <c:numCache>
                <c:formatCode>General</c:formatCode>
                <c:ptCount val="5"/>
                <c:pt idx="0">
                  <c:v>96.934137500000006</c:v>
                </c:pt>
                <c:pt idx="1">
                  <c:v>107.09989210000001</c:v>
                </c:pt>
                <c:pt idx="2">
                  <c:v>117.9863933</c:v>
                </c:pt>
                <c:pt idx="3">
                  <c:v>100.7494331</c:v>
                </c:pt>
                <c:pt idx="4">
                  <c:v>94.941326880000005</c:v>
                </c:pt>
              </c:numCache>
            </c:numRef>
          </c:val>
          <c:extLst>
            <c:ext xmlns:c16="http://schemas.microsoft.com/office/drawing/2014/chart" uri="{C3380CC4-5D6E-409C-BE32-E72D297353CC}">
              <c16:uniqueId val="{0000000B-6B1E-4004-A813-C6F5C84591F6}"/>
            </c:ext>
          </c:extLst>
        </c:ser>
        <c:ser>
          <c:idx val="22"/>
          <c:order val="22"/>
          <c:tx>
            <c:strRef>
              <c:f>音駒!$F$24</c:f>
              <c:strCache>
                <c:ptCount val="1"/>
                <c:pt idx="0">
                  <c:v>文化祭2黒尾鉄朗ICO</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音駒!$G$24:$K$24</c:f>
              <c:numCache>
                <c:formatCode>General</c:formatCode>
                <c:ptCount val="5"/>
                <c:pt idx="0">
                  <c:v>107.35807</c:v>
                </c:pt>
                <c:pt idx="1">
                  <c:v>100.9466523</c:v>
                </c:pt>
                <c:pt idx="2">
                  <c:v>101.1241496</c:v>
                </c:pt>
                <c:pt idx="3">
                  <c:v>100.7494331</c:v>
                </c:pt>
                <c:pt idx="4">
                  <c:v>109.5552715</c:v>
                </c:pt>
              </c:numCache>
            </c:numRef>
          </c:val>
          <c:extLst>
            <c:ext xmlns:c16="http://schemas.microsoft.com/office/drawing/2014/chart" uri="{C3380CC4-5D6E-409C-BE32-E72D297353CC}">
              <c16:uniqueId val="{0000000C-6B1E-4004-A813-C6F5C84591F6}"/>
            </c:ext>
          </c:extLst>
        </c:ser>
        <c:ser>
          <c:idx val="23"/>
          <c:order val="23"/>
          <c:tx>
            <c:strRef>
              <c:f>音駒!$F$25</c:f>
              <c:strCache>
                <c:ptCount val="1"/>
                <c:pt idx="0">
                  <c:v>文化祭2灰羽リエーフICO</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音駒!$G$25:$K$25</c:f>
              <c:numCache>
                <c:formatCode>General</c:formatCode>
                <c:ptCount val="5"/>
                <c:pt idx="0">
                  <c:v>98.160482500000001</c:v>
                </c:pt>
                <c:pt idx="1">
                  <c:v>92.900107890000001</c:v>
                </c:pt>
                <c:pt idx="2">
                  <c:v>96.627551249999996</c:v>
                </c:pt>
                <c:pt idx="3">
                  <c:v>98.501133890000006</c:v>
                </c:pt>
                <c:pt idx="4">
                  <c:v>107.3069723</c:v>
                </c:pt>
              </c:numCache>
            </c:numRef>
          </c:val>
          <c:extLst>
            <c:ext xmlns:c16="http://schemas.microsoft.com/office/drawing/2014/chart" uri="{C3380CC4-5D6E-409C-BE32-E72D297353CC}">
              <c16:uniqueId val="{0000000D-6B1E-4004-A813-C6F5C84591F6}"/>
            </c:ext>
          </c:extLst>
        </c:ser>
        <c:ser>
          <c:idx val="24"/>
          <c:order val="24"/>
          <c:tx>
            <c:strRef>
              <c:f>音駒!$F$26</c:f>
              <c:strCache>
                <c:ptCount val="1"/>
                <c:pt idx="0">
                  <c:v>Xmas2孤爪研磨ICO</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音駒!$G$26:$K$26</c:f>
              <c:numCache>
                <c:formatCode>General</c:formatCode>
                <c:ptCount val="5"/>
                <c:pt idx="0">
                  <c:v>97.547309999999996</c:v>
                </c:pt>
                <c:pt idx="1">
                  <c:v>108.0465444</c:v>
                </c:pt>
                <c:pt idx="2">
                  <c:v>122.4829917</c:v>
                </c:pt>
                <c:pt idx="3">
                  <c:v>99.250566939999999</c:v>
                </c:pt>
                <c:pt idx="4">
                  <c:v>97.189626039999993</c:v>
                </c:pt>
              </c:numCache>
            </c:numRef>
          </c:val>
          <c:extLst>
            <c:ext xmlns:c16="http://schemas.microsoft.com/office/drawing/2014/chart" uri="{C3380CC4-5D6E-409C-BE32-E72D297353CC}">
              <c16:uniqueId val="{0000000E-6B1E-4004-A813-C6F5C84591F6}"/>
            </c:ext>
          </c:extLst>
        </c:ser>
        <c:ser>
          <c:idx val="25"/>
          <c:order val="25"/>
          <c:tx>
            <c:strRef>
              <c:f>音駒!$F$27</c:f>
              <c:strCache>
                <c:ptCount val="1"/>
                <c:pt idx="0">
                  <c:v>2周年夜久衛輔ICO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音駒!$G$27:$K$27</c:f>
              <c:numCache>
                <c:formatCode>General</c:formatCode>
                <c:ptCount val="5"/>
                <c:pt idx="0">
                  <c:v>100</c:v>
                </c:pt>
                <c:pt idx="1">
                  <c:v>99.526673900000006</c:v>
                </c:pt>
                <c:pt idx="2">
                  <c:v>105.6207479</c:v>
                </c:pt>
                <c:pt idx="3">
                  <c:v>118.73582639999999</c:v>
                </c:pt>
                <c:pt idx="4">
                  <c:v>96.065476459999999</c:v>
                </c:pt>
              </c:numCache>
            </c:numRef>
          </c:val>
          <c:extLst>
            <c:ext xmlns:c16="http://schemas.microsoft.com/office/drawing/2014/chart" uri="{C3380CC4-5D6E-409C-BE32-E72D297353CC}">
              <c16:uniqueId val="{0000000F-6B1E-4004-A813-C6F5C84591F6}"/>
            </c:ext>
          </c:extLst>
        </c:ser>
        <c:ser>
          <c:idx val="26"/>
          <c:order val="26"/>
          <c:tx>
            <c:strRef>
              <c:f>音駒!$F$28</c:f>
              <c:strCache>
                <c:ptCount val="1"/>
                <c:pt idx="0">
                  <c:v>遊園地海信之ICO</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音駒!$G$28:$K$28</c:f>
              <c:numCache>
                <c:formatCode>General</c:formatCode>
                <c:ptCount val="5"/>
                <c:pt idx="0">
                  <c:v>104.2922075</c:v>
                </c:pt>
                <c:pt idx="1">
                  <c:v>103.313283</c:v>
                </c:pt>
                <c:pt idx="2">
                  <c:v>100</c:v>
                </c:pt>
                <c:pt idx="3">
                  <c:v>99.250566939999999</c:v>
                </c:pt>
                <c:pt idx="4">
                  <c:v>99.437925210000003</c:v>
                </c:pt>
              </c:numCache>
            </c:numRef>
          </c:val>
          <c:extLst>
            <c:ext xmlns:c16="http://schemas.microsoft.com/office/drawing/2014/chart" uri="{C3380CC4-5D6E-409C-BE32-E72D297353CC}">
              <c16:uniqueId val="{00000010-6B1E-4004-A813-C6F5C84591F6}"/>
            </c:ext>
          </c:extLst>
        </c:ser>
        <c:ser>
          <c:idx val="27"/>
          <c:order val="27"/>
          <c:tx>
            <c:strRef>
              <c:f>音駒!$F$29</c:f>
              <c:strCache>
                <c:ptCount val="1"/>
                <c:pt idx="0">
                  <c:v>中学生孤爪研磨ICO</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音駒!$G$29:$K$29</c:f>
              <c:numCache>
                <c:formatCode>General</c:formatCode>
                <c:ptCount val="5"/>
                <c:pt idx="0">
                  <c:v>97.547309999999996</c:v>
                </c:pt>
                <c:pt idx="1">
                  <c:v>107.5732182</c:v>
                </c:pt>
                <c:pt idx="2">
                  <c:v>121.3588421</c:v>
                </c:pt>
                <c:pt idx="3">
                  <c:v>100</c:v>
                </c:pt>
                <c:pt idx="4">
                  <c:v>98.313775629999995</c:v>
                </c:pt>
              </c:numCache>
            </c:numRef>
          </c:val>
          <c:extLst>
            <c:ext xmlns:c16="http://schemas.microsoft.com/office/drawing/2014/chart" uri="{C3380CC4-5D6E-409C-BE32-E72D297353CC}">
              <c16:uniqueId val="{00000011-6B1E-4004-A813-C6F5C84591F6}"/>
            </c:ext>
          </c:extLst>
        </c:ser>
        <c:ser>
          <c:idx val="28"/>
          <c:order val="28"/>
          <c:tx>
            <c:strRef>
              <c:f>音駒!$F$30</c:f>
              <c:strCache>
                <c:ptCount val="1"/>
                <c:pt idx="0">
                  <c:v>中学生黒尾鉄朗ICO</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音駒!$G$30:$K$30</c:f>
              <c:numCache>
                <c:formatCode>General</c:formatCode>
                <c:ptCount val="5"/>
                <c:pt idx="0">
                  <c:v>107.35807</c:v>
                </c:pt>
                <c:pt idx="1">
                  <c:v>101.89330459999999</c:v>
                </c:pt>
                <c:pt idx="2">
                  <c:v>102.24829920000001</c:v>
                </c:pt>
                <c:pt idx="3">
                  <c:v>100.7494331</c:v>
                </c:pt>
                <c:pt idx="4">
                  <c:v>111.8035706</c:v>
                </c:pt>
              </c:numCache>
            </c:numRef>
          </c:val>
          <c:extLst>
            <c:ext xmlns:c16="http://schemas.microsoft.com/office/drawing/2014/chart" uri="{C3380CC4-5D6E-409C-BE32-E72D297353CC}">
              <c16:uniqueId val="{00000012-6B1E-4004-A813-C6F5C84591F6}"/>
            </c:ext>
          </c:extLst>
        </c:ser>
        <c:ser>
          <c:idx val="29"/>
          <c:order val="29"/>
          <c:tx>
            <c:strRef>
              <c:f>音駒!$F$31</c:f>
              <c:strCache>
                <c:ptCount val="1"/>
                <c:pt idx="0">
                  <c:v>アート2福永招平ICO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音駒!$G$31:$K$31</c:f>
              <c:numCache>
                <c:formatCode>General</c:formatCode>
                <c:ptCount val="5"/>
                <c:pt idx="0">
                  <c:v>99.386827499999995</c:v>
                </c:pt>
                <c:pt idx="1">
                  <c:v>92.426781750000004</c:v>
                </c:pt>
                <c:pt idx="2">
                  <c:v>100</c:v>
                </c:pt>
                <c:pt idx="3">
                  <c:v>95.503401670000002</c:v>
                </c:pt>
                <c:pt idx="4">
                  <c:v>100.5620748</c:v>
                </c:pt>
              </c:numCache>
            </c:numRef>
          </c:val>
          <c:extLst>
            <c:ext xmlns:c16="http://schemas.microsoft.com/office/drawing/2014/chart" uri="{C3380CC4-5D6E-409C-BE32-E72D297353CC}">
              <c16:uniqueId val="{00000013-6B1E-4004-A813-C6F5C84591F6}"/>
            </c:ext>
          </c:extLst>
        </c:ser>
        <c:ser>
          <c:idx val="30"/>
          <c:order val="30"/>
          <c:tx>
            <c:strRef>
              <c:f>音駒!$F$32</c:f>
              <c:strCache>
                <c:ptCount val="1"/>
                <c:pt idx="0">
                  <c:v>サバゲ2灰羽リエーフICO</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音駒!$G$32:$K$32</c:f>
              <c:numCache>
                <c:formatCode>General</c:formatCode>
                <c:ptCount val="5"/>
                <c:pt idx="0">
                  <c:v>99.386827499999995</c:v>
                </c:pt>
                <c:pt idx="1">
                  <c:v>95.266738599999996</c:v>
                </c:pt>
                <c:pt idx="2">
                  <c:v>100</c:v>
                </c:pt>
                <c:pt idx="3">
                  <c:v>98.501133890000006</c:v>
                </c:pt>
                <c:pt idx="4">
                  <c:v>106.1828227</c:v>
                </c:pt>
              </c:numCache>
            </c:numRef>
          </c:val>
          <c:extLst>
            <c:ext xmlns:c16="http://schemas.microsoft.com/office/drawing/2014/chart" uri="{C3380CC4-5D6E-409C-BE32-E72D297353CC}">
              <c16:uniqueId val="{00000014-6B1E-4004-A813-C6F5C84591F6}"/>
            </c:ext>
          </c:extLst>
        </c:ser>
        <c:ser>
          <c:idx val="31"/>
          <c:order val="31"/>
          <c:tx>
            <c:strRef>
              <c:f>音駒!$F$33</c:f>
              <c:strCache>
                <c:ptCount val="1"/>
                <c:pt idx="0">
                  <c:v>水着2夜久衛輔ICO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音駒!$G$33:$K$33</c:f>
              <c:numCache>
                <c:formatCode>General</c:formatCode>
                <c:ptCount val="5"/>
                <c:pt idx="0">
                  <c:v>99.386827499999995</c:v>
                </c:pt>
                <c:pt idx="1">
                  <c:v>99.526673900000006</c:v>
                </c:pt>
                <c:pt idx="2">
                  <c:v>106.74489749999999</c:v>
                </c:pt>
                <c:pt idx="3">
                  <c:v>119.4852594</c:v>
                </c:pt>
                <c:pt idx="4">
                  <c:v>96.065476459999999</c:v>
                </c:pt>
              </c:numCache>
            </c:numRef>
          </c:val>
          <c:extLst>
            <c:ext xmlns:c16="http://schemas.microsoft.com/office/drawing/2014/chart" uri="{C3380CC4-5D6E-409C-BE32-E72D297353CC}">
              <c16:uniqueId val="{00000015-6B1E-4004-A813-C6F5C84591F6}"/>
            </c:ext>
          </c:extLst>
        </c:ser>
        <c:ser>
          <c:idx val="32"/>
          <c:order val="32"/>
          <c:tx>
            <c:strRef>
              <c:f>音駒!$F$34</c:f>
              <c:strCache>
                <c:ptCount val="1"/>
                <c:pt idx="0">
                  <c:v>焼き芋芝山優生ICO</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音駒!$G$34:$K$34</c:f>
              <c:numCache>
                <c:formatCode>General</c:formatCode>
                <c:ptCount val="5"/>
                <c:pt idx="0">
                  <c:v>95.094620000000006</c:v>
                </c:pt>
                <c:pt idx="1">
                  <c:v>94.320086320000001</c:v>
                </c:pt>
                <c:pt idx="2">
                  <c:v>101.1241496</c:v>
                </c:pt>
                <c:pt idx="3">
                  <c:v>108.9931967</c:v>
                </c:pt>
                <c:pt idx="4">
                  <c:v>96.627551249999996</c:v>
                </c:pt>
              </c:numCache>
            </c:numRef>
          </c:val>
          <c:extLst>
            <c:ext xmlns:c16="http://schemas.microsoft.com/office/drawing/2014/chart" uri="{C3380CC4-5D6E-409C-BE32-E72D297353CC}">
              <c16:uniqueId val="{00000016-6B1E-4004-A813-C6F5C84591F6}"/>
            </c:ext>
          </c:extLst>
        </c:ser>
        <c:ser>
          <c:idx val="33"/>
          <c:order val="33"/>
          <c:tx>
            <c:strRef>
              <c:f>音駒!$F$35</c:f>
              <c:strCache>
                <c:ptCount val="1"/>
                <c:pt idx="0">
                  <c:v>ハロウィン孤爪研磨ICO</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音駒!$G$35:$K$35</c:f>
              <c:numCache>
                <c:formatCode>General</c:formatCode>
                <c:ptCount val="5"/>
                <c:pt idx="0">
                  <c:v>97.547309999999996</c:v>
                </c:pt>
                <c:pt idx="1">
                  <c:v>108.9931967</c:v>
                </c:pt>
                <c:pt idx="2">
                  <c:v>119.1105429</c:v>
                </c:pt>
                <c:pt idx="3">
                  <c:v>102.9977322</c:v>
                </c:pt>
                <c:pt idx="4">
                  <c:v>96.065476459999999</c:v>
                </c:pt>
              </c:numCache>
            </c:numRef>
          </c:val>
          <c:extLst>
            <c:ext xmlns:c16="http://schemas.microsoft.com/office/drawing/2014/chart" uri="{C3380CC4-5D6E-409C-BE32-E72D297353CC}">
              <c16:uniqueId val="{00000017-6B1E-4004-A813-C6F5C84591F6}"/>
            </c:ext>
          </c:extLst>
        </c:ser>
        <c:ser>
          <c:idx val="34"/>
          <c:order val="34"/>
          <c:tx>
            <c:strRef>
              <c:f>音駒!$F$36</c:f>
              <c:strCache>
                <c:ptCount val="1"/>
                <c:pt idx="0">
                  <c:v>ハロウィン黒尾鉄朗ICO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音駒!$G$36:$K$36</c:f>
              <c:numCache>
                <c:formatCode>General</c:formatCode>
                <c:ptCount val="5"/>
                <c:pt idx="0">
                  <c:v>108.58441500000001</c:v>
                </c:pt>
                <c:pt idx="1">
                  <c:v>101.89330459999999</c:v>
                </c:pt>
                <c:pt idx="2">
                  <c:v>102.24829920000001</c:v>
                </c:pt>
                <c:pt idx="3">
                  <c:v>102.24829920000001</c:v>
                </c:pt>
                <c:pt idx="4">
                  <c:v>111.2414958</c:v>
                </c:pt>
              </c:numCache>
            </c:numRef>
          </c:val>
          <c:extLst>
            <c:ext xmlns:c16="http://schemas.microsoft.com/office/drawing/2014/chart" uri="{C3380CC4-5D6E-409C-BE32-E72D297353CC}">
              <c16:uniqueId val="{00000018-6B1E-4004-A813-C6F5C84591F6}"/>
            </c:ext>
          </c:extLst>
        </c:ser>
        <c:ser>
          <c:idx val="35"/>
          <c:order val="35"/>
          <c:tx>
            <c:strRef>
              <c:f>音駒!$F$37</c:f>
              <c:strCache>
                <c:ptCount val="1"/>
                <c:pt idx="0">
                  <c:v>Xmas3夜久衛輔ICO</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音駒!$G$37:$K$37</c:f>
              <c:numCache>
                <c:formatCode>General</c:formatCode>
                <c:ptCount val="5"/>
                <c:pt idx="0">
                  <c:v>100.6131725</c:v>
                </c:pt>
                <c:pt idx="1">
                  <c:v>100.47332609999999</c:v>
                </c:pt>
                <c:pt idx="2">
                  <c:v>106.74489749999999</c:v>
                </c:pt>
                <c:pt idx="3">
                  <c:v>121.73355859999999</c:v>
                </c:pt>
                <c:pt idx="4">
                  <c:v>97.189626039999993</c:v>
                </c:pt>
              </c:numCache>
            </c:numRef>
          </c:val>
          <c:extLst>
            <c:ext xmlns:c16="http://schemas.microsoft.com/office/drawing/2014/chart" uri="{C3380CC4-5D6E-409C-BE32-E72D297353CC}">
              <c16:uniqueId val="{00000019-6B1E-4004-A813-C6F5C84591F6}"/>
            </c:ext>
          </c:extLst>
        </c:ser>
        <c:ser>
          <c:idx val="36"/>
          <c:order val="36"/>
          <c:tx>
            <c:strRef>
              <c:f>音駒!$F$38</c:f>
              <c:strCache>
                <c:ptCount val="1"/>
                <c:pt idx="0">
                  <c:v>寝正月孤爪研磨ICO</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音駒!$G$38:$K$38</c:f>
              <c:numCache>
                <c:formatCode>General</c:formatCode>
                <c:ptCount val="5"/>
                <c:pt idx="0">
                  <c:v>98.160482500000001</c:v>
                </c:pt>
                <c:pt idx="1">
                  <c:v>108.9931967</c:v>
                </c:pt>
                <c:pt idx="2">
                  <c:v>124.7312908</c:v>
                </c:pt>
                <c:pt idx="3">
                  <c:v>101.4988661</c:v>
                </c:pt>
                <c:pt idx="4">
                  <c:v>98.313775629999995</c:v>
                </c:pt>
              </c:numCache>
            </c:numRef>
          </c:val>
          <c:extLst>
            <c:ext xmlns:c16="http://schemas.microsoft.com/office/drawing/2014/chart" uri="{C3380CC4-5D6E-409C-BE32-E72D297353CC}">
              <c16:uniqueId val="{0000001A-6B1E-4004-A813-C6F5C84591F6}"/>
            </c:ext>
          </c:extLst>
        </c:ser>
        <c:ser>
          <c:idx val="37"/>
          <c:order val="37"/>
          <c:tx>
            <c:strRef>
              <c:f>音駒!$F$39</c:f>
              <c:strCache>
                <c:ptCount val="1"/>
                <c:pt idx="0">
                  <c:v>和装体験黒尾鉄朗ICO</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音駒!$G$39:$K$39</c:f>
              <c:numCache>
                <c:formatCode>General</c:formatCode>
                <c:ptCount val="5"/>
                <c:pt idx="0">
                  <c:v>107.35807</c:v>
                </c:pt>
                <c:pt idx="1">
                  <c:v>101.89330459999999</c:v>
                </c:pt>
                <c:pt idx="2">
                  <c:v>102.24829920000001</c:v>
                </c:pt>
                <c:pt idx="3">
                  <c:v>100.7494331</c:v>
                </c:pt>
                <c:pt idx="4">
                  <c:v>114.05186980000001</c:v>
                </c:pt>
              </c:numCache>
            </c:numRef>
          </c:val>
          <c:extLst>
            <c:ext xmlns:c16="http://schemas.microsoft.com/office/drawing/2014/chart" uri="{C3380CC4-5D6E-409C-BE32-E72D297353CC}">
              <c16:uniqueId val="{00000000-1245-4610-870D-1BA7E7B6DDDC}"/>
            </c:ext>
          </c:extLst>
        </c:ser>
        <c:ser>
          <c:idx val="38"/>
          <c:order val="38"/>
          <c:tx>
            <c:strRef>
              <c:f>音駒!$F$40</c:f>
              <c:strCache>
                <c:ptCount val="1"/>
                <c:pt idx="0">
                  <c:v>和装体験山本猛虎ICO</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音駒!$G$40:$K$40</c:f>
              <c:numCache>
                <c:formatCode>General</c:formatCode>
                <c:ptCount val="5"/>
                <c:pt idx="0">
                  <c:v>105.5185525</c:v>
                </c:pt>
                <c:pt idx="1">
                  <c:v>100.47332609999999</c:v>
                </c:pt>
                <c:pt idx="2">
                  <c:v>100</c:v>
                </c:pt>
                <c:pt idx="3">
                  <c:v>95.503401670000002</c:v>
                </c:pt>
                <c:pt idx="4">
                  <c:v>100.5620748</c:v>
                </c:pt>
              </c:numCache>
            </c:numRef>
          </c:val>
          <c:extLst>
            <c:ext xmlns:c16="http://schemas.microsoft.com/office/drawing/2014/chart" uri="{C3380CC4-5D6E-409C-BE32-E72D297353CC}">
              <c16:uniqueId val="{00000000-6F36-4048-B2AA-DEA4BE5AB8BA}"/>
            </c:ext>
          </c:extLst>
        </c:ser>
        <c:ser>
          <c:idx val="39"/>
          <c:order val="39"/>
          <c:tx>
            <c:strRef>
              <c:f>音駒!$F$41</c:f>
              <c:strCache>
                <c:ptCount val="1"/>
                <c:pt idx="0">
                  <c:v>思い出孤爪研磨ICO</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音駒!$G$41:$K$41</c:f>
              <c:numCache>
                <c:formatCode>General</c:formatCode>
                <c:ptCount val="5"/>
                <c:pt idx="0">
                  <c:v>98.160482500000001</c:v>
                </c:pt>
                <c:pt idx="1">
                  <c:v>110.8865012</c:v>
                </c:pt>
                <c:pt idx="2">
                  <c:v>120.23469249999999</c:v>
                </c:pt>
                <c:pt idx="3">
                  <c:v>104.4965983</c:v>
                </c:pt>
                <c:pt idx="4">
                  <c:v>97.189626039999993</c:v>
                </c:pt>
              </c:numCache>
            </c:numRef>
          </c:val>
          <c:extLst>
            <c:ext xmlns:c16="http://schemas.microsoft.com/office/drawing/2014/chart" uri="{C3380CC4-5D6E-409C-BE32-E72D297353CC}">
              <c16:uniqueId val="{00000000-5587-4DA1-B622-B2114BF6B67D}"/>
            </c:ext>
          </c:extLst>
        </c:ser>
        <c:ser>
          <c:idx val="40"/>
          <c:order val="40"/>
          <c:tx>
            <c:strRef>
              <c:f>音駒!$F$42</c:f>
              <c:strCache>
                <c:ptCount val="1"/>
                <c:pt idx="0">
                  <c:v>思い出黒尾鉄朗ICO</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音駒!$G$42:$K$42</c:f>
              <c:numCache>
                <c:formatCode>General</c:formatCode>
                <c:ptCount val="5"/>
                <c:pt idx="0">
                  <c:v>109.81076</c:v>
                </c:pt>
                <c:pt idx="1">
                  <c:v>102.8399568</c:v>
                </c:pt>
                <c:pt idx="2">
                  <c:v>103.3724488</c:v>
                </c:pt>
                <c:pt idx="3">
                  <c:v>103.74716530000001</c:v>
                </c:pt>
                <c:pt idx="4">
                  <c:v>112.9277202</c:v>
                </c:pt>
              </c:numCache>
            </c:numRef>
          </c:val>
          <c:extLst>
            <c:ext xmlns:c16="http://schemas.microsoft.com/office/drawing/2014/chart" uri="{C3380CC4-5D6E-409C-BE32-E72D297353CC}">
              <c16:uniqueId val="{00000000-E24A-487D-A459-596511327A4C}"/>
            </c:ext>
          </c:extLst>
        </c:ser>
        <c:ser>
          <c:idx val="41"/>
          <c:order val="41"/>
          <c:tx>
            <c:strRef>
              <c:f>音駒!$F$43</c:f>
              <c:strCache>
                <c:ptCount val="1"/>
                <c:pt idx="0">
                  <c:v>夏祭り孤爪研磨ICO</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音駒!$G$43:$K$43</c:f>
              <c:numCache>
                <c:formatCode>General</c:formatCode>
                <c:ptCount val="5"/>
                <c:pt idx="0">
                  <c:v>95.094620000000006</c:v>
                </c:pt>
                <c:pt idx="1">
                  <c:v>104.7332614</c:v>
                </c:pt>
                <c:pt idx="2">
                  <c:v>119.1105429</c:v>
                </c:pt>
                <c:pt idx="3">
                  <c:v>100.7494331</c:v>
                </c:pt>
                <c:pt idx="4">
                  <c:v>92.693027709999996</c:v>
                </c:pt>
              </c:numCache>
            </c:numRef>
          </c:val>
          <c:extLst>
            <c:ext xmlns:c16="http://schemas.microsoft.com/office/drawing/2014/chart" uri="{C3380CC4-5D6E-409C-BE32-E72D297353CC}">
              <c16:uniqueId val="{00000000-0BA3-41FD-80BC-8782E9CB9567}"/>
            </c:ext>
          </c:extLst>
        </c:ser>
        <c:ser>
          <c:idx val="42"/>
          <c:order val="42"/>
          <c:tx>
            <c:strRef>
              <c:f>音駒!$F$44</c:f>
              <c:strCache>
                <c:ptCount val="1"/>
                <c:pt idx="0">
                  <c:v>夏祭り黒尾鉄朗ICO</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音駒!$G$44:$K$44</c:f>
              <c:numCache>
                <c:formatCode>General</c:formatCode>
                <c:ptCount val="5"/>
                <c:pt idx="0">
                  <c:v>106.74489749999999</c:v>
                </c:pt>
                <c:pt idx="1">
                  <c:v>103.78660910000001</c:v>
                </c:pt>
                <c:pt idx="2">
                  <c:v>100</c:v>
                </c:pt>
                <c:pt idx="3">
                  <c:v>96.252834719999996</c:v>
                </c:pt>
                <c:pt idx="4">
                  <c:v>104.4965983</c:v>
                </c:pt>
              </c:numCache>
            </c:numRef>
          </c:val>
          <c:extLst>
            <c:ext xmlns:c16="http://schemas.microsoft.com/office/drawing/2014/chart" uri="{C3380CC4-5D6E-409C-BE32-E72D297353CC}">
              <c16:uniqueId val="{00000000-E714-4847-9FC8-D3D623E02ED1}"/>
            </c:ext>
          </c:extLst>
        </c:ser>
        <c:ser>
          <c:idx val="43"/>
          <c:order val="43"/>
          <c:tx>
            <c:strRef>
              <c:f>音駒!$F$45</c:f>
              <c:strCache>
                <c:ptCount val="1"/>
                <c:pt idx="0">
                  <c:v>梅雨2犬岡走ICO</c:v>
                </c:pt>
              </c:strCache>
            </c:strRef>
          </c:tx>
          <c:spPr>
            <a:ln w="28575"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音駒!$G$45:$K$45</c:f>
              <c:numCache>
                <c:formatCode>General</c:formatCode>
                <c:ptCount val="5"/>
                <c:pt idx="0">
                  <c:v>96.934137500000006</c:v>
                </c:pt>
                <c:pt idx="1">
                  <c:v>92.900107890000001</c:v>
                </c:pt>
                <c:pt idx="2">
                  <c:v>96.627551249999996</c:v>
                </c:pt>
                <c:pt idx="3">
                  <c:v>98.501133890000006</c:v>
                </c:pt>
                <c:pt idx="4">
                  <c:v>106.74489749999999</c:v>
                </c:pt>
              </c:numCache>
            </c:numRef>
          </c:val>
          <c:extLst>
            <c:ext xmlns:c16="http://schemas.microsoft.com/office/drawing/2014/chart" uri="{C3380CC4-5D6E-409C-BE32-E72D297353CC}">
              <c16:uniqueId val="{00000000-7EB5-40C0-BB92-B5941D8398B0}"/>
            </c:ext>
          </c:extLst>
        </c:ser>
        <c:ser>
          <c:idx val="44"/>
          <c:order val="44"/>
          <c:tx>
            <c:strRef>
              <c:f>音駒!$F$46</c:f>
              <c:strCache>
                <c:ptCount val="1"/>
                <c:pt idx="0">
                  <c:v>探偵灰羽リエーフICO</c:v>
                </c:pt>
              </c:strCache>
            </c:strRef>
          </c:tx>
          <c:spPr>
            <a:ln w="28575"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cat>
            <c:strRef>
              <c:f>音駒!$G$1:$K$1</c:f>
              <c:strCache>
                <c:ptCount val="5"/>
                <c:pt idx="0">
                  <c:v>Q_RZS.AttackVal</c:v>
                </c:pt>
                <c:pt idx="1">
                  <c:v>Q_RZS.ServeVal</c:v>
                </c:pt>
                <c:pt idx="2">
                  <c:v>Q_RZS.TossVal</c:v>
                </c:pt>
                <c:pt idx="3">
                  <c:v>Q_RZS.ReceiveVal</c:v>
                </c:pt>
                <c:pt idx="4">
                  <c:v>Q_RZS.BlockVal</c:v>
                </c:pt>
              </c:strCache>
            </c:strRef>
          </c:cat>
          <c:val>
            <c:numRef>
              <c:f>音駒!$G$46:$K$46</c:f>
              <c:numCache>
                <c:formatCode>General</c:formatCode>
                <c:ptCount val="5"/>
                <c:pt idx="0">
                  <c:v>97.547309999999996</c:v>
                </c:pt>
                <c:pt idx="1">
                  <c:v>95.266738599999996</c:v>
                </c:pt>
                <c:pt idx="2">
                  <c:v>98.875850420000006</c:v>
                </c:pt>
                <c:pt idx="3">
                  <c:v>96.252834719999996</c:v>
                </c:pt>
                <c:pt idx="4">
                  <c:v>103.9345235</c:v>
                </c:pt>
              </c:numCache>
            </c:numRef>
          </c:val>
          <c:extLst>
            <c:ext xmlns:c16="http://schemas.microsoft.com/office/drawing/2014/chart" uri="{C3380CC4-5D6E-409C-BE32-E72D297353CC}">
              <c16:uniqueId val="{00000000-7520-4BF5-8A56-71C3BE2495F9}"/>
            </c:ext>
          </c:extLst>
        </c:ser>
        <c:dLbls>
          <c:showLegendKey val="0"/>
          <c:showVal val="0"/>
          <c:showCatName val="0"/>
          <c:showSerName val="0"/>
          <c:showPercent val="0"/>
          <c:showBubbleSize val="0"/>
        </c:dLbls>
        <c:axId val="676059696"/>
        <c:axId val="676056336"/>
        <c:extLst/>
      </c:radarChart>
      <c:catAx>
        <c:axId val="67605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76056336"/>
        <c:crosses val="autoZero"/>
        <c:auto val="1"/>
        <c:lblAlgn val="ctr"/>
        <c:lblOffset val="100"/>
        <c:noMultiLvlLbl val="0"/>
      </c:catAx>
      <c:valAx>
        <c:axId val="676056336"/>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76059696"/>
        <c:crosses val="autoZero"/>
        <c:crossBetween val="between"/>
        <c:majorUnit val="10"/>
      </c:valAx>
      <c:spPr>
        <a:noFill/>
        <a:ln>
          <a:noFill/>
        </a:ln>
        <a:effectLst/>
      </c:spPr>
    </c:plotArea>
    <c:legend>
      <c:legendPos val="t"/>
      <c:layout>
        <c:manualLayout>
          <c:xMode val="edge"/>
          <c:yMode val="edge"/>
          <c:x val="0.59389883637944196"/>
          <c:y val="6.3534947266113057E-2"/>
          <c:w val="0.40610119380891591"/>
          <c:h val="0.936465088372527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伊達工</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9.8282670873885078E-2"/>
          <c:y val="0.17900010469020095"/>
          <c:w val="0.3858710539178915"/>
          <c:h val="0.76462669951754603"/>
        </c:manualLayout>
      </c:layout>
      <c:radarChart>
        <c:radarStyle val="marker"/>
        <c:varyColors val="0"/>
        <c:ser>
          <c:idx val="0"/>
          <c:order val="0"/>
          <c:tx>
            <c:strRef>
              <c:f>伊達工!$F$2</c:f>
              <c:strCache>
                <c:ptCount val="1"/>
                <c:pt idx="0">
                  <c:v>青根高伸ICO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伊達工!$G$2:$K$2</c:f>
              <c:numCache>
                <c:formatCode>General</c:formatCode>
                <c:ptCount val="5"/>
                <c:pt idx="0">
                  <c:v>100.6131725</c:v>
                </c:pt>
                <c:pt idx="1">
                  <c:v>95.740064739999994</c:v>
                </c:pt>
                <c:pt idx="2">
                  <c:v>96.627551249999996</c:v>
                </c:pt>
                <c:pt idx="3">
                  <c:v>94.753968610000001</c:v>
                </c:pt>
                <c:pt idx="4">
                  <c:v>105.05867309999999</c:v>
                </c:pt>
              </c:numCache>
            </c:numRef>
          </c:val>
          <c:extLst>
            <c:ext xmlns:c16="http://schemas.microsoft.com/office/drawing/2014/chart" uri="{C3380CC4-5D6E-409C-BE32-E72D297353CC}">
              <c16:uniqueId val="{00000000-62F9-4D99-9B85-6A13CE1DF705}"/>
            </c:ext>
          </c:extLst>
        </c:ser>
        <c:ser>
          <c:idx val="1"/>
          <c:order val="1"/>
          <c:tx>
            <c:strRef>
              <c:f>伊達工!$F$3</c:f>
              <c:strCache>
                <c:ptCount val="1"/>
                <c:pt idx="0">
                  <c:v>二口堅治ICO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伊達工!$G$3:$K$3</c:f>
              <c:numCache>
                <c:formatCode>General</c:formatCode>
                <c:ptCount val="5"/>
                <c:pt idx="0">
                  <c:v>102.45269</c:v>
                </c:pt>
                <c:pt idx="1">
                  <c:v>102.8399568</c:v>
                </c:pt>
                <c:pt idx="2">
                  <c:v>98.875850420000006</c:v>
                </c:pt>
                <c:pt idx="3">
                  <c:v>98.501133890000006</c:v>
                </c:pt>
                <c:pt idx="4">
                  <c:v>103.3724488</c:v>
                </c:pt>
              </c:numCache>
            </c:numRef>
          </c:val>
          <c:extLst xmlns:c15="http://schemas.microsoft.com/office/drawing/2012/chart">
            <c:ext xmlns:c16="http://schemas.microsoft.com/office/drawing/2014/chart" uri="{C3380CC4-5D6E-409C-BE32-E72D297353CC}">
              <c16:uniqueId val="{0000000A-62F9-4D99-9B85-6A13CE1DF705}"/>
            </c:ext>
          </c:extLst>
        </c:ser>
        <c:ser>
          <c:idx val="2"/>
          <c:order val="2"/>
          <c:tx>
            <c:strRef>
              <c:f>伊達工!$F$4</c:f>
              <c:strCache>
                <c:ptCount val="1"/>
                <c:pt idx="0">
                  <c:v>黄金川貫至ICO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伊達工!$G$4:$K$4</c:f>
              <c:numCache>
                <c:formatCode>General</c:formatCode>
                <c:ptCount val="5"/>
                <c:pt idx="0">
                  <c:v>96.934137500000006</c:v>
                </c:pt>
                <c:pt idx="1">
                  <c:v>97.633369299999998</c:v>
                </c:pt>
                <c:pt idx="2">
                  <c:v>108.9931967</c:v>
                </c:pt>
                <c:pt idx="3">
                  <c:v>96.252834719999996</c:v>
                </c:pt>
                <c:pt idx="4">
                  <c:v>103.3724488</c:v>
                </c:pt>
              </c:numCache>
            </c:numRef>
          </c:val>
          <c:extLst xmlns:c15="http://schemas.microsoft.com/office/drawing/2012/chart">
            <c:ext xmlns:c16="http://schemas.microsoft.com/office/drawing/2014/chart" uri="{C3380CC4-5D6E-409C-BE32-E72D297353CC}">
              <c16:uniqueId val="{0000000B-62F9-4D99-9B85-6A13CE1DF705}"/>
            </c:ext>
          </c:extLst>
        </c:ser>
        <c:ser>
          <c:idx val="3"/>
          <c:order val="3"/>
          <c:tx>
            <c:strRef>
              <c:f>伊達工!$F$5</c:f>
              <c:strCache>
                <c:ptCount val="1"/>
                <c:pt idx="0">
                  <c:v>小原豊ICO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伊達工!$G$5:$K$5</c:f>
              <c:numCache>
                <c:formatCode>General</c:formatCode>
                <c:ptCount val="5"/>
                <c:pt idx="0">
                  <c:v>98.160482500000001</c:v>
                </c:pt>
                <c:pt idx="1">
                  <c:v>96.213390880000006</c:v>
                </c:pt>
                <c:pt idx="2">
                  <c:v>96.627551249999996</c:v>
                </c:pt>
                <c:pt idx="3">
                  <c:v>97.002267779999997</c:v>
                </c:pt>
                <c:pt idx="4">
                  <c:v>97.189626039999993</c:v>
                </c:pt>
              </c:numCache>
            </c:numRef>
          </c:val>
          <c:extLst xmlns:c15="http://schemas.microsoft.com/office/drawing/2012/chart">
            <c:ext xmlns:c16="http://schemas.microsoft.com/office/drawing/2014/chart" uri="{C3380CC4-5D6E-409C-BE32-E72D297353CC}">
              <c16:uniqueId val="{00000001-62F9-4D99-9B85-6A13CE1DF705}"/>
            </c:ext>
          </c:extLst>
        </c:ser>
        <c:ser>
          <c:idx val="4"/>
          <c:order val="4"/>
          <c:tx>
            <c:strRef>
              <c:f>伊達工!$F$6</c:f>
              <c:strCache>
                <c:ptCount val="1"/>
                <c:pt idx="0">
                  <c:v>女川太郎ICO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伊達工!$G$6:$K$6</c:f>
              <c:numCache>
                <c:formatCode>General</c:formatCode>
                <c:ptCount val="5"/>
                <c:pt idx="0">
                  <c:v>98.773655000000005</c:v>
                </c:pt>
                <c:pt idx="1">
                  <c:v>97.160043160000001</c:v>
                </c:pt>
                <c:pt idx="2">
                  <c:v>97.751700830000004</c:v>
                </c:pt>
                <c:pt idx="3">
                  <c:v>98.501133890000006</c:v>
                </c:pt>
                <c:pt idx="4">
                  <c:v>100.5620748</c:v>
                </c:pt>
              </c:numCache>
            </c:numRef>
          </c:val>
          <c:extLst xmlns:c15="http://schemas.microsoft.com/office/drawing/2012/chart">
            <c:ext xmlns:c16="http://schemas.microsoft.com/office/drawing/2014/chart" uri="{C3380CC4-5D6E-409C-BE32-E72D297353CC}">
              <c16:uniqueId val="{0000000C-62F9-4D99-9B85-6A13CE1DF705}"/>
            </c:ext>
          </c:extLst>
        </c:ser>
        <c:ser>
          <c:idx val="5"/>
          <c:order val="5"/>
          <c:tx>
            <c:strRef>
              <c:f>伊達工!$F$7</c:f>
              <c:strCache>
                <c:ptCount val="1"/>
                <c:pt idx="0">
                  <c:v>作並浩輔ICO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伊達工!$G$7:$K$7</c:f>
              <c:numCache>
                <c:formatCode>General</c:formatCode>
                <c:ptCount val="5"/>
                <c:pt idx="0">
                  <c:v>95.707792499999996</c:v>
                </c:pt>
                <c:pt idx="1">
                  <c:v>95.740064739999994</c:v>
                </c:pt>
                <c:pt idx="2">
                  <c:v>96.627551249999996</c:v>
                </c:pt>
                <c:pt idx="3">
                  <c:v>105.24603140000001</c:v>
                </c:pt>
                <c:pt idx="4">
                  <c:v>95.503401670000002</c:v>
                </c:pt>
              </c:numCache>
            </c:numRef>
          </c:val>
          <c:extLst xmlns:c15="http://schemas.microsoft.com/office/drawing/2012/chart">
            <c:ext xmlns:c16="http://schemas.microsoft.com/office/drawing/2014/chart" uri="{C3380CC4-5D6E-409C-BE32-E72D297353CC}">
              <c16:uniqueId val="{0000000D-62F9-4D99-9B85-6A13CE1DF705}"/>
            </c:ext>
          </c:extLst>
        </c:ser>
        <c:ser>
          <c:idx val="6"/>
          <c:order val="6"/>
          <c:tx>
            <c:strRef>
              <c:f>伊達工!$F$8</c:f>
              <c:strCache>
                <c:ptCount val="1"/>
                <c:pt idx="0">
                  <c:v>吹上仁悟ICO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伊達工!$G$8:$K$8</c:f>
              <c:numCache>
                <c:formatCode>General</c:formatCode>
                <c:ptCount val="5"/>
                <c:pt idx="0">
                  <c:v>100.6131725</c:v>
                </c:pt>
                <c:pt idx="1">
                  <c:v>95.740064739999994</c:v>
                </c:pt>
                <c:pt idx="2">
                  <c:v>96.627551249999996</c:v>
                </c:pt>
                <c:pt idx="3">
                  <c:v>94.753968610000001</c:v>
                </c:pt>
                <c:pt idx="4">
                  <c:v>102.24829920000001</c:v>
                </c:pt>
              </c:numCache>
            </c:numRef>
          </c:val>
          <c:extLst xmlns:c15="http://schemas.microsoft.com/office/drawing/2012/chart">
            <c:ext xmlns:c16="http://schemas.microsoft.com/office/drawing/2014/chart" uri="{C3380CC4-5D6E-409C-BE32-E72D297353CC}">
              <c16:uniqueId val="{00000002-62F9-4D99-9B85-6A13CE1DF705}"/>
            </c:ext>
          </c:extLst>
        </c:ser>
        <c:ser>
          <c:idx val="7"/>
          <c:order val="7"/>
          <c:tx>
            <c:strRef>
              <c:f>伊達工!$F$9</c:f>
              <c:strCache>
                <c:ptCount val="1"/>
                <c:pt idx="0">
                  <c:v>茂庭要ICO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伊達工!$G$9:$K$9</c:f>
              <c:numCache>
                <c:formatCode>General</c:formatCode>
                <c:ptCount val="5"/>
                <c:pt idx="0">
                  <c:v>94.481447500000002</c:v>
                </c:pt>
                <c:pt idx="1">
                  <c:v>96.213390880000006</c:v>
                </c:pt>
                <c:pt idx="2">
                  <c:v>106.74489749999999</c:v>
                </c:pt>
                <c:pt idx="3">
                  <c:v>98.501133890000006</c:v>
                </c:pt>
                <c:pt idx="4">
                  <c:v>98.313775629999995</c:v>
                </c:pt>
              </c:numCache>
            </c:numRef>
          </c:val>
          <c:extLst xmlns:c15="http://schemas.microsoft.com/office/drawing/2012/chart">
            <c:ext xmlns:c16="http://schemas.microsoft.com/office/drawing/2014/chart" uri="{C3380CC4-5D6E-409C-BE32-E72D297353CC}">
              <c16:uniqueId val="{0000000E-62F9-4D99-9B85-6A13CE1DF705}"/>
            </c:ext>
          </c:extLst>
        </c:ser>
        <c:ser>
          <c:idx val="8"/>
          <c:order val="8"/>
          <c:tx>
            <c:strRef>
              <c:f>伊達工!$F$10</c:f>
              <c:strCache>
                <c:ptCount val="1"/>
                <c:pt idx="0">
                  <c:v>鎌先靖志ICO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伊達工!$G$10:$K$10</c:f>
              <c:numCache>
                <c:formatCode>General</c:formatCode>
                <c:ptCount val="5"/>
                <c:pt idx="0">
                  <c:v>98.160482500000001</c:v>
                </c:pt>
                <c:pt idx="1">
                  <c:v>98.106695439999996</c:v>
                </c:pt>
                <c:pt idx="2">
                  <c:v>96.627551249999996</c:v>
                </c:pt>
                <c:pt idx="3">
                  <c:v>94.753968610000001</c:v>
                </c:pt>
                <c:pt idx="4">
                  <c:v>100.5620748</c:v>
                </c:pt>
              </c:numCache>
            </c:numRef>
          </c:val>
          <c:extLst xmlns:c15="http://schemas.microsoft.com/office/drawing/2012/chart">
            <c:ext xmlns:c16="http://schemas.microsoft.com/office/drawing/2014/chart" uri="{C3380CC4-5D6E-409C-BE32-E72D297353CC}">
              <c16:uniqueId val="{0000000F-62F9-4D99-9B85-6A13CE1DF705}"/>
            </c:ext>
          </c:extLst>
        </c:ser>
        <c:ser>
          <c:idx val="9"/>
          <c:order val="9"/>
          <c:tx>
            <c:strRef>
              <c:f>伊達工!$F$11</c:f>
              <c:strCache>
                <c:ptCount val="1"/>
                <c:pt idx="0">
                  <c:v>笹谷武仁ICO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伊達工!$G$11:$K$11</c:f>
              <c:numCache>
                <c:formatCode>General</c:formatCode>
                <c:ptCount val="5"/>
                <c:pt idx="0">
                  <c:v>97.547309999999996</c:v>
                </c:pt>
                <c:pt idx="1">
                  <c:v>96.213390880000006</c:v>
                </c:pt>
                <c:pt idx="2">
                  <c:v>96.627551249999996</c:v>
                </c:pt>
                <c:pt idx="3">
                  <c:v>97.002267779999997</c:v>
                </c:pt>
                <c:pt idx="4">
                  <c:v>98.875850420000006</c:v>
                </c:pt>
              </c:numCache>
            </c:numRef>
          </c:val>
          <c:extLst xmlns:c15="http://schemas.microsoft.com/office/drawing/2012/chart">
            <c:ext xmlns:c16="http://schemas.microsoft.com/office/drawing/2014/chart" uri="{C3380CC4-5D6E-409C-BE32-E72D297353CC}">
              <c16:uniqueId val="{00000003-62F9-4D99-9B85-6A13CE1DF705}"/>
            </c:ext>
          </c:extLst>
        </c:ser>
        <c:ser>
          <c:idx val="10"/>
          <c:order val="10"/>
          <c:tx>
            <c:strRef>
              <c:f>伊達工!$F$12</c:f>
              <c:strCache>
                <c:ptCount val="1"/>
                <c:pt idx="0">
                  <c:v>路地裏二口堅治ICO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伊達工!$G$12:$K$12</c:f>
              <c:numCache>
                <c:formatCode>General</c:formatCode>
                <c:ptCount val="5"/>
                <c:pt idx="0">
                  <c:v>106.131725</c:v>
                </c:pt>
                <c:pt idx="1">
                  <c:v>102.8399568</c:v>
                </c:pt>
                <c:pt idx="2">
                  <c:v>100</c:v>
                </c:pt>
                <c:pt idx="3">
                  <c:v>98.501133890000006</c:v>
                </c:pt>
                <c:pt idx="4">
                  <c:v>107.8690471</c:v>
                </c:pt>
              </c:numCache>
            </c:numRef>
          </c:val>
          <c:extLst>
            <c:ext xmlns:c16="http://schemas.microsoft.com/office/drawing/2014/chart" uri="{C3380CC4-5D6E-409C-BE32-E72D297353CC}">
              <c16:uniqueId val="{00000000-847A-4A3B-9E0E-7EC0D857612E}"/>
            </c:ext>
          </c:extLst>
        </c:ser>
        <c:ser>
          <c:idx val="11"/>
          <c:order val="11"/>
          <c:tx>
            <c:strRef>
              <c:f>伊達工!$F$13</c:f>
              <c:strCache>
                <c:ptCount val="1"/>
                <c:pt idx="0">
                  <c:v>キャンプ青根高伸ICO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伊達工!$G$13:$K$13</c:f>
              <c:numCache>
                <c:formatCode>General</c:formatCode>
                <c:ptCount val="5"/>
                <c:pt idx="0">
                  <c:v>103.679035</c:v>
                </c:pt>
                <c:pt idx="1">
                  <c:v>96.686717020000003</c:v>
                </c:pt>
                <c:pt idx="2">
                  <c:v>98.875850420000006</c:v>
                </c:pt>
                <c:pt idx="3">
                  <c:v>97.751700830000004</c:v>
                </c:pt>
                <c:pt idx="4">
                  <c:v>111.2414958</c:v>
                </c:pt>
              </c:numCache>
            </c:numRef>
          </c:val>
          <c:extLst>
            <c:ext xmlns:c16="http://schemas.microsoft.com/office/drawing/2014/chart" uri="{C3380CC4-5D6E-409C-BE32-E72D297353CC}">
              <c16:uniqueId val="{00000001-847A-4A3B-9E0E-7EC0D857612E}"/>
            </c:ext>
          </c:extLst>
        </c:ser>
        <c:ser>
          <c:idx val="12"/>
          <c:order val="12"/>
          <c:tx>
            <c:strRef>
              <c:f>伊達工!$F$14</c:f>
              <c:strCache>
                <c:ptCount val="1"/>
                <c:pt idx="0">
                  <c:v>制服青根高伸ICO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伊達工!$G$14:$K$14</c:f>
              <c:numCache>
                <c:formatCode>General</c:formatCode>
                <c:ptCount val="5"/>
                <c:pt idx="0">
                  <c:v>102.45269</c:v>
                </c:pt>
                <c:pt idx="1">
                  <c:v>96.686717020000003</c:v>
                </c:pt>
                <c:pt idx="2">
                  <c:v>97.751700830000004</c:v>
                </c:pt>
                <c:pt idx="3">
                  <c:v>96.252834719999996</c:v>
                </c:pt>
                <c:pt idx="4">
                  <c:v>108.43112189999999</c:v>
                </c:pt>
              </c:numCache>
            </c:numRef>
          </c:val>
          <c:extLst>
            <c:ext xmlns:c16="http://schemas.microsoft.com/office/drawing/2014/chart" uri="{C3380CC4-5D6E-409C-BE32-E72D297353CC}">
              <c16:uniqueId val="{00000002-847A-4A3B-9E0E-7EC0D857612E}"/>
            </c:ext>
          </c:extLst>
        </c:ser>
        <c:ser>
          <c:idx val="13"/>
          <c:order val="13"/>
          <c:tx>
            <c:strRef>
              <c:f>伊達工!$F$15</c:f>
              <c:strCache>
                <c:ptCount val="1"/>
                <c:pt idx="0">
                  <c:v>制服二口堅治ICO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伊達工!$G$15:$K$15</c:f>
              <c:numCache>
                <c:formatCode>General</c:formatCode>
                <c:ptCount val="5"/>
                <c:pt idx="0">
                  <c:v>104.2922075</c:v>
                </c:pt>
                <c:pt idx="1">
                  <c:v>104.7332614</c:v>
                </c:pt>
                <c:pt idx="2">
                  <c:v>100</c:v>
                </c:pt>
                <c:pt idx="3">
                  <c:v>100</c:v>
                </c:pt>
                <c:pt idx="4">
                  <c:v>105.6207479</c:v>
                </c:pt>
              </c:numCache>
            </c:numRef>
          </c:val>
          <c:extLst>
            <c:ext xmlns:c16="http://schemas.microsoft.com/office/drawing/2014/chart" uri="{C3380CC4-5D6E-409C-BE32-E72D297353CC}">
              <c16:uniqueId val="{00000003-847A-4A3B-9E0E-7EC0D857612E}"/>
            </c:ext>
          </c:extLst>
        </c:ser>
        <c:ser>
          <c:idx val="14"/>
          <c:order val="14"/>
          <c:tx>
            <c:strRef>
              <c:f>伊達工!$F$16</c:f>
              <c:strCache>
                <c:ptCount val="1"/>
                <c:pt idx="0">
                  <c:v>制服黄金川貫至ICO</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伊達工!$G$16:$K$16</c:f>
              <c:numCache>
                <c:formatCode>General</c:formatCode>
                <c:ptCount val="5"/>
                <c:pt idx="0">
                  <c:v>97.547309999999996</c:v>
                </c:pt>
                <c:pt idx="1">
                  <c:v>100.47332609999999</c:v>
                </c:pt>
                <c:pt idx="2">
                  <c:v>112.36564540000001</c:v>
                </c:pt>
                <c:pt idx="3">
                  <c:v>97.751700830000004</c:v>
                </c:pt>
                <c:pt idx="4">
                  <c:v>104.4965983</c:v>
                </c:pt>
              </c:numCache>
            </c:numRef>
          </c:val>
          <c:extLst>
            <c:ext xmlns:c16="http://schemas.microsoft.com/office/drawing/2014/chart" uri="{C3380CC4-5D6E-409C-BE32-E72D297353CC}">
              <c16:uniqueId val="{00000004-847A-4A3B-9E0E-7EC0D857612E}"/>
            </c:ext>
          </c:extLst>
        </c:ser>
        <c:ser>
          <c:idx val="15"/>
          <c:order val="15"/>
          <c:tx>
            <c:strRef>
              <c:f>伊達工!$F$17</c:f>
              <c:strCache>
                <c:ptCount val="1"/>
                <c:pt idx="0">
                  <c:v>スパイ黄金川貫至ICO</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伊達工!$G$17:$K$17</c:f>
              <c:numCache>
                <c:formatCode>General</c:formatCode>
                <c:ptCount val="5"/>
                <c:pt idx="0">
                  <c:v>98.160482500000001</c:v>
                </c:pt>
                <c:pt idx="1">
                  <c:v>100.47332609999999</c:v>
                </c:pt>
                <c:pt idx="2">
                  <c:v>114.6139446</c:v>
                </c:pt>
                <c:pt idx="3">
                  <c:v>98.501133890000006</c:v>
                </c:pt>
                <c:pt idx="4">
                  <c:v>107.3069723</c:v>
                </c:pt>
              </c:numCache>
            </c:numRef>
          </c:val>
          <c:extLst>
            <c:ext xmlns:c16="http://schemas.microsoft.com/office/drawing/2014/chart" uri="{C3380CC4-5D6E-409C-BE32-E72D297353CC}">
              <c16:uniqueId val="{00000005-847A-4A3B-9E0E-7EC0D857612E}"/>
            </c:ext>
          </c:extLst>
        </c:ser>
        <c:ser>
          <c:idx val="16"/>
          <c:order val="16"/>
          <c:tx>
            <c:strRef>
              <c:f>伊達工!$F$18</c:f>
              <c:strCache>
                <c:ptCount val="1"/>
                <c:pt idx="0">
                  <c:v>甲冑青根高伸ICO</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伊達工!$G$18:$K$18</c:f>
              <c:numCache>
                <c:formatCode>General</c:formatCode>
                <c:ptCount val="5"/>
                <c:pt idx="0">
                  <c:v>104.2922075</c:v>
                </c:pt>
                <c:pt idx="1">
                  <c:v>96.686717020000003</c:v>
                </c:pt>
                <c:pt idx="2">
                  <c:v>98.875850420000006</c:v>
                </c:pt>
                <c:pt idx="3">
                  <c:v>100</c:v>
                </c:pt>
                <c:pt idx="4">
                  <c:v>109.5552715</c:v>
                </c:pt>
              </c:numCache>
            </c:numRef>
          </c:val>
          <c:extLst>
            <c:ext xmlns:c16="http://schemas.microsoft.com/office/drawing/2014/chart" uri="{C3380CC4-5D6E-409C-BE32-E72D297353CC}">
              <c16:uniqueId val="{00000006-847A-4A3B-9E0E-7EC0D857612E}"/>
            </c:ext>
          </c:extLst>
        </c:ser>
        <c:ser>
          <c:idx val="17"/>
          <c:order val="17"/>
          <c:tx>
            <c:strRef>
              <c:f>伊達工!$F$19</c:f>
              <c:strCache>
                <c:ptCount val="1"/>
                <c:pt idx="0">
                  <c:v>甲冑二口堅治ICO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伊達工!$G$19:$K$19</c:f>
              <c:numCache>
                <c:formatCode>General</c:formatCode>
                <c:ptCount val="5"/>
                <c:pt idx="0">
                  <c:v>103.679035</c:v>
                </c:pt>
                <c:pt idx="1">
                  <c:v>107.09989210000001</c:v>
                </c:pt>
                <c:pt idx="2">
                  <c:v>98.875850420000006</c:v>
                </c:pt>
                <c:pt idx="3">
                  <c:v>102.24829920000001</c:v>
                </c:pt>
                <c:pt idx="4">
                  <c:v>103.3724488</c:v>
                </c:pt>
              </c:numCache>
            </c:numRef>
          </c:val>
          <c:extLst>
            <c:ext xmlns:c16="http://schemas.microsoft.com/office/drawing/2014/chart" uri="{C3380CC4-5D6E-409C-BE32-E72D297353CC}">
              <c16:uniqueId val="{00000007-847A-4A3B-9E0E-7EC0D857612E}"/>
            </c:ext>
          </c:extLst>
        </c:ser>
        <c:ser>
          <c:idx val="18"/>
          <c:order val="18"/>
          <c:tx>
            <c:strRef>
              <c:f>伊達工!$F$20</c:f>
              <c:strCache>
                <c:ptCount val="1"/>
                <c:pt idx="0">
                  <c:v>甲冑鎌先靖志ICO</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伊達工!$G$20:$K$20</c:f>
              <c:numCache>
                <c:formatCode>General</c:formatCode>
                <c:ptCount val="5"/>
                <c:pt idx="0">
                  <c:v>100</c:v>
                </c:pt>
                <c:pt idx="1">
                  <c:v>99.053347720000005</c:v>
                </c:pt>
                <c:pt idx="2">
                  <c:v>97.751700830000004</c:v>
                </c:pt>
                <c:pt idx="3">
                  <c:v>96.252834719999996</c:v>
                </c:pt>
                <c:pt idx="4">
                  <c:v>103.9345235</c:v>
                </c:pt>
              </c:numCache>
            </c:numRef>
          </c:val>
          <c:extLst>
            <c:ext xmlns:c16="http://schemas.microsoft.com/office/drawing/2014/chart" uri="{C3380CC4-5D6E-409C-BE32-E72D297353CC}">
              <c16:uniqueId val="{00000008-847A-4A3B-9E0E-7EC0D857612E}"/>
            </c:ext>
          </c:extLst>
        </c:ser>
        <c:ser>
          <c:idx val="19"/>
          <c:order val="19"/>
          <c:tx>
            <c:strRef>
              <c:f>伊達工!$F$21</c:f>
              <c:strCache>
                <c:ptCount val="1"/>
                <c:pt idx="0">
                  <c:v>プール掃除青根高伸ICO</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伊達工!$G$21:$K$21</c:f>
              <c:numCache>
                <c:formatCode>General</c:formatCode>
                <c:ptCount val="5"/>
                <c:pt idx="0">
                  <c:v>103.679035</c:v>
                </c:pt>
                <c:pt idx="1">
                  <c:v>96.686717020000003</c:v>
                </c:pt>
                <c:pt idx="2">
                  <c:v>97.751700830000004</c:v>
                </c:pt>
                <c:pt idx="3">
                  <c:v>96.252834719999996</c:v>
                </c:pt>
                <c:pt idx="4">
                  <c:v>107.3069723</c:v>
                </c:pt>
              </c:numCache>
            </c:numRef>
          </c:val>
          <c:extLst>
            <c:ext xmlns:c16="http://schemas.microsoft.com/office/drawing/2014/chart" uri="{C3380CC4-5D6E-409C-BE32-E72D297353CC}">
              <c16:uniqueId val="{00000009-847A-4A3B-9E0E-7EC0D857612E}"/>
            </c:ext>
          </c:extLst>
        </c:ser>
        <c:ser>
          <c:idx val="20"/>
          <c:order val="20"/>
          <c:tx>
            <c:strRef>
              <c:f>伊達工!$F$22</c:f>
              <c:strCache>
                <c:ptCount val="1"/>
                <c:pt idx="0">
                  <c:v>プール掃除二口堅治ICO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伊達工!$G$22:$K$22</c:f>
              <c:numCache>
                <c:formatCode>General</c:formatCode>
                <c:ptCount val="5"/>
                <c:pt idx="0">
                  <c:v>102.45269</c:v>
                </c:pt>
                <c:pt idx="1">
                  <c:v>102.3666307</c:v>
                </c:pt>
                <c:pt idx="2">
                  <c:v>100</c:v>
                </c:pt>
                <c:pt idx="3">
                  <c:v>103.74716530000001</c:v>
                </c:pt>
                <c:pt idx="4">
                  <c:v>107.3069723</c:v>
                </c:pt>
              </c:numCache>
            </c:numRef>
          </c:val>
          <c:extLst>
            <c:ext xmlns:c16="http://schemas.microsoft.com/office/drawing/2014/chart" uri="{C3380CC4-5D6E-409C-BE32-E72D297353CC}">
              <c16:uniqueId val="{0000000A-847A-4A3B-9E0E-7EC0D857612E}"/>
            </c:ext>
          </c:extLst>
        </c:ser>
        <c:ser>
          <c:idx val="21"/>
          <c:order val="21"/>
          <c:tx>
            <c:strRef>
              <c:f>伊達工!$F$23</c:f>
              <c:strCache>
                <c:ptCount val="1"/>
                <c:pt idx="0">
                  <c:v>2周年二口堅治ICO</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伊達工!$G$23:$K$23</c:f>
              <c:numCache>
                <c:formatCode>General</c:formatCode>
                <c:ptCount val="5"/>
                <c:pt idx="0">
                  <c:v>105.5185525</c:v>
                </c:pt>
                <c:pt idx="1">
                  <c:v>104.7332614</c:v>
                </c:pt>
                <c:pt idx="2">
                  <c:v>101.1241496</c:v>
                </c:pt>
                <c:pt idx="3">
                  <c:v>101.4988661</c:v>
                </c:pt>
                <c:pt idx="4">
                  <c:v>108.43112189999999</c:v>
                </c:pt>
              </c:numCache>
            </c:numRef>
          </c:val>
          <c:extLst>
            <c:ext xmlns:c16="http://schemas.microsoft.com/office/drawing/2014/chart" uri="{C3380CC4-5D6E-409C-BE32-E72D297353CC}">
              <c16:uniqueId val="{0000000B-847A-4A3B-9E0E-7EC0D857612E}"/>
            </c:ext>
          </c:extLst>
        </c:ser>
        <c:ser>
          <c:idx val="22"/>
          <c:order val="22"/>
          <c:tx>
            <c:strRef>
              <c:f>伊達工!$F$24</c:f>
              <c:strCache>
                <c:ptCount val="1"/>
                <c:pt idx="0">
                  <c:v>職業体験2作並浩輔ICO</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伊達工!$G$24:$K$24</c:f>
              <c:numCache>
                <c:formatCode>General</c:formatCode>
                <c:ptCount val="5"/>
                <c:pt idx="0">
                  <c:v>96.320965000000001</c:v>
                </c:pt>
                <c:pt idx="1">
                  <c:v>96.686717020000003</c:v>
                </c:pt>
                <c:pt idx="2">
                  <c:v>100</c:v>
                </c:pt>
                <c:pt idx="3">
                  <c:v>109.74262969999999</c:v>
                </c:pt>
                <c:pt idx="4">
                  <c:v>96.627551249999996</c:v>
                </c:pt>
              </c:numCache>
            </c:numRef>
          </c:val>
          <c:extLst>
            <c:ext xmlns:c16="http://schemas.microsoft.com/office/drawing/2014/chart" uri="{C3380CC4-5D6E-409C-BE32-E72D297353CC}">
              <c16:uniqueId val="{0000000C-847A-4A3B-9E0E-7EC0D857612E}"/>
            </c:ext>
          </c:extLst>
        </c:ser>
        <c:ser>
          <c:idx val="23"/>
          <c:order val="23"/>
          <c:tx>
            <c:strRef>
              <c:f>伊達工!$F$25</c:f>
              <c:strCache>
                <c:ptCount val="1"/>
                <c:pt idx="0">
                  <c:v>アート2二口堅治ICO</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伊達工!$G$25:$K$25</c:f>
              <c:numCache>
                <c:formatCode>General</c:formatCode>
                <c:ptCount val="5"/>
                <c:pt idx="0">
                  <c:v>106.74489749999999</c:v>
                </c:pt>
                <c:pt idx="1">
                  <c:v>104.7332614</c:v>
                </c:pt>
                <c:pt idx="2">
                  <c:v>101.1241496</c:v>
                </c:pt>
                <c:pt idx="3">
                  <c:v>101.4988661</c:v>
                </c:pt>
                <c:pt idx="4">
                  <c:v>107.8690471</c:v>
                </c:pt>
              </c:numCache>
            </c:numRef>
          </c:val>
          <c:extLst>
            <c:ext xmlns:c16="http://schemas.microsoft.com/office/drawing/2014/chart" uri="{C3380CC4-5D6E-409C-BE32-E72D297353CC}">
              <c16:uniqueId val="{0000000D-847A-4A3B-9E0E-7EC0D857612E}"/>
            </c:ext>
          </c:extLst>
        </c:ser>
        <c:ser>
          <c:idx val="24"/>
          <c:order val="24"/>
          <c:tx>
            <c:strRef>
              <c:f>伊達工!$F$26</c:f>
              <c:strCache>
                <c:ptCount val="1"/>
                <c:pt idx="0">
                  <c:v>水着2女川太郎ICO</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伊達工!$G$26:$K$26</c:f>
              <c:numCache>
                <c:formatCode>General</c:formatCode>
                <c:ptCount val="5"/>
                <c:pt idx="0">
                  <c:v>100.6131725</c:v>
                </c:pt>
                <c:pt idx="1">
                  <c:v>99.053347720000005</c:v>
                </c:pt>
                <c:pt idx="2">
                  <c:v>98.875850420000006</c:v>
                </c:pt>
                <c:pt idx="3">
                  <c:v>100</c:v>
                </c:pt>
                <c:pt idx="4">
                  <c:v>102.810374</c:v>
                </c:pt>
              </c:numCache>
            </c:numRef>
          </c:val>
          <c:extLst>
            <c:ext xmlns:c16="http://schemas.microsoft.com/office/drawing/2014/chart" uri="{C3380CC4-5D6E-409C-BE32-E72D297353CC}">
              <c16:uniqueId val="{0000000E-847A-4A3B-9E0E-7EC0D857612E}"/>
            </c:ext>
          </c:extLst>
        </c:ser>
        <c:ser>
          <c:idx val="25"/>
          <c:order val="25"/>
          <c:tx>
            <c:strRef>
              <c:f>伊達工!$F$27</c:f>
              <c:strCache>
                <c:ptCount val="1"/>
                <c:pt idx="0">
                  <c:v>焼き芋黄金川貫至ICO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伊達工!$G$27:$K$27</c:f>
              <c:numCache>
                <c:formatCode>General</c:formatCode>
                <c:ptCount val="5"/>
                <c:pt idx="0">
                  <c:v>98.160482500000001</c:v>
                </c:pt>
                <c:pt idx="1">
                  <c:v>101.89330459999999</c:v>
                </c:pt>
                <c:pt idx="2">
                  <c:v>116.8622438</c:v>
                </c:pt>
                <c:pt idx="3">
                  <c:v>100</c:v>
                </c:pt>
                <c:pt idx="4">
                  <c:v>104.4965983</c:v>
                </c:pt>
              </c:numCache>
            </c:numRef>
          </c:val>
          <c:extLst>
            <c:ext xmlns:c16="http://schemas.microsoft.com/office/drawing/2014/chart" uri="{C3380CC4-5D6E-409C-BE32-E72D297353CC}">
              <c16:uniqueId val="{0000000F-847A-4A3B-9E0E-7EC0D857612E}"/>
            </c:ext>
          </c:extLst>
        </c:ser>
        <c:ser>
          <c:idx val="26"/>
          <c:order val="26"/>
          <c:tx>
            <c:strRef>
              <c:f>伊達工!$F$28</c:f>
              <c:strCache>
                <c:ptCount val="1"/>
                <c:pt idx="0">
                  <c:v>Xmas3青根高伸ICO</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伊達工!$G$28:$K$28</c:f>
              <c:numCache>
                <c:formatCode>General</c:formatCode>
                <c:ptCount val="5"/>
                <c:pt idx="0">
                  <c:v>104.2922075</c:v>
                </c:pt>
                <c:pt idx="1">
                  <c:v>97.633369299999998</c:v>
                </c:pt>
                <c:pt idx="2">
                  <c:v>100</c:v>
                </c:pt>
                <c:pt idx="3">
                  <c:v>99.250566939999999</c:v>
                </c:pt>
                <c:pt idx="4">
                  <c:v>113.489795</c:v>
                </c:pt>
              </c:numCache>
            </c:numRef>
          </c:val>
          <c:extLst>
            <c:ext xmlns:c16="http://schemas.microsoft.com/office/drawing/2014/chart" uri="{C3380CC4-5D6E-409C-BE32-E72D297353CC}">
              <c16:uniqueId val="{00000010-847A-4A3B-9E0E-7EC0D857612E}"/>
            </c:ext>
          </c:extLst>
        </c:ser>
        <c:ser>
          <c:idx val="27"/>
          <c:order val="27"/>
          <c:tx>
            <c:strRef>
              <c:f>伊達工!$F$29</c:f>
              <c:strCache>
                <c:ptCount val="1"/>
                <c:pt idx="0">
                  <c:v>Xmas3二口堅治ICO</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伊達工!$G$29:$K$29</c:f>
              <c:numCache>
                <c:formatCode>General</c:formatCode>
                <c:ptCount val="5"/>
                <c:pt idx="0">
                  <c:v>104.90537999999999</c:v>
                </c:pt>
                <c:pt idx="1">
                  <c:v>107.5732182</c:v>
                </c:pt>
                <c:pt idx="2">
                  <c:v>100</c:v>
                </c:pt>
                <c:pt idx="3">
                  <c:v>102.9977322</c:v>
                </c:pt>
                <c:pt idx="4">
                  <c:v>106.1828227</c:v>
                </c:pt>
              </c:numCache>
            </c:numRef>
          </c:val>
          <c:extLst>
            <c:ext xmlns:c16="http://schemas.microsoft.com/office/drawing/2014/chart" uri="{C3380CC4-5D6E-409C-BE32-E72D297353CC}">
              <c16:uniqueId val="{00000000-4460-402E-A72D-2907AB4E5DA4}"/>
            </c:ext>
          </c:extLst>
        </c:ser>
        <c:ser>
          <c:idx val="28"/>
          <c:order val="28"/>
          <c:tx>
            <c:strRef>
              <c:f>伊達工!$F$30</c:f>
              <c:strCache>
                <c:ptCount val="1"/>
                <c:pt idx="0">
                  <c:v>寝正月茂庭要ICO</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伊達工!$G$30:$K$30</c:f>
              <c:numCache>
                <c:formatCode>General</c:formatCode>
                <c:ptCount val="5"/>
                <c:pt idx="0">
                  <c:v>95.094620000000006</c:v>
                </c:pt>
                <c:pt idx="1">
                  <c:v>99.053347720000005</c:v>
                </c:pt>
                <c:pt idx="2">
                  <c:v>110.11734629999999</c:v>
                </c:pt>
                <c:pt idx="3">
                  <c:v>100</c:v>
                </c:pt>
                <c:pt idx="4">
                  <c:v>99.437925210000003</c:v>
                </c:pt>
              </c:numCache>
            </c:numRef>
          </c:val>
          <c:extLst>
            <c:ext xmlns:c16="http://schemas.microsoft.com/office/drawing/2014/chart" uri="{C3380CC4-5D6E-409C-BE32-E72D297353CC}">
              <c16:uniqueId val="{00000000-F4FA-47BC-80E2-A57410A2B9F6}"/>
            </c:ext>
          </c:extLst>
        </c:ser>
        <c:ser>
          <c:idx val="29"/>
          <c:order val="29"/>
          <c:tx>
            <c:strRef>
              <c:f>伊達工!$F$31</c:f>
              <c:strCache>
                <c:ptCount val="1"/>
                <c:pt idx="0">
                  <c:v>格ゲー黄金川貫至ICO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伊達工!$G$31:$K$31</c:f>
              <c:numCache>
                <c:formatCode>General</c:formatCode>
                <c:ptCount val="5"/>
                <c:pt idx="0">
                  <c:v>98.773655000000005</c:v>
                </c:pt>
                <c:pt idx="1">
                  <c:v>101.41997840000001</c:v>
                </c:pt>
                <c:pt idx="2">
                  <c:v>115.73809420000001</c:v>
                </c:pt>
                <c:pt idx="3">
                  <c:v>100</c:v>
                </c:pt>
                <c:pt idx="4">
                  <c:v>109.5552715</c:v>
                </c:pt>
              </c:numCache>
            </c:numRef>
          </c:val>
          <c:extLst>
            <c:ext xmlns:c16="http://schemas.microsoft.com/office/drawing/2014/chart" uri="{C3380CC4-5D6E-409C-BE32-E72D297353CC}">
              <c16:uniqueId val="{00000000-BFF4-49E4-9DE8-C72C38A6D97C}"/>
            </c:ext>
          </c:extLst>
        </c:ser>
        <c:ser>
          <c:idx val="30"/>
          <c:order val="30"/>
          <c:tx>
            <c:strRef>
              <c:f>伊達工!$F$32</c:f>
              <c:strCache>
                <c:ptCount val="1"/>
                <c:pt idx="0">
                  <c:v>梅雨2笹谷武仁ICO</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伊達工!$G$32:$K$32</c:f>
              <c:numCache>
                <c:formatCode>General</c:formatCode>
                <c:ptCount val="5"/>
                <c:pt idx="0">
                  <c:v>99.386827499999995</c:v>
                </c:pt>
                <c:pt idx="1">
                  <c:v>98.106695439999996</c:v>
                </c:pt>
                <c:pt idx="2">
                  <c:v>97.751700830000004</c:v>
                </c:pt>
                <c:pt idx="3">
                  <c:v>98.501133890000006</c:v>
                </c:pt>
                <c:pt idx="4">
                  <c:v>101.1241496</c:v>
                </c:pt>
              </c:numCache>
            </c:numRef>
          </c:val>
          <c:extLst>
            <c:ext xmlns:c16="http://schemas.microsoft.com/office/drawing/2014/chart" uri="{C3380CC4-5D6E-409C-BE32-E72D297353CC}">
              <c16:uniqueId val="{00000000-9C5D-427C-8085-E61CEBC2227F}"/>
            </c:ext>
          </c:extLst>
        </c:ser>
        <c:ser>
          <c:idx val="31"/>
          <c:order val="31"/>
          <c:tx>
            <c:strRef>
              <c:f>伊達工!$F$33</c:f>
              <c:strCache>
                <c:ptCount val="1"/>
                <c:pt idx="0">
                  <c:v>職業体験黄金川貫至ICO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伊達工!$G$1:$K$1</c:f>
              <c:strCache>
                <c:ptCount val="5"/>
                <c:pt idx="0">
                  <c:v>Q_RZS.AttackVal</c:v>
                </c:pt>
                <c:pt idx="1">
                  <c:v>Q_RZS.ServeVal</c:v>
                </c:pt>
                <c:pt idx="2">
                  <c:v>Q_RZS.TossVal</c:v>
                </c:pt>
                <c:pt idx="3">
                  <c:v>Q_RZS.ReceiveVal</c:v>
                </c:pt>
                <c:pt idx="4">
                  <c:v>Q_RZS.BlockVal</c:v>
                </c:pt>
              </c:strCache>
            </c:strRef>
          </c:cat>
          <c:val>
            <c:numRef>
              <c:f>伊達工!$G$33:$K$33</c:f>
              <c:numCache>
                <c:formatCode>General</c:formatCode>
                <c:ptCount val="5"/>
                <c:pt idx="0">
                  <c:v>98.773655000000005</c:v>
                </c:pt>
                <c:pt idx="1">
                  <c:v>102.3666307</c:v>
                </c:pt>
                <c:pt idx="2">
                  <c:v>112.36564540000001</c:v>
                </c:pt>
                <c:pt idx="3">
                  <c:v>95.503401670000002</c:v>
                </c:pt>
                <c:pt idx="4">
                  <c:v>102.810374</c:v>
                </c:pt>
              </c:numCache>
            </c:numRef>
          </c:val>
          <c:extLst>
            <c:ext xmlns:c16="http://schemas.microsoft.com/office/drawing/2014/chart" uri="{C3380CC4-5D6E-409C-BE32-E72D297353CC}">
              <c16:uniqueId val="{00000000-C625-4F60-A9F2-F679705CBD7B}"/>
            </c:ext>
          </c:extLst>
        </c:ser>
        <c:dLbls>
          <c:showLegendKey val="0"/>
          <c:showVal val="0"/>
          <c:showCatName val="0"/>
          <c:showSerName val="0"/>
          <c:showPercent val="0"/>
          <c:showBubbleSize val="0"/>
        </c:dLbls>
        <c:axId val="682069056"/>
        <c:axId val="682075776"/>
        <c:extLst/>
      </c:radarChart>
      <c:catAx>
        <c:axId val="682069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82075776"/>
        <c:crosses val="autoZero"/>
        <c:auto val="1"/>
        <c:lblAlgn val="ctr"/>
        <c:lblOffset val="100"/>
        <c:noMultiLvlLbl val="0"/>
      </c:catAx>
      <c:valAx>
        <c:axId val="682075776"/>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82069056"/>
        <c:crosses val="autoZero"/>
        <c:crossBetween val="between"/>
        <c:majorUnit val="10"/>
      </c:valAx>
      <c:spPr>
        <a:noFill/>
        <a:ln>
          <a:noFill/>
        </a:ln>
        <a:effectLst/>
      </c:spPr>
    </c:plotArea>
    <c:legend>
      <c:legendPos val="t"/>
      <c:layout>
        <c:manualLayout>
          <c:xMode val="edge"/>
          <c:yMode val="edge"/>
          <c:x val="0.6053251281231925"/>
          <c:y val="1.8889814814814811E-2"/>
          <c:w val="0.39467493246636981"/>
          <c:h val="0.981110152582151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青城</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8.1026592897767896E-2"/>
          <c:y val="0.16071829567876322"/>
          <c:w val="0.42792014268394668"/>
          <c:h val="0.78392476660543453"/>
        </c:manualLayout>
      </c:layout>
      <c:radarChart>
        <c:radarStyle val="marker"/>
        <c:varyColors val="0"/>
        <c:ser>
          <c:idx val="0"/>
          <c:order val="0"/>
          <c:tx>
            <c:strRef>
              <c:f>青城!$F$2</c:f>
              <c:strCache>
                <c:ptCount val="1"/>
                <c:pt idx="0">
                  <c:v>及川徹ICO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青城!$G$2:$K$2</c:f>
              <c:numCache>
                <c:formatCode>General</c:formatCode>
                <c:ptCount val="5"/>
                <c:pt idx="0">
                  <c:v>104.2922075</c:v>
                </c:pt>
                <c:pt idx="1">
                  <c:v>106.626566</c:v>
                </c:pt>
                <c:pt idx="2">
                  <c:v>115.73809420000001</c:v>
                </c:pt>
                <c:pt idx="3">
                  <c:v>94.753968610000001</c:v>
                </c:pt>
                <c:pt idx="4">
                  <c:v>95.503401670000002</c:v>
                </c:pt>
              </c:numCache>
            </c:numRef>
          </c:val>
          <c:extLst>
            <c:ext xmlns:c16="http://schemas.microsoft.com/office/drawing/2014/chart" uri="{C3380CC4-5D6E-409C-BE32-E72D297353CC}">
              <c16:uniqueId val="{00000000-C368-4090-A311-EDFFCEBA1E39}"/>
            </c:ext>
          </c:extLst>
        </c:ser>
        <c:ser>
          <c:idx val="1"/>
          <c:order val="1"/>
          <c:tx>
            <c:strRef>
              <c:f>青城!$F$3</c:f>
              <c:strCache>
                <c:ptCount val="1"/>
                <c:pt idx="0">
                  <c:v>岩泉一ICO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青城!$G$3:$K$3</c:f>
              <c:numCache>
                <c:formatCode>General</c:formatCode>
                <c:ptCount val="5"/>
                <c:pt idx="0">
                  <c:v>103.06586249999999</c:v>
                </c:pt>
                <c:pt idx="1">
                  <c:v>101.41997840000001</c:v>
                </c:pt>
                <c:pt idx="2">
                  <c:v>98.875850420000006</c:v>
                </c:pt>
                <c:pt idx="3">
                  <c:v>95.503401670000002</c:v>
                </c:pt>
                <c:pt idx="4">
                  <c:v>97.751700830000004</c:v>
                </c:pt>
              </c:numCache>
            </c:numRef>
          </c:val>
          <c:extLst xmlns:c15="http://schemas.microsoft.com/office/drawing/2012/chart">
            <c:ext xmlns:c16="http://schemas.microsoft.com/office/drawing/2014/chart" uri="{C3380CC4-5D6E-409C-BE32-E72D297353CC}">
              <c16:uniqueId val="{00000009-C368-4090-A311-EDFFCEBA1E39}"/>
            </c:ext>
          </c:extLst>
        </c:ser>
        <c:ser>
          <c:idx val="2"/>
          <c:order val="2"/>
          <c:tx>
            <c:strRef>
              <c:f>青城!$F$4</c:f>
              <c:strCache>
                <c:ptCount val="1"/>
                <c:pt idx="0">
                  <c:v>金田一勇太郎ICO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青城!$G$4:$K$4</c:f>
              <c:numCache>
                <c:formatCode>General</c:formatCode>
                <c:ptCount val="5"/>
                <c:pt idx="0">
                  <c:v>96.320965000000001</c:v>
                </c:pt>
                <c:pt idx="1">
                  <c:v>92.900107890000001</c:v>
                </c:pt>
                <c:pt idx="2">
                  <c:v>96.627551249999996</c:v>
                </c:pt>
                <c:pt idx="3">
                  <c:v>94.753968610000001</c:v>
                </c:pt>
                <c:pt idx="4">
                  <c:v>98.875850420000006</c:v>
                </c:pt>
              </c:numCache>
            </c:numRef>
          </c:val>
          <c:extLst xmlns:c15="http://schemas.microsoft.com/office/drawing/2012/chart">
            <c:ext xmlns:c16="http://schemas.microsoft.com/office/drawing/2014/chart" uri="{C3380CC4-5D6E-409C-BE32-E72D297353CC}">
              <c16:uniqueId val="{0000000A-C368-4090-A311-EDFFCEBA1E39}"/>
            </c:ext>
          </c:extLst>
        </c:ser>
        <c:ser>
          <c:idx val="3"/>
          <c:order val="3"/>
          <c:tx>
            <c:strRef>
              <c:f>青城!$F$5</c:f>
              <c:strCache>
                <c:ptCount val="1"/>
                <c:pt idx="0">
                  <c:v>京谷賢太郎ICO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青城!$G$5:$K$5</c:f>
              <c:numCache>
                <c:formatCode>General</c:formatCode>
                <c:ptCount val="5"/>
                <c:pt idx="0">
                  <c:v>102.45269</c:v>
                </c:pt>
                <c:pt idx="1">
                  <c:v>100</c:v>
                </c:pt>
                <c:pt idx="2">
                  <c:v>96.627551249999996</c:v>
                </c:pt>
                <c:pt idx="3">
                  <c:v>95.503401670000002</c:v>
                </c:pt>
                <c:pt idx="4">
                  <c:v>96.065476459999999</c:v>
                </c:pt>
              </c:numCache>
            </c:numRef>
          </c:val>
          <c:extLst xmlns:c15="http://schemas.microsoft.com/office/drawing/2012/chart">
            <c:ext xmlns:c16="http://schemas.microsoft.com/office/drawing/2014/chart" uri="{C3380CC4-5D6E-409C-BE32-E72D297353CC}">
              <c16:uniqueId val="{0000000B-C368-4090-A311-EDFFCEBA1E39}"/>
            </c:ext>
          </c:extLst>
        </c:ser>
        <c:ser>
          <c:idx val="4"/>
          <c:order val="4"/>
          <c:tx>
            <c:strRef>
              <c:f>青城!$F$6</c:f>
              <c:strCache>
                <c:ptCount val="1"/>
                <c:pt idx="0">
                  <c:v>国見英ICO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青城!$G$6:$K$6</c:f>
              <c:numCache>
                <c:formatCode>General</c:formatCode>
                <c:ptCount val="5"/>
                <c:pt idx="0">
                  <c:v>96.934137500000006</c:v>
                </c:pt>
                <c:pt idx="1">
                  <c:v>95.266738599999996</c:v>
                </c:pt>
                <c:pt idx="2">
                  <c:v>98.875850420000006</c:v>
                </c:pt>
                <c:pt idx="3">
                  <c:v>96.252834719999996</c:v>
                </c:pt>
                <c:pt idx="4">
                  <c:v>96.065476459999999</c:v>
                </c:pt>
              </c:numCache>
            </c:numRef>
          </c:val>
          <c:extLst xmlns:c15="http://schemas.microsoft.com/office/drawing/2012/chart">
            <c:ext xmlns:c16="http://schemas.microsoft.com/office/drawing/2014/chart" uri="{C3380CC4-5D6E-409C-BE32-E72D297353CC}">
              <c16:uniqueId val="{00000001-C368-4090-A311-EDFFCEBA1E39}"/>
            </c:ext>
          </c:extLst>
        </c:ser>
        <c:ser>
          <c:idx val="5"/>
          <c:order val="5"/>
          <c:tx>
            <c:strRef>
              <c:f>青城!$F$7</c:f>
              <c:strCache>
                <c:ptCount val="1"/>
                <c:pt idx="0">
                  <c:v>渡親治ICO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青城!$G$7:$K$7</c:f>
              <c:numCache>
                <c:formatCode>General</c:formatCode>
                <c:ptCount val="5"/>
                <c:pt idx="0">
                  <c:v>95.707792499999996</c:v>
                </c:pt>
                <c:pt idx="1">
                  <c:v>95.740064739999994</c:v>
                </c:pt>
                <c:pt idx="2">
                  <c:v>104.4965983</c:v>
                </c:pt>
                <c:pt idx="3">
                  <c:v>106.74489749999999</c:v>
                </c:pt>
                <c:pt idx="4">
                  <c:v>95.503401670000002</c:v>
                </c:pt>
              </c:numCache>
            </c:numRef>
          </c:val>
          <c:extLst xmlns:c15="http://schemas.microsoft.com/office/drawing/2012/chart">
            <c:ext xmlns:c16="http://schemas.microsoft.com/office/drawing/2014/chart" uri="{C3380CC4-5D6E-409C-BE32-E72D297353CC}">
              <c16:uniqueId val="{0000000C-C368-4090-A311-EDFFCEBA1E39}"/>
            </c:ext>
          </c:extLst>
        </c:ser>
        <c:ser>
          <c:idx val="6"/>
          <c:order val="6"/>
          <c:tx>
            <c:strRef>
              <c:f>青城!$F$8</c:f>
              <c:strCache>
                <c:ptCount val="1"/>
                <c:pt idx="0">
                  <c:v>松川一静ICO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青城!$G$8:$K$8</c:f>
              <c:numCache>
                <c:formatCode>General</c:formatCode>
                <c:ptCount val="5"/>
                <c:pt idx="0">
                  <c:v>95.094620000000006</c:v>
                </c:pt>
                <c:pt idx="1">
                  <c:v>93.373434040000006</c:v>
                </c:pt>
                <c:pt idx="2">
                  <c:v>96.627551249999996</c:v>
                </c:pt>
                <c:pt idx="3">
                  <c:v>94.753968610000001</c:v>
                </c:pt>
                <c:pt idx="4">
                  <c:v>98.875850420000006</c:v>
                </c:pt>
              </c:numCache>
            </c:numRef>
          </c:val>
          <c:extLst xmlns:c15="http://schemas.microsoft.com/office/drawing/2012/chart">
            <c:ext xmlns:c16="http://schemas.microsoft.com/office/drawing/2014/chart" uri="{C3380CC4-5D6E-409C-BE32-E72D297353CC}">
              <c16:uniqueId val="{0000000D-C368-4090-A311-EDFFCEBA1E39}"/>
            </c:ext>
          </c:extLst>
        </c:ser>
        <c:ser>
          <c:idx val="7"/>
          <c:order val="7"/>
          <c:tx>
            <c:strRef>
              <c:f>青城!$F$9</c:f>
              <c:strCache>
                <c:ptCount val="1"/>
                <c:pt idx="0">
                  <c:v>花巻貴大ICO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青城!$G$9:$K$9</c:f>
              <c:numCache>
                <c:formatCode>General</c:formatCode>
                <c:ptCount val="5"/>
                <c:pt idx="0">
                  <c:v>96.320965000000001</c:v>
                </c:pt>
                <c:pt idx="1">
                  <c:v>95.740064739999994</c:v>
                </c:pt>
                <c:pt idx="2">
                  <c:v>101.1241496</c:v>
                </c:pt>
                <c:pt idx="3">
                  <c:v>97.751700830000004</c:v>
                </c:pt>
                <c:pt idx="4">
                  <c:v>97.751700830000004</c:v>
                </c:pt>
              </c:numCache>
            </c:numRef>
          </c:val>
          <c:extLst xmlns:c15="http://schemas.microsoft.com/office/drawing/2012/chart">
            <c:ext xmlns:c16="http://schemas.microsoft.com/office/drawing/2014/chart" uri="{C3380CC4-5D6E-409C-BE32-E72D297353CC}">
              <c16:uniqueId val="{0000000E-C368-4090-A311-EDFFCEBA1E39}"/>
            </c:ext>
          </c:extLst>
        </c:ser>
        <c:ser>
          <c:idx val="8"/>
          <c:order val="8"/>
          <c:tx>
            <c:strRef>
              <c:f>青城!$F$10</c:f>
              <c:strCache>
                <c:ptCount val="1"/>
                <c:pt idx="0">
                  <c:v>矢巾秀ICO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青城!$G$10:$K$10</c:f>
              <c:numCache>
                <c:formatCode>General</c:formatCode>
                <c:ptCount val="5"/>
                <c:pt idx="0">
                  <c:v>98.773655000000005</c:v>
                </c:pt>
                <c:pt idx="1">
                  <c:v>101.41997840000001</c:v>
                </c:pt>
                <c:pt idx="2">
                  <c:v>108.9931967</c:v>
                </c:pt>
                <c:pt idx="3">
                  <c:v>97.751700830000004</c:v>
                </c:pt>
                <c:pt idx="4">
                  <c:v>96.065476459999999</c:v>
                </c:pt>
              </c:numCache>
            </c:numRef>
          </c:val>
          <c:extLst xmlns:c15="http://schemas.microsoft.com/office/drawing/2012/chart">
            <c:ext xmlns:c16="http://schemas.microsoft.com/office/drawing/2014/chart" uri="{C3380CC4-5D6E-409C-BE32-E72D297353CC}">
              <c16:uniqueId val="{00000002-C368-4090-A311-EDFFCEBA1E39}"/>
            </c:ext>
          </c:extLst>
        </c:ser>
        <c:ser>
          <c:idx val="9"/>
          <c:order val="9"/>
          <c:tx>
            <c:strRef>
              <c:f>青城!$F$11</c:f>
              <c:strCache>
                <c:ptCount val="1"/>
                <c:pt idx="0">
                  <c:v>Xmas及川徹ICO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青城!$G$11:$K$11</c:f>
              <c:numCache>
                <c:formatCode>General</c:formatCode>
                <c:ptCount val="5"/>
                <c:pt idx="0">
                  <c:v>106.131725</c:v>
                </c:pt>
                <c:pt idx="1">
                  <c:v>106.626566</c:v>
                </c:pt>
                <c:pt idx="2">
                  <c:v>122.4829917</c:v>
                </c:pt>
                <c:pt idx="3">
                  <c:v>93.255102500000007</c:v>
                </c:pt>
                <c:pt idx="4">
                  <c:v>100</c:v>
                </c:pt>
              </c:numCache>
            </c:numRef>
          </c:val>
          <c:extLst xmlns:c15="http://schemas.microsoft.com/office/drawing/2012/chart">
            <c:ext xmlns:c16="http://schemas.microsoft.com/office/drawing/2014/chart" uri="{C3380CC4-5D6E-409C-BE32-E72D297353CC}">
              <c16:uniqueId val="{0000000F-C368-4090-A311-EDFFCEBA1E39}"/>
            </c:ext>
          </c:extLst>
        </c:ser>
        <c:ser>
          <c:idx val="10"/>
          <c:order val="10"/>
          <c:tx>
            <c:strRef>
              <c:f>青城!$F$12</c:f>
              <c:strCache>
                <c:ptCount val="1"/>
                <c:pt idx="0">
                  <c:v>雪遊び金田一勇太郎ICO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青城!$G$12:$K$12</c:f>
              <c:numCache>
                <c:formatCode>General</c:formatCode>
                <c:ptCount val="5"/>
                <c:pt idx="0">
                  <c:v>98.160482500000001</c:v>
                </c:pt>
                <c:pt idx="1">
                  <c:v>93.846760180000004</c:v>
                </c:pt>
                <c:pt idx="2">
                  <c:v>97.751700830000004</c:v>
                </c:pt>
                <c:pt idx="3">
                  <c:v>96.252834719999996</c:v>
                </c:pt>
                <c:pt idx="4">
                  <c:v>102.24829920000001</c:v>
                </c:pt>
              </c:numCache>
            </c:numRef>
          </c:val>
          <c:extLst xmlns:c15="http://schemas.microsoft.com/office/drawing/2012/chart">
            <c:ext xmlns:c16="http://schemas.microsoft.com/office/drawing/2014/chart" uri="{C3380CC4-5D6E-409C-BE32-E72D297353CC}">
              <c16:uniqueId val="{00000003-C368-4090-A311-EDFFCEBA1E39}"/>
            </c:ext>
          </c:extLst>
        </c:ser>
        <c:ser>
          <c:idx val="11"/>
          <c:order val="11"/>
          <c:tx>
            <c:strRef>
              <c:f>青城!$F$13</c:f>
              <c:strCache>
                <c:ptCount val="1"/>
                <c:pt idx="0">
                  <c:v>サバゲ岩泉一ICO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青城!$G$13:$K$13</c:f>
              <c:numCache>
                <c:formatCode>General</c:formatCode>
                <c:ptCount val="5"/>
                <c:pt idx="0">
                  <c:v>104.2922075</c:v>
                </c:pt>
                <c:pt idx="1">
                  <c:v>101.89330459999999</c:v>
                </c:pt>
                <c:pt idx="2">
                  <c:v>98.875850420000006</c:v>
                </c:pt>
                <c:pt idx="3">
                  <c:v>99.250566939999999</c:v>
                </c:pt>
                <c:pt idx="4">
                  <c:v>101.6862244</c:v>
                </c:pt>
              </c:numCache>
            </c:numRef>
          </c:val>
          <c:extLst xmlns:c15="http://schemas.microsoft.com/office/drawing/2012/chart">
            <c:ext xmlns:c16="http://schemas.microsoft.com/office/drawing/2014/chart" uri="{C3380CC4-5D6E-409C-BE32-E72D297353CC}">
              <c16:uniqueId val="{00000004-C368-4090-A311-EDFFCEBA1E39}"/>
            </c:ext>
          </c:extLst>
        </c:ser>
        <c:ser>
          <c:idx val="12"/>
          <c:order val="12"/>
          <c:tx>
            <c:strRef>
              <c:f>青城!$F$14</c:f>
              <c:strCache>
                <c:ptCount val="1"/>
                <c:pt idx="0">
                  <c:v>路地裏及川徹ICO</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青城!$G$14:$K$14</c:f>
              <c:numCache>
                <c:formatCode>General</c:formatCode>
                <c:ptCount val="5"/>
                <c:pt idx="0">
                  <c:v>105.5185525</c:v>
                </c:pt>
                <c:pt idx="1">
                  <c:v>111.83315349999999</c:v>
                </c:pt>
                <c:pt idx="2">
                  <c:v>121.3588421</c:v>
                </c:pt>
                <c:pt idx="3">
                  <c:v>97.751700830000004</c:v>
                </c:pt>
                <c:pt idx="4">
                  <c:v>96.627551249999996</c:v>
                </c:pt>
              </c:numCache>
            </c:numRef>
          </c:val>
          <c:extLst xmlns:c15="http://schemas.microsoft.com/office/drawing/2012/chart">
            <c:ext xmlns:c16="http://schemas.microsoft.com/office/drawing/2014/chart" uri="{C3380CC4-5D6E-409C-BE32-E72D297353CC}">
              <c16:uniqueId val="{00000010-C368-4090-A311-EDFFCEBA1E39}"/>
            </c:ext>
          </c:extLst>
        </c:ser>
        <c:ser>
          <c:idx val="13"/>
          <c:order val="13"/>
          <c:tx>
            <c:strRef>
              <c:f>青城!$F$15</c:f>
              <c:strCache>
                <c:ptCount val="1"/>
                <c:pt idx="0">
                  <c:v>路地裏国見英ICO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青城!$G$15:$K$15</c:f>
              <c:numCache>
                <c:formatCode>General</c:formatCode>
                <c:ptCount val="5"/>
                <c:pt idx="0">
                  <c:v>98.160482500000001</c:v>
                </c:pt>
                <c:pt idx="1">
                  <c:v>95.740064739999994</c:v>
                </c:pt>
                <c:pt idx="2">
                  <c:v>98.875850420000006</c:v>
                </c:pt>
                <c:pt idx="3">
                  <c:v>100</c:v>
                </c:pt>
                <c:pt idx="4">
                  <c:v>100.5620748</c:v>
                </c:pt>
              </c:numCache>
            </c:numRef>
          </c:val>
          <c:extLst xmlns:c15="http://schemas.microsoft.com/office/drawing/2012/chart">
            <c:ext xmlns:c16="http://schemas.microsoft.com/office/drawing/2014/chart" uri="{C3380CC4-5D6E-409C-BE32-E72D297353CC}">
              <c16:uniqueId val="{00000005-C368-4090-A311-EDFFCEBA1E39}"/>
            </c:ext>
          </c:extLst>
        </c:ser>
        <c:ser>
          <c:idx val="14"/>
          <c:order val="14"/>
          <c:tx>
            <c:strRef>
              <c:f>青城!$F$16</c:f>
              <c:strCache>
                <c:ptCount val="1"/>
                <c:pt idx="0">
                  <c:v>バーガー花巻貴大ICO</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青城!$G$16:$K$16</c:f>
              <c:numCache>
                <c:formatCode>General</c:formatCode>
                <c:ptCount val="5"/>
                <c:pt idx="0">
                  <c:v>100</c:v>
                </c:pt>
                <c:pt idx="1">
                  <c:v>95.740064739999994</c:v>
                </c:pt>
                <c:pt idx="2">
                  <c:v>104.4965983</c:v>
                </c:pt>
                <c:pt idx="3">
                  <c:v>97.751700830000004</c:v>
                </c:pt>
                <c:pt idx="4">
                  <c:v>101.1241496</c:v>
                </c:pt>
              </c:numCache>
            </c:numRef>
          </c:val>
          <c:extLst xmlns:c15="http://schemas.microsoft.com/office/drawing/2012/chart">
            <c:ext xmlns:c16="http://schemas.microsoft.com/office/drawing/2014/chart" uri="{C3380CC4-5D6E-409C-BE32-E72D297353CC}">
              <c16:uniqueId val="{00000006-C368-4090-A311-EDFFCEBA1E39}"/>
            </c:ext>
          </c:extLst>
        </c:ser>
        <c:ser>
          <c:idx val="15"/>
          <c:order val="15"/>
          <c:tx>
            <c:strRef>
              <c:f>青城!$F$17</c:f>
              <c:strCache>
                <c:ptCount val="1"/>
                <c:pt idx="0">
                  <c:v>梅雨京谷賢太郎ICO</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青城!$G$17:$K$17</c:f>
              <c:numCache>
                <c:formatCode>General</c:formatCode>
                <c:ptCount val="5"/>
                <c:pt idx="0">
                  <c:v>104.2922075</c:v>
                </c:pt>
                <c:pt idx="1">
                  <c:v>101.89330459999999</c:v>
                </c:pt>
                <c:pt idx="2">
                  <c:v>97.751700830000004</c:v>
                </c:pt>
                <c:pt idx="3">
                  <c:v>97.002267779999997</c:v>
                </c:pt>
                <c:pt idx="4">
                  <c:v>98.313775629999995</c:v>
                </c:pt>
              </c:numCache>
            </c:numRef>
          </c:val>
          <c:extLst xmlns:c15="http://schemas.microsoft.com/office/drawing/2012/chart">
            <c:ext xmlns:c16="http://schemas.microsoft.com/office/drawing/2014/chart" uri="{C3380CC4-5D6E-409C-BE32-E72D297353CC}">
              <c16:uniqueId val="{00000011-C368-4090-A311-EDFFCEBA1E39}"/>
            </c:ext>
          </c:extLst>
        </c:ser>
        <c:ser>
          <c:idx val="16"/>
          <c:order val="16"/>
          <c:tx>
            <c:strRef>
              <c:f>青城!$F$18</c:f>
              <c:strCache>
                <c:ptCount val="1"/>
                <c:pt idx="0">
                  <c:v>キャンプ矢巾秀ICO</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青城!$G$18:$K$18</c:f>
              <c:numCache>
                <c:formatCode>General</c:formatCode>
                <c:ptCount val="5"/>
                <c:pt idx="0">
                  <c:v>99.386827499999995</c:v>
                </c:pt>
                <c:pt idx="1">
                  <c:v>104.2599353</c:v>
                </c:pt>
                <c:pt idx="2">
                  <c:v>112.36564540000001</c:v>
                </c:pt>
                <c:pt idx="3">
                  <c:v>99.250566939999999</c:v>
                </c:pt>
                <c:pt idx="4">
                  <c:v>97.189626039999993</c:v>
                </c:pt>
              </c:numCache>
            </c:numRef>
          </c:val>
          <c:extLst xmlns:c15="http://schemas.microsoft.com/office/drawing/2012/chart">
            <c:ext xmlns:c16="http://schemas.microsoft.com/office/drawing/2014/chart" uri="{C3380CC4-5D6E-409C-BE32-E72D297353CC}">
              <c16:uniqueId val="{00000007-C368-4090-A311-EDFFCEBA1E39}"/>
            </c:ext>
          </c:extLst>
        </c:ser>
        <c:ser>
          <c:idx val="17"/>
          <c:order val="17"/>
          <c:tx>
            <c:strRef>
              <c:f>青城!$F$19</c:f>
              <c:strCache>
                <c:ptCount val="1"/>
                <c:pt idx="0">
                  <c:v>制服及川徹ICO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青城!$G$19:$K$19</c:f>
              <c:numCache>
                <c:formatCode>General</c:formatCode>
                <c:ptCount val="5"/>
                <c:pt idx="0">
                  <c:v>106.74489749999999</c:v>
                </c:pt>
                <c:pt idx="1">
                  <c:v>106.626566</c:v>
                </c:pt>
                <c:pt idx="2">
                  <c:v>117.9863933</c:v>
                </c:pt>
                <c:pt idx="3">
                  <c:v>96.252834719999996</c:v>
                </c:pt>
                <c:pt idx="4">
                  <c:v>98.875850420000006</c:v>
                </c:pt>
              </c:numCache>
            </c:numRef>
          </c:val>
          <c:extLst xmlns:c15="http://schemas.microsoft.com/office/drawing/2012/chart">
            <c:ext xmlns:c16="http://schemas.microsoft.com/office/drawing/2014/chart" uri="{C3380CC4-5D6E-409C-BE32-E72D297353CC}">
              <c16:uniqueId val="{00000012-C368-4090-A311-EDFFCEBA1E39}"/>
            </c:ext>
          </c:extLst>
        </c:ser>
        <c:ser>
          <c:idx val="18"/>
          <c:order val="18"/>
          <c:tx>
            <c:strRef>
              <c:f>青城!$F$20</c:f>
              <c:strCache>
                <c:ptCount val="1"/>
                <c:pt idx="0">
                  <c:v>制服岩泉一ICO</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青城!$G$20:$K$20</c:f>
              <c:numCache>
                <c:formatCode>General</c:formatCode>
                <c:ptCount val="5"/>
                <c:pt idx="0">
                  <c:v>104.2922075</c:v>
                </c:pt>
                <c:pt idx="1">
                  <c:v>105.2065875</c:v>
                </c:pt>
                <c:pt idx="2">
                  <c:v>98.875850420000006</c:v>
                </c:pt>
                <c:pt idx="3">
                  <c:v>98.501133890000006</c:v>
                </c:pt>
                <c:pt idx="4">
                  <c:v>97.751700830000004</c:v>
                </c:pt>
              </c:numCache>
            </c:numRef>
          </c:val>
          <c:extLst xmlns:c15="http://schemas.microsoft.com/office/drawing/2012/chart">
            <c:ext xmlns:c16="http://schemas.microsoft.com/office/drawing/2014/chart" uri="{C3380CC4-5D6E-409C-BE32-E72D297353CC}">
              <c16:uniqueId val="{00000008-C368-4090-A311-EDFFCEBA1E39}"/>
            </c:ext>
          </c:extLst>
        </c:ser>
        <c:ser>
          <c:idx val="19"/>
          <c:order val="19"/>
          <c:tx>
            <c:strRef>
              <c:f>青城!$F$21</c:f>
              <c:strCache>
                <c:ptCount val="1"/>
                <c:pt idx="0">
                  <c:v>バカンス及川徹ICO</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青城!$G$21:$K$21</c:f>
              <c:numCache>
                <c:formatCode>General</c:formatCode>
                <c:ptCount val="5"/>
                <c:pt idx="0">
                  <c:v>105.5185525</c:v>
                </c:pt>
                <c:pt idx="1">
                  <c:v>109.46652280000001</c:v>
                </c:pt>
                <c:pt idx="2">
                  <c:v>122.4829917</c:v>
                </c:pt>
                <c:pt idx="3">
                  <c:v>98.501133890000006</c:v>
                </c:pt>
                <c:pt idx="4">
                  <c:v>98.875850420000006</c:v>
                </c:pt>
              </c:numCache>
            </c:numRef>
          </c:val>
          <c:extLst xmlns:c15="http://schemas.microsoft.com/office/drawing/2012/chart">
            <c:ext xmlns:c16="http://schemas.microsoft.com/office/drawing/2014/chart" uri="{C3380CC4-5D6E-409C-BE32-E72D297353CC}">
              <c16:uniqueId val="{00000038-FE2D-480B-A54D-72DF990A162C}"/>
            </c:ext>
          </c:extLst>
        </c:ser>
        <c:ser>
          <c:idx val="20"/>
          <c:order val="20"/>
          <c:tx>
            <c:strRef>
              <c:f>青城!$F$22</c:f>
              <c:strCache>
                <c:ptCount val="1"/>
                <c:pt idx="0">
                  <c:v>バカンス岩泉一ICO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青城!$G$22:$K$22</c:f>
              <c:numCache>
                <c:formatCode>General</c:formatCode>
                <c:ptCount val="5"/>
                <c:pt idx="0">
                  <c:v>106.131725</c:v>
                </c:pt>
                <c:pt idx="1">
                  <c:v>101.41997840000001</c:v>
                </c:pt>
                <c:pt idx="2">
                  <c:v>97.751700830000004</c:v>
                </c:pt>
                <c:pt idx="3">
                  <c:v>97.751700830000004</c:v>
                </c:pt>
                <c:pt idx="4">
                  <c:v>101.6862244</c:v>
                </c:pt>
              </c:numCache>
            </c:numRef>
          </c:val>
          <c:extLst xmlns:c15="http://schemas.microsoft.com/office/drawing/2012/chart">
            <c:ext xmlns:c16="http://schemas.microsoft.com/office/drawing/2014/chart" uri="{C3380CC4-5D6E-409C-BE32-E72D297353CC}">
              <c16:uniqueId val="{00000039-FE2D-480B-A54D-72DF990A162C}"/>
            </c:ext>
          </c:extLst>
        </c:ser>
        <c:ser>
          <c:idx val="21"/>
          <c:order val="21"/>
          <c:tx>
            <c:strRef>
              <c:f>青城!$F$23</c:f>
              <c:strCache>
                <c:ptCount val="1"/>
                <c:pt idx="0">
                  <c:v>バカンス松川一静ICO</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青城!$G$23:$K$23</c:f>
              <c:numCache>
                <c:formatCode>General</c:formatCode>
                <c:ptCount val="5"/>
                <c:pt idx="0">
                  <c:v>96.320965000000001</c:v>
                </c:pt>
                <c:pt idx="1">
                  <c:v>96.213390880000006</c:v>
                </c:pt>
                <c:pt idx="2">
                  <c:v>95.503401670000002</c:v>
                </c:pt>
                <c:pt idx="3">
                  <c:v>94.753968610000001</c:v>
                </c:pt>
                <c:pt idx="4">
                  <c:v>103.9345235</c:v>
                </c:pt>
              </c:numCache>
            </c:numRef>
          </c:val>
          <c:extLst xmlns:c15="http://schemas.microsoft.com/office/drawing/2012/chart">
            <c:ext xmlns:c16="http://schemas.microsoft.com/office/drawing/2014/chart" uri="{C3380CC4-5D6E-409C-BE32-E72D297353CC}">
              <c16:uniqueId val="{0000003A-FE2D-480B-A54D-72DF990A162C}"/>
            </c:ext>
          </c:extLst>
        </c:ser>
        <c:ser>
          <c:idx val="22"/>
          <c:order val="22"/>
          <c:tx>
            <c:strRef>
              <c:f>青城!$F$24</c:f>
              <c:strCache>
                <c:ptCount val="1"/>
                <c:pt idx="0">
                  <c:v>カンフー金田一勇太郎ICO</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青城!$G$24:$K$24</c:f>
              <c:numCache>
                <c:formatCode>General</c:formatCode>
                <c:ptCount val="5"/>
                <c:pt idx="0">
                  <c:v>97.547309999999996</c:v>
                </c:pt>
                <c:pt idx="1">
                  <c:v>96.213390880000006</c:v>
                </c:pt>
                <c:pt idx="2">
                  <c:v>96.627551249999996</c:v>
                </c:pt>
                <c:pt idx="3">
                  <c:v>98.501133890000006</c:v>
                </c:pt>
                <c:pt idx="4">
                  <c:v>100</c:v>
                </c:pt>
              </c:numCache>
            </c:numRef>
          </c:val>
          <c:extLst xmlns:c15="http://schemas.microsoft.com/office/drawing/2012/chart">
            <c:ext xmlns:c16="http://schemas.microsoft.com/office/drawing/2014/chart" uri="{C3380CC4-5D6E-409C-BE32-E72D297353CC}">
              <c16:uniqueId val="{00000000-9806-42DA-86BF-FA23C064CC88}"/>
            </c:ext>
          </c:extLst>
        </c:ser>
        <c:ser>
          <c:idx val="23"/>
          <c:order val="23"/>
          <c:tx>
            <c:strRef>
              <c:f>青城!$F$25</c:f>
              <c:strCache>
                <c:ptCount val="1"/>
                <c:pt idx="0">
                  <c:v>カンフー国見英ICO</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青城!$G$25:$K$25</c:f>
              <c:numCache>
                <c:formatCode>General</c:formatCode>
                <c:ptCount val="5"/>
                <c:pt idx="0">
                  <c:v>101.22634499999999</c:v>
                </c:pt>
                <c:pt idx="1">
                  <c:v>95.266738599999996</c:v>
                </c:pt>
                <c:pt idx="2">
                  <c:v>102.24829920000001</c:v>
                </c:pt>
                <c:pt idx="3">
                  <c:v>96.252834719999996</c:v>
                </c:pt>
                <c:pt idx="4">
                  <c:v>99.437925210000003</c:v>
                </c:pt>
              </c:numCache>
            </c:numRef>
          </c:val>
          <c:extLst xmlns:c15="http://schemas.microsoft.com/office/drawing/2012/chart">
            <c:ext xmlns:c16="http://schemas.microsoft.com/office/drawing/2014/chart" uri="{C3380CC4-5D6E-409C-BE32-E72D297353CC}">
              <c16:uniqueId val="{00000000-BAD0-4210-AE9A-6A9FA3C69370}"/>
            </c:ext>
          </c:extLst>
        </c:ser>
        <c:ser>
          <c:idx val="24"/>
          <c:order val="24"/>
          <c:tx>
            <c:strRef>
              <c:f>青城!$F$26</c:f>
              <c:strCache>
                <c:ptCount val="1"/>
                <c:pt idx="0">
                  <c:v>プール掃除及川徹ICO</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青城!$G$26:$K$26</c:f>
              <c:numCache>
                <c:formatCode>General</c:formatCode>
                <c:ptCount val="5"/>
                <c:pt idx="0">
                  <c:v>104.90537999999999</c:v>
                </c:pt>
                <c:pt idx="1">
                  <c:v>109.46652280000001</c:v>
                </c:pt>
                <c:pt idx="2">
                  <c:v>119.1105429</c:v>
                </c:pt>
                <c:pt idx="3">
                  <c:v>96.252834719999996</c:v>
                </c:pt>
                <c:pt idx="4">
                  <c:v>96.627551249999996</c:v>
                </c:pt>
              </c:numCache>
            </c:numRef>
          </c:val>
          <c:extLst xmlns:c15="http://schemas.microsoft.com/office/drawing/2012/chart">
            <c:ext xmlns:c16="http://schemas.microsoft.com/office/drawing/2014/chart" uri="{C3380CC4-5D6E-409C-BE32-E72D297353CC}">
              <c16:uniqueId val="{00000018-92E2-4003-A829-07AC22EDC938}"/>
            </c:ext>
          </c:extLst>
        </c:ser>
        <c:ser>
          <c:idx val="25"/>
          <c:order val="25"/>
          <c:tx>
            <c:strRef>
              <c:f>青城!$F$27</c:f>
              <c:strCache>
                <c:ptCount val="1"/>
                <c:pt idx="0">
                  <c:v>プール掃除岩泉一ICO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青城!$G$27:$K$27</c:f>
              <c:numCache>
                <c:formatCode>General</c:formatCode>
                <c:ptCount val="5"/>
                <c:pt idx="0">
                  <c:v>104.90537999999999</c:v>
                </c:pt>
                <c:pt idx="1">
                  <c:v>103.313283</c:v>
                </c:pt>
                <c:pt idx="2">
                  <c:v>100</c:v>
                </c:pt>
                <c:pt idx="3">
                  <c:v>97.002267779999997</c:v>
                </c:pt>
                <c:pt idx="4">
                  <c:v>100</c:v>
                </c:pt>
              </c:numCache>
            </c:numRef>
          </c:val>
          <c:extLst xmlns:c15="http://schemas.microsoft.com/office/drawing/2012/chart">
            <c:ext xmlns:c16="http://schemas.microsoft.com/office/drawing/2014/chart" uri="{C3380CC4-5D6E-409C-BE32-E72D297353CC}">
              <c16:uniqueId val="{00000000-0085-40CB-ADB7-65DD017648E7}"/>
            </c:ext>
          </c:extLst>
        </c:ser>
        <c:ser>
          <c:idx val="26"/>
          <c:order val="26"/>
          <c:tx>
            <c:strRef>
              <c:f>青城!$F$28</c:f>
              <c:strCache>
                <c:ptCount val="1"/>
                <c:pt idx="0">
                  <c:v>路地裏2岩泉一ICO</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青城!$G$28:$K$28</c:f>
              <c:numCache>
                <c:formatCode>General</c:formatCode>
                <c:ptCount val="5"/>
                <c:pt idx="0">
                  <c:v>106.74489749999999</c:v>
                </c:pt>
                <c:pt idx="1">
                  <c:v>103.313283</c:v>
                </c:pt>
                <c:pt idx="2">
                  <c:v>101.1241496</c:v>
                </c:pt>
                <c:pt idx="3">
                  <c:v>98.501133890000006</c:v>
                </c:pt>
                <c:pt idx="4">
                  <c:v>102.24829920000001</c:v>
                </c:pt>
              </c:numCache>
            </c:numRef>
          </c:val>
          <c:extLst xmlns:c15="http://schemas.microsoft.com/office/drawing/2012/chart">
            <c:ext xmlns:c16="http://schemas.microsoft.com/office/drawing/2014/chart" uri="{C3380CC4-5D6E-409C-BE32-E72D297353CC}">
              <c16:uniqueId val="{00000000-3E33-4A1D-A8FA-4F03E39685BB}"/>
            </c:ext>
          </c:extLst>
        </c:ser>
        <c:ser>
          <c:idx val="27"/>
          <c:order val="27"/>
          <c:tx>
            <c:strRef>
              <c:f>青城!$F$29</c:f>
              <c:strCache>
                <c:ptCount val="1"/>
                <c:pt idx="0">
                  <c:v>2周年及川徹ICO</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青城!$G$29:$K$29</c:f>
              <c:numCache>
                <c:formatCode>General</c:formatCode>
                <c:ptCount val="5"/>
                <c:pt idx="0">
                  <c:v>106.74489749999999</c:v>
                </c:pt>
                <c:pt idx="1">
                  <c:v>109.9398489</c:v>
                </c:pt>
                <c:pt idx="2">
                  <c:v>120.23469249999999</c:v>
                </c:pt>
                <c:pt idx="3">
                  <c:v>100</c:v>
                </c:pt>
                <c:pt idx="4">
                  <c:v>97.751700830000004</c:v>
                </c:pt>
              </c:numCache>
            </c:numRef>
          </c:val>
          <c:extLst>
            <c:ext xmlns:c16="http://schemas.microsoft.com/office/drawing/2014/chart" uri="{C3380CC4-5D6E-409C-BE32-E72D297353CC}">
              <c16:uniqueId val="{00000000-3963-447F-9443-AFCEE22575EC}"/>
            </c:ext>
          </c:extLst>
        </c:ser>
        <c:ser>
          <c:idx val="28"/>
          <c:order val="28"/>
          <c:tx>
            <c:strRef>
              <c:f>青城!$F$30</c:f>
              <c:strCache>
                <c:ptCount val="1"/>
                <c:pt idx="0">
                  <c:v>妖花巻貴大ICO</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青城!$G$30:$K$30</c:f>
              <c:numCache>
                <c:formatCode>General</c:formatCode>
                <c:ptCount val="5"/>
                <c:pt idx="0">
                  <c:v>97.547309999999996</c:v>
                </c:pt>
                <c:pt idx="1">
                  <c:v>100</c:v>
                </c:pt>
                <c:pt idx="2">
                  <c:v>101.1241496</c:v>
                </c:pt>
                <c:pt idx="3">
                  <c:v>101.4988661</c:v>
                </c:pt>
                <c:pt idx="4">
                  <c:v>97.751700830000004</c:v>
                </c:pt>
              </c:numCache>
            </c:numRef>
          </c:val>
          <c:extLst>
            <c:ext xmlns:c16="http://schemas.microsoft.com/office/drawing/2014/chart" uri="{C3380CC4-5D6E-409C-BE32-E72D297353CC}">
              <c16:uniqueId val="{00000001-3963-447F-9443-AFCEE22575EC}"/>
            </c:ext>
          </c:extLst>
        </c:ser>
        <c:ser>
          <c:idx val="29"/>
          <c:order val="29"/>
          <c:tx>
            <c:strRef>
              <c:f>青城!$F$31</c:f>
              <c:strCache>
                <c:ptCount val="1"/>
                <c:pt idx="0">
                  <c:v>中学生金田一勇太郎ICO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青城!$G$31:$K$31</c:f>
              <c:numCache>
                <c:formatCode>General</c:formatCode>
                <c:ptCount val="5"/>
                <c:pt idx="0">
                  <c:v>99.386827499999995</c:v>
                </c:pt>
                <c:pt idx="1">
                  <c:v>91.953455610000006</c:v>
                </c:pt>
                <c:pt idx="2">
                  <c:v>97.751700830000004</c:v>
                </c:pt>
                <c:pt idx="3">
                  <c:v>95.503401670000002</c:v>
                </c:pt>
                <c:pt idx="4">
                  <c:v>105.6207479</c:v>
                </c:pt>
              </c:numCache>
            </c:numRef>
          </c:val>
          <c:extLst>
            <c:ext xmlns:c16="http://schemas.microsoft.com/office/drawing/2014/chart" uri="{C3380CC4-5D6E-409C-BE32-E72D297353CC}">
              <c16:uniqueId val="{00000002-3963-447F-9443-AFCEE22575EC}"/>
            </c:ext>
          </c:extLst>
        </c:ser>
        <c:ser>
          <c:idx val="30"/>
          <c:order val="30"/>
          <c:tx>
            <c:strRef>
              <c:f>青城!$F$32</c:f>
              <c:strCache>
                <c:ptCount val="1"/>
                <c:pt idx="0">
                  <c:v>中学生国見英ICO</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青城!$G$32:$K$32</c:f>
              <c:numCache>
                <c:formatCode>General</c:formatCode>
                <c:ptCount val="5"/>
                <c:pt idx="0">
                  <c:v>98.160482500000001</c:v>
                </c:pt>
                <c:pt idx="1">
                  <c:v>95.740064739999994</c:v>
                </c:pt>
                <c:pt idx="2">
                  <c:v>100</c:v>
                </c:pt>
                <c:pt idx="3">
                  <c:v>103.74716530000001</c:v>
                </c:pt>
                <c:pt idx="4">
                  <c:v>103.3724488</c:v>
                </c:pt>
              </c:numCache>
            </c:numRef>
          </c:val>
          <c:extLst>
            <c:ext xmlns:c16="http://schemas.microsoft.com/office/drawing/2014/chart" uri="{C3380CC4-5D6E-409C-BE32-E72D297353CC}">
              <c16:uniqueId val="{00000003-3963-447F-9443-AFCEE22575EC}"/>
            </c:ext>
          </c:extLst>
        </c:ser>
        <c:ser>
          <c:idx val="31"/>
          <c:order val="31"/>
          <c:tx>
            <c:strRef>
              <c:f>青城!$F$33</c:f>
              <c:strCache>
                <c:ptCount val="1"/>
                <c:pt idx="0">
                  <c:v>水着2京谷賢太郎ICO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青城!$G$33:$K$33</c:f>
              <c:numCache>
                <c:formatCode>General</c:formatCode>
                <c:ptCount val="5"/>
                <c:pt idx="0">
                  <c:v>106.131725</c:v>
                </c:pt>
                <c:pt idx="1">
                  <c:v>99.526673900000006</c:v>
                </c:pt>
                <c:pt idx="2">
                  <c:v>95.503401670000002</c:v>
                </c:pt>
                <c:pt idx="3">
                  <c:v>98.501133890000006</c:v>
                </c:pt>
                <c:pt idx="4">
                  <c:v>100.5620748</c:v>
                </c:pt>
              </c:numCache>
            </c:numRef>
          </c:val>
          <c:extLst>
            <c:ext xmlns:c16="http://schemas.microsoft.com/office/drawing/2014/chart" uri="{C3380CC4-5D6E-409C-BE32-E72D297353CC}">
              <c16:uniqueId val="{00000004-3963-447F-9443-AFCEE22575EC}"/>
            </c:ext>
          </c:extLst>
        </c:ser>
        <c:ser>
          <c:idx val="32"/>
          <c:order val="32"/>
          <c:tx>
            <c:strRef>
              <c:f>青城!$F$34</c:f>
              <c:strCache>
                <c:ptCount val="1"/>
                <c:pt idx="0">
                  <c:v>夏祭り2及川徹ICO</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青城!$G$34:$K$34</c:f>
              <c:numCache>
                <c:formatCode>General</c:formatCode>
                <c:ptCount val="5"/>
                <c:pt idx="0">
                  <c:v>106.131725</c:v>
                </c:pt>
                <c:pt idx="1">
                  <c:v>113.2531319</c:v>
                </c:pt>
                <c:pt idx="2">
                  <c:v>123.60714129999999</c:v>
                </c:pt>
                <c:pt idx="3">
                  <c:v>99.250566939999999</c:v>
                </c:pt>
                <c:pt idx="4">
                  <c:v>97.751700830000004</c:v>
                </c:pt>
              </c:numCache>
            </c:numRef>
          </c:val>
          <c:extLst>
            <c:ext xmlns:c16="http://schemas.microsoft.com/office/drawing/2014/chart" uri="{C3380CC4-5D6E-409C-BE32-E72D297353CC}">
              <c16:uniqueId val="{00000005-3963-447F-9443-AFCEE22575EC}"/>
            </c:ext>
          </c:extLst>
        </c:ser>
        <c:ser>
          <c:idx val="33"/>
          <c:order val="33"/>
          <c:tx>
            <c:strRef>
              <c:f>青城!$F$35</c:f>
              <c:strCache>
                <c:ptCount val="1"/>
                <c:pt idx="0">
                  <c:v>夏祭り2岩泉一ICO</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青城!$G$35:$K$35</c:f>
              <c:numCache>
                <c:formatCode>General</c:formatCode>
                <c:ptCount val="5"/>
                <c:pt idx="0">
                  <c:v>105.5185525</c:v>
                </c:pt>
                <c:pt idx="1">
                  <c:v>103.313283</c:v>
                </c:pt>
                <c:pt idx="2">
                  <c:v>100</c:v>
                </c:pt>
                <c:pt idx="3">
                  <c:v>100</c:v>
                </c:pt>
                <c:pt idx="4">
                  <c:v>103.3724488</c:v>
                </c:pt>
              </c:numCache>
            </c:numRef>
          </c:val>
          <c:extLst>
            <c:ext xmlns:c16="http://schemas.microsoft.com/office/drawing/2014/chart" uri="{C3380CC4-5D6E-409C-BE32-E72D297353CC}">
              <c16:uniqueId val="{00000006-3963-447F-9443-AFCEE22575EC}"/>
            </c:ext>
          </c:extLst>
        </c:ser>
        <c:ser>
          <c:idx val="34"/>
          <c:order val="34"/>
          <c:tx>
            <c:strRef>
              <c:f>青城!$F$36</c:f>
              <c:strCache>
                <c:ptCount val="1"/>
                <c:pt idx="0">
                  <c:v>焼き芋松川一静ICO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青城!$G$36:$K$36</c:f>
              <c:numCache>
                <c:formatCode>General</c:formatCode>
                <c:ptCount val="5"/>
                <c:pt idx="0">
                  <c:v>98.160482500000001</c:v>
                </c:pt>
                <c:pt idx="1">
                  <c:v>94.320086320000001</c:v>
                </c:pt>
                <c:pt idx="2">
                  <c:v>100</c:v>
                </c:pt>
                <c:pt idx="3">
                  <c:v>97.002267779999997</c:v>
                </c:pt>
                <c:pt idx="4">
                  <c:v>105.05867309999999</c:v>
                </c:pt>
              </c:numCache>
            </c:numRef>
          </c:val>
          <c:extLst>
            <c:ext xmlns:c16="http://schemas.microsoft.com/office/drawing/2014/chart" uri="{C3380CC4-5D6E-409C-BE32-E72D297353CC}">
              <c16:uniqueId val="{00000007-3963-447F-9443-AFCEE22575EC}"/>
            </c:ext>
          </c:extLst>
        </c:ser>
        <c:ser>
          <c:idx val="35"/>
          <c:order val="35"/>
          <c:tx>
            <c:strRef>
              <c:f>青城!$F$37</c:f>
              <c:strCache>
                <c:ptCount val="1"/>
                <c:pt idx="0">
                  <c:v>焼き芋花巻貴大ICO</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青城!$G$37:$K$37</c:f>
              <c:numCache>
                <c:formatCode>General</c:formatCode>
                <c:ptCount val="5"/>
                <c:pt idx="0">
                  <c:v>100.6131725</c:v>
                </c:pt>
                <c:pt idx="1">
                  <c:v>97.633369299999998</c:v>
                </c:pt>
                <c:pt idx="2">
                  <c:v>103.3724488</c:v>
                </c:pt>
                <c:pt idx="3">
                  <c:v>100.7494331</c:v>
                </c:pt>
                <c:pt idx="4">
                  <c:v>102.24829920000001</c:v>
                </c:pt>
              </c:numCache>
            </c:numRef>
          </c:val>
          <c:extLst>
            <c:ext xmlns:c16="http://schemas.microsoft.com/office/drawing/2014/chart" uri="{C3380CC4-5D6E-409C-BE32-E72D297353CC}">
              <c16:uniqueId val="{00000008-3963-447F-9443-AFCEE22575EC}"/>
            </c:ext>
          </c:extLst>
        </c:ser>
        <c:ser>
          <c:idx val="36"/>
          <c:order val="36"/>
          <c:tx>
            <c:strRef>
              <c:f>青城!$F$38</c:f>
              <c:strCache>
                <c:ptCount val="1"/>
                <c:pt idx="0">
                  <c:v>Xmas3岩泉一ICO</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青城!$G$38:$K$38</c:f>
              <c:numCache>
                <c:formatCode>General</c:formatCode>
                <c:ptCount val="5"/>
                <c:pt idx="0">
                  <c:v>107.9712425</c:v>
                </c:pt>
                <c:pt idx="1">
                  <c:v>104.2599353</c:v>
                </c:pt>
                <c:pt idx="2">
                  <c:v>102.24829920000001</c:v>
                </c:pt>
                <c:pt idx="3">
                  <c:v>100</c:v>
                </c:pt>
                <c:pt idx="4">
                  <c:v>103.9345235</c:v>
                </c:pt>
              </c:numCache>
            </c:numRef>
          </c:val>
          <c:extLst>
            <c:ext xmlns:c16="http://schemas.microsoft.com/office/drawing/2014/chart" uri="{C3380CC4-5D6E-409C-BE32-E72D297353CC}">
              <c16:uniqueId val="{00000009-3963-447F-9443-AFCEE22575EC}"/>
            </c:ext>
          </c:extLst>
        </c:ser>
        <c:ser>
          <c:idx val="37"/>
          <c:order val="37"/>
          <c:tx>
            <c:strRef>
              <c:f>青城!$F$39</c:f>
              <c:strCache>
                <c:ptCount val="1"/>
                <c:pt idx="0">
                  <c:v>寝正月国見英ICO</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青城!$G$39:$K$39</c:f>
              <c:numCache>
                <c:formatCode>General</c:formatCode>
                <c:ptCount val="5"/>
                <c:pt idx="0">
                  <c:v>103.06586249999999</c:v>
                </c:pt>
                <c:pt idx="1">
                  <c:v>95.266738599999996</c:v>
                </c:pt>
                <c:pt idx="2">
                  <c:v>103.3724488</c:v>
                </c:pt>
                <c:pt idx="3">
                  <c:v>97.751700830000004</c:v>
                </c:pt>
                <c:pt idx="4">
                  <c:v>101.6862244</c:v>
                </c:pt>
              </c:numCache>
            </c:numRef>
          </c:val>
          <c:extLst>
            <c:ext xmlns:c16="http://schemas.microsoft.com/office/drawing/2014/chart" uri="{C3380CC4-5D6E-409C-BE32-E72D297353CC}">
              <c16:uniqueId val="{0000000A-3963-447F-9443-AFCEE22575EC}"/>
            </c:ext>
          </c:extLst>
        </c:ser>
        <c:ser>
          <c:idx val="38"/>
          <c:order val="38"/>
          <c:tx>
            <c:strRef>
              <c:f>青城!$F$40</c:f>
              <c:strCache>
                <c:ptCount val="1"/>
                <c:pt idx="0">
                  <c:v>和装体験及川徹ICO</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青城!$G$40:$K$40</c:f>
              <c:numCache>
                <c:formatCode>General</c:formatCode>
                <c:ptCount val="5"/>
                <c:pt idx="0">
                  <c:v>106.131725</c:v>
                </c:pt>
                <c:pt idx="1">
                  <c:v>113.7264581</c:v>
                </c:pt>
                <c:pt idx="2">
                  <c:v>122.4829917</c:v>
                </c:pt>
                <c:pt idx="3">
                  <c:v>100.7494331</c:v>
                </c:pt>
                <c:pt idx="4">
                  <c:v>97.751700830000004</c:v>
                </c:pt>
              </c:numCache>
            </c:numRef>
          </c:val>
          <c:extLst>
            <c:ext xmlns:c16="http://schemas.microsoft.com/office/drawing/2014/chart" uri="{C3380CC4-5D6E-409C-BE32-E72D297353CC}">
              <c16:uniqueId val="{0000000B-3963-447F-9443-AFCEE22575EC}"/>
            </c:ext>
          </c:extLst>
        </c:ser>
        <c:ser>
          <c:idx val="39"/>
          <c:order val="39"/>
          <c:tx>
            <c:strRef>
              <c:f>青城!$F$41</c:f>
              <c:strCache>
                <c:ptCount val="1"/>
                <c:pt idx="0">
                  <c:v>格ゲー及川徹ICO</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青城!$G$41:$K$41</c:f>
              <c:numCache>
                <c:formatCode>General</c:formatCode>
                <c:ptCount val="5"/>
                <c:pt idx="0">
                  <c:v>106.74489749999999</c:v>
                </c:pt>
                <c:pt idx="1">
                  <c:v>114.6731104</c:v>
                </c:pt>
                <c:pt idx="2">
                  <c:v>125.85544040000001</c:v>
                </c:pt>
                <c:pt idx="3">
                  <c:v>100.7494331</c:v>
                </c:pt>
                <c:pt idx="4">
                  <c:v>98.875850420000006</c:v>
                </c:pt>
              </c:numCache>
            </c:numRef>
          </c:val>
          <c:extLst>
            <c:ext xmlns:c16="http://schemas.microsoft.com/office/drawing/2014/chart" uri="{C3380CC4-5D6E-409C-BE32-E72D297353CC}">
              <c16:uniqueId val="{00000000-CFA5-4C6E-A0C7-92D961303BFB}"/>
            </c:ext>
          </c:extLst>
        </c:ser>
        <c:ser>
          <c:idx val="40"/>
          <c:order val="40"/>
          <c:tx>
            <c:strRef>
              <c:f>青城!$F$42</c:f>
              <c:strCache>
                <c:ptCount val="1"/>
                <c:pt idx="0">
                  <c:v>梅雨2岩泉一ICO</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青城!$G$42:$K$42</c:f>
              <c:numCache>
                <c:formatCode>General</c:formatCode>
                <c:ptCount val="5"/>
                <c:pt idx="0">
                  <c:v>106.131725</c:v>
                </c:pt>
                <c:pt idx="1">
                  <c:v>104.2599353</c:v>
                </c:pt>
                <c:pt idx="2">
                  <c:v>101.1241496</c:v>
                </c:pt>
                <c:pt idx="3">
                  <c:v>102.9977322</c:v>
                </c:pt>
                <c:pt idx="4">
                  <c:v>105.6207479</c:v>
                </c:pt>
              </c:numCache>
            </c:numRef>
          </c:val>
          <c:extLst>
            <c:ext xmlns:c16="http://schemas.microsoft.com/office/drawing/2014/chart" uri="{C3380CC4-5D6E-409C-BE32-E72D297353CC}">
              <c16:uniqueId val="{00000000-92BB-4B64-A4C5-F63F188510AF}"/>
            </c:ext>
          </c:extLst>
        </c:ser>
        <c:ser>
          <c:idx val="41"/>
          <c:order val="41"/>
          <c:tx>
            <c:strRef>
              <c:f>青城!$F$43</c:f>
              <c:strCache>
                <c:ptCount val="1"/>
                <c:pt idx="0">
                  <c:v>梅雨2国見英ICO</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青城!$G$43:$K$43</c:f>
              <c:numCache>
                <c:formatCode>General</c:formatCode>
                <c:ptCount val="5"/>
                <c:pt idx="0">
                  <c:v>98.773655000000005</c:v>
                </c:pt>
                <c:pt idx="1">
                  <c:v>97.633369299999998</c:v>
                </c:pt>
                <c:pt idx="2">
                  <c:v>101.1241496</c:v>
                </c:pt>
                <c:pt idx="3">
                  <c:v>105.24603140000001</c:v>
                </c:pt>
                <c:pt idx="4">
                  <c:v>104.4965983</c:v>
                </c:pt>
              </c:numCache>
            </c:numRef>
          </c:val>
          <c:extLst>
            <c:ext xmlns:c16="http://schemas.microsoft.com/office/drawing/2014/chart" uri="{C3380CC4-5D6E-409C-BE32-E72D297353CC}">
              <c16:uniqueId val="{00000000-6D3B-4572-9BBD-2792F862746F}"/>
            </c:ext>
          </c:extLst>
        </c:ser>
        <c:ser>
          <c:idx val="42"/>
          <c:order val="42"/>
          <c:tx>
            <c:strRef>
              <c:f>青城!$F$44</c:f>
              <c:strCache>
                <c:ptCount val="1"/>
                <c:pt idx="0">
                  <c:v>職業体験国見英ICO</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青城!$G$44:$K$44</c:f>
              <c:numCache>
                <c:formatCode>General</c:formatCode>
                <c:ptCount val="5"/>
                <c:pt idx="0">
                  <c:v>98.773655000000005</c:v>
                </c:pt>
                <c:pt idx="1">
                  <c:v>97.160043160000001</c:v>
                </c:pt>
                <c:pt idx="2">
                  <c:v>100</c:v>
                </c:pt>
                <c:pt idx="3">
                  <c:v>97.751700830000004</c:v>
                </c:pt>
                <c:pt idx="4">
                  <c:v>98.313775629999995</c:v>
                </c:pt>
              </c:numCache>
            </c:numRef>
          </c:val>
          <c:extLst>
            <c:ext xmlns:c16="http://schemas.microsoft.com/office/drawing/2014/chart" uri="{C3380CC4-5D6E-409C-BE32-E72D297353CC}">
              <c16:uniqueId val="{00000000-16F2-47A8-91C7-684767E47EB2}"/>
            </c:ext>
          </c:extLst>
        </c:ser>
        <c:ser>
          <c:idx val="43"/>
          <c:order val="43"/>
          <c:tx>
            <c:strRef>
              <c:f>青城!$F$45</c:f>
              <c:strCache>
                <c:ptCount val="1"/>
                <c:pt idx="0">
                  <c:v>アート松川一静ICO</c:v>
                </c:pt>
              </c:strCache>
            </c:strRef>
          </c:tx>
          <c:spPr>
            <a:ln w="28575" cap="rnd">
              <a:solidFill>
                <a:schemeClr val="accent2">
                  <a:lumMod val="70000"/>
                </a:schemeClr>
              </a:solidFill>
              <a:round/>
            </a:ln>
            <a:effectLst/>
          </c:spPr>
          <c:marker>
            <c:symbol val="circle"/>
            <c:size val="5"/>
            <c:spPr>
              <a:solidFill>
                <a:schemeClr val="accent2">
                  <a:lumMod val="70000"/>
                </a:schemeClr>
              </a:solidFill>
              <a:ln w="9525">
                <a:solidFill>
                  <a:schemeClr val="accent2">
                    <a:lumMod val="7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青城!$G$45:$K$45</c:f>
              <c:numCache>
                <c:formatCode>General</c:formatCode>
                <c:ptCount val="5"/>
                <c:pt idx="0">
                  <c:v>96.934137500000006</c:v>
                </c:pt>
                <c:pt idx="1">
                  <c:v>94.320086320000001</c:v>
                </c:pt>
                <c:pt idx="2">
                  <c:v>97.751700830000004</c:v>
                </c:pt>
                <c:pt idx="3">
                  <c:v>96.252834719999996</c:v>
                </c:pt>
                <c:pt idx="4">
                  <c:v>102.24829920000001</c:v>
                </c:pt>
              </c:numCache>
            </c:numRef>
          </c:val>
          <c:extLst>
            <c:ext xmlns:c16="http://schemas.microsoft.com/office/drawing/2014/chart" uri="{C3380CC4-5D6E-409C-BE32-E72D297353CC}">
              <c16:uniqueId val="{00000000-94F5-453B-94A7-23889BCACF1D}"/>
            </c:ext>
          </c:extLst>
        </c:ser>
        <c:ser>
          <c:idx val="44"/>
          <c:order val="44"/>
          <c:tx>
            <c:strRef>
              <c:f>青城!$F$46</c:f>
              <c:strCache>
                <c:ptCount val="1"/>
                <c:pt idx="0">
                  <c:v>アート花巻貴大ICO</c:v>
                </c:pt>
              </c:strCache>
            </c:strRef>
          </c:tx>
          <c:spPr>
            <a:ln w="28575" cap="rnd">
              <a:solidFill>
                <a:schemeClr val="accent3">
                  <a:lumMod val="70000"/>
                </a:schemeClr>
              </a:solidFill>
              <a:round/>
            </a:ln>
            <a:effectLst/>
          </c:spPr>
          <c:marker>
            <c:symbol val="circle"/>
            <c:size val="5"/>
            <c:spPr>
              <a:solidFill>
                <a:schemeClr val="accent3">
                  <a:lumMod val="70000"/>
                </a:schemeClr>
              </a:solidFill>
              <a:ln w="9525">
                <a:solidFill>
                  <a:schemeClr val="accent3">
                    <a:lumMod val="70000"/>
                  </a:schemeClr>
                </a:solidFill>
              </a:ln>
              <a:effectLst/>
            </c:spPr>
          </c:marker>
          <c:cat>
            <c:strRef>
              <c:f>青城!$G$1:$K$1</c:f>
              <c:strCache>
                <c:ptCount val="5"/>
                <c:pt idx="0">
                  <c:v>Q_RZS.AttackVal</c:v>
                </c:pt>
                <c:pt idx="1">
                  <c:v>Q_RZS.ServeVal</c:v>
                </c:pt>
                <c:pt idx="2">
                  <c:v>Q_RZS.TossVal</c:v>
                </c:pt>
                <c:pt idx="3">
                  <c:v>Q_RZS.ReceiveVal</c:v>
                </c:pt>
                <c:pt idx="4">
                  <c:v>Q_RZS.BlockVal</c:v>
                </c:pt>
              </c:strCache>
            </c:strRef>
          </c:cat>
          <c:val>
            <c:numRef>
              <c:f>青城!$G$46:$K$46</c:f>
              <c:numCache>
                <c:formatCode>General</c:formatCode>
                <c:ptCount val="5"/>
                <c:pt idx="0">
                  <c:v>98.160482500000001</c:v>
                </c:pt>
                <c:pt idx="1">
                  <c:v>97.633369299999998</c:v>
                </c:pt>
                <c:pt idx="2">
                  <c:v>102.24829920000001</c:v>
                </c:pt>
                <c:pt idx="3">
                  <c:v>99.250566939999999</c:v>
                </c:pt>
                <c:pt idx="4">
                  <c:v>100</c:v>
                </c:pt>
              </c:numCache>
            </c:numRef>
          </c:val>
          <c:extLst>
            <c:ext xmlns:c16="http://schemas.microsoft.com/office/drawing/2014/chart" uri="{C3380CC4-5D6E-409C-BE32-E72D297353CC}">
              <c16:uniqueId val="{00000000-F269-4BAE-988C-CF19BEA6D1CE}"/>
            </c:ext>
          </c:extLst>
        </c:ser>
        <c:dLbls>
          <c:showLegendKey val="0"/>
          <c:showVal val="0"/>
          <c:showCatName val="0"/>
          <c:showSerName val="0"/>
          <c:showPercent val="0"/>
          <c:showBubbleSize val="0"/>
        </c:dLbls>
        <c:axId val="682111776"/>
        <c:axId val="682098336"/>
        <c:extLst/>
      </c:radarChart>
      <c:catAx>
        <c:axId val="682111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82098336"/>
        <c:crosses val="autoZero"/>
        <c:auto val="1"/>
        <c:lblAlgn val="ctr"/>
        <c:lblOffset val="100"/>
        <c:noMultiLvlLbl val="0"/>
      </c:catAx>
      <c:valAx>
        <c:axId val="682098336"/>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82111776"/>
        <c:crosses val="autoZero"/>
        <c:crossBetween val="between"/>
        <c:majorUnit val="10"/>
      </c:valAx>
      <c:spPr>
        <a:noFill/>
        <a:ln>
          <a:noFill/>
        </a:ln>
        <a:effectLst/>
      </c:spPr>
    </c:plotArea>
    <c:legend>
      <c:legendPos val="t"/>
      <c:layout>
        <c:manualLayout>
          <c:xMode val="edge"/>
          <c:yMode val="edge"/>
          <c:x val="0.57850103061177627"/>
          <c:y val="8.0690075434157321E-2"/>
          <c:w val="0.42149895686886912"/>
          <c:h val="0.919309973409347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常波</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7.7793912654984185E-2"/>
          <c:y val="0.13779963873889833"/>
          <c:w val="0.40676299965888918"/>
          <c:h val="0.80314142460632298"/>
        </c:manualLayout>
      </c:layout>
      <c:radarChart>
        <c:radarStyle val="marker"/>
        <c:varyColors val="0"/>
        <c:ser>
          <c:idx val="0"/>
          <c:order val="0"/>
          <c:tx>
            <c:strRef>
              <c:f>常波!$F$2</c:f>
              <c:strCache>
                <c:ptCount val="1"/>
                <c:pt idx="0">
                  <c:v>駒木輝ICO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常波!$G$1:$K$1</c:f>
              <c:strCache>
                <c:ptCount val="5"/>
                <c:pt idx="0">
                  <c:v>Q_RZS.AttackVal</c:v>
                </c:pt>
                <c:pt idx="1">
                  <c:v>Q_RZS.ServeVal</c:v>
                </c:pt>
                <c:pt idx="2">
                  <c:v>Q_RZS.TossVal</c:v>
                </c:pt>
                <c:pt idx="3">
                  <c:v>Q_RZS.ReceiveVal</c:v>
                </c:pt>
                <c:pt idx="4">
                  <c:v>Q_RZS.BlockVal</c:v>
                </c:pt>
              </c:strCache>
            </c:strRef>
          </c:cat>
          <c:val>
            <c:numRef>
              <c:f>常波!$G$2:$K$2</c:f>
              <c:numCache>
                <c:formatCode>General</c:formatCode>
                <c:ptCount val="5"/>
                <c:pt idx="0">
                  <c:v>100.6131725</c:v>
                </c:pt>
                <c:pt idx="1">
                  <c:v>96.686717020000003</c:v>
                </c:pt>
                <c:pt idx="2">
                  <c:v>98.875850420000006</c:v>
                </c:pt>
                <c:pt idx="3">
                  <c:v>95.503401670000002</c:v>
                </c:pt>
                <c:pt idx="4">
                  <c:v>97.189626039999993</c:v>
                </c:pt>
              </c:numCache>
            </c:numRef>
          </c:val>
          <c:extLst>
            <c:ext xmlns:c16="http://schemas.microsoft.com/office/drawing/2014/chart" uri="{C3380CC4-5D6E-409C-BE32-E72D297353CC}">
              <c16:uniqueId val="{00000000-B6AB-403E-9233-3832E2B49C84}"/>
            </c:ext>
          </c:extLst>
        </c:ser>
        <c:ser>
          <c:idx val="1"/>
          <c:order val="1"/>
          <c:tx>
            <c:strRef>
              <c:f>常波!$F$3</c:f>
              <c:strCache>
                <c:ptCount val="1"/>
                <c:pt idx="0">
                  <c:v>茶屋和馬ICO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常波!$G$1:$K$1</c:f>
              <c:strCache>
                <c:ptCount val="5"/>
                <c:pt idx="0">
                  <c:v>Q_RZS.AttackVal</c:v>
                </c:pt>
                <c:pt idx="1">
                  <c:v>Q_RZS.ServeVal</c:v>
                </c:pt>
                <c:pt idx="2">
                  <c:v>Q_RZS.TossVal</c:v>
                </c:pt>
                <c:pt idx="3">
                  <c:v>Q_RZS.ReceiveVal</c:v>
                </c:pt>
                <c:pt idx="4">
                  <c:v>Q_RZS.BlockVal</c:v>
                </c:pt>
              </c:strCache>
            </c:strRef>
          </c:cat>
          <c:val>
            <c:numRef>
              <c:f>常波!$G$3:$K$3</c:f>
              <c:numCache>
                <c:formatCode>General</c:formatCode>
                <c:ptCount val="5"/>
                <c:pt idx="0">
                  <c:v>95.094620000000006</c:v>
                </c:pt>
                <c:pt idx="1">
                  <c:v>94.793412459999999</c:v>
                </c:pt>
                <c:pt idx="2">
                  <c:v>97.751700830000004</c:v>
                </c:pt>
                <c:pt idx="3">
                  <c:v>95.503401670000002</c:v>
                </c:pt>
                <c:pt idx="4">
                  <c:v>98.875850420000006</c:v>
                </c:pt>
              </c:numCache>
            </c:numRef>
          </c:val>
          <c:extLst>
            <c:ext xmlns:c16="http://schemas.microsoft.com/office/drawing/2014/chart" uri="{C3380CC4-5D6E-409C-BE32-E72D297353CC}">
              <c16:uniqueId val="{00000001-B6AB-403E-9233-3832E2B49C84}"/>
            </c:ext>
          </c:extLst>
        </c:ser>
        <c:ser>
          <c:idx val="2"/>
          <c:order val="2"/>
          <c:tx>
            <c:strRef>
              <c:f>常波!$F$4</c:f>
              <c:strCache>
                <c:ptCount val="1"/>
                <c:pt idx="0">
                  <c:v>玉川弘樹ICO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常波!$G$1:$K$1</c:f>
              <c:strCache>
                <c:ptCount val="5"/>
                <c:pt idx="0">
                  <c:v>Q_RZS.AttackVal</c:v>
                </c:pt>
                <c:pt idx="1">
                  <c:v>Q_RZS.ServeVal</c:v>
                </c:pt>
                <c:pt idx="2">
                  <c:v>Q_RZS.TossVal</c:v>
                </c:pt>
                <c:pt idx="3">
                  <c:v>Q_RZS.ReceiveVal</c:v>
                </c:pt>
                <c:pt idx="4">
                  <c:v>Q_RZS.BlockVal</c:v>
                </c:pt>
              </c:strCache>
            </c:strRef>
          </c:cat>
          <c:val>
            <c:numRef>
              <c:f>常波!$G$4:$K$4</c:f>
              <c:numCache>
                <c:formatCode>General</c:formatCode>
                <c:ptCount val="5"/>
                <c:pt idx="0">
                  <c:v>95.707792499999996</c:v>
                </c:pt>
                <c:pt idx="1">
                  <c:v>94.793412459999999</c:v>
                </c:pt>
                <c:pt idx="2">
                  <c:v>98.875850420000006</c:v>
                </c:pt>
                <c:pt idx="3">
                  <c:v>97.002267779999997</c:v>
                </c:pt>
                <c:pt idx="4">
                  <c:v>97.751700830000004</c:v>
                </c:pt>
              </c:numCache>
            </c:numRef>
          </c:val>
          <c:extLst>
            <c:ext xmlns:c16="http://schemas.microsoft.com/office/drawing/2014/chart" uri="{C3380CC4-5D6E-409C-BE32-E72D297353CC}">
              <c16:uniqueId val="{00000002-B6AB-403E-9233-3832E2B49C84}"/>
            </c:ext>
          </c:extLst>
        </c:ser>
        <c:ser>
          <c:idx val="3"/>
          <c:order val="3"/>
          <c:tx>
            <c:strRef>
              <c:f>常波!$F$5</c:f>
              <c:strCache>
                <c:ptCount val="1"/>
                <c:pt idx="0">
                  <c:v>桜井大河ICO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常波!$G$1:$K$1</c:f>
              <c:strCache>
                <c:ptCount val="5"/>
                <c:pt idx="0">
                  <c:v>Q_RZS.AttackVal</c:v>
                </c:pt>
                <c:pt idx="1">
                  <c:v>Q_RZS.ServeVal</c:v>
                </c:pt>
                <c:pt idx="2">
                  <c:v>Q_RZS.TossVal</c:v>
                </c:pt>
                <c:pt idx="3">
                  <c:v>Q_RZS.ReceiveVal</c:v>
                </c:pt>
                <c:pt idx="4">
                  <c:v>Q_RZS.BlockVal</c:v>
                </c:pt>
              </c:strCache>
            </c:strRef>
          </c:cat>
          <c:val>
            <c:numRef>
              <c:f>常波!$G$5:$K$5</c:f>
              <c:numCache>
                <c:formatCode>General</c:formatCode>
                <c:ptCount val="5"/>
                <c:pt idx="0">
                  <c:v>95.707792499999996</c:v>
                </c:pt>
                <c:pt idx="1">
                  <c:v>96.213390880000006</c:v>
                </c:pt>
                <c:pt idx="2">
                  <c:v>97.751700830000004</c:v>
                </c:pt>
                <c:pt idx="3">
                  <c:v>105.9954644</c:v>
                </c:pt>
                <c:pt idx="4">
                  <c:v>94.941326880000005</c:v>
                </c:pt>
              </c:numCache>
            </c:numRef>
          </c:val>
          <c:extLst>
            <c:ext xmlns:c16="http://schemas.microsoft.com/office/drawing/2014/chart" uri="{C3380CC4-5D6E-409C-BE32-E72D297353CC}">
              <c16:uniqueId val="{00000003-B6AB-403E-9233-3832E2B49C84}"/>
            </c:ext>
          </c:extLst>
        </c:ser>
        <c:ser>
          <c:idx val="4"/>
          <c:order val="4"/>
          <c:tx>
            <c:strRef>
              <c:f>常波!$F$6</c:f>
              <c:strCache>
                <c:ptCount val="1"/>
                <c:pt idx="0">
                  <c:v>芳賀良治ICO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常波!$G$1:$K$1</c:f>
              <c:strCache>
                <c:ptCount val="5"/>
                <c:pt idx="0">
                  <c:v>Q_RZS.AttackVal</c:v>
                </c:pt>
                <c:pt idx="1">
                  <c:v>Q_RZS.ServeVal</c:v>
                </c:pt>
                <c:pt idx="2">
                  <c:v>Q_RZS.TossVal</c:v>
                </c:pt>
                <c:pt idx="3">
                  <c:v>Q_RZS.ReceiveVal</c:v>
                </c:pt>
                <c:pt idx="4">
                  <c:v>Q_RZS.BlockVal</c:v>
                </c:pt>
              </c:strCache>
            </c:strRef>
          </c:cat>
          <c:val>
            <c:numRef>
              <c:f>常波!$G$6:$K$6</c:f>
              <c:numCache>
                <c:formatCode>General</c:formatCode>
                <c:ptCount val="5"/>
                <c:pt idx="0">
                  <c:v>97.547309999999996</c:v>
                </c:pt>
                <c:pt idx="1">
                  <c:v>96.213390880000006</c:v>
                </c:pt>
                <c:pt idx="2">
                  <c:v>106.74489749999999</c:v>
                </c:pt>
                <c:pt idx="3">
                  <c:v>94.004535559999994</c:v>
                </c:pt>
                <c:pt idx="4">
                  <c:v>95.503401670000002</c:v>
                </c:pt>
              </c:numCache>
            </c:numRef>
          </c:val>
          <c:extLst>
            <c:ext xmlns:c16="http://schemas.microsoft.com/office/drawing/2014/chart" uri="{C3380CC4-5D6E-409C-BE32-E72D297353CC}">
              <c16:uniqueId val="{00000004-B6AB-403E-9233-3832E2B49C84}"/>
            </c:ext>
          </c:extLst>
        </c:ser>
        <c:ser>
          <c:idx val="5"/>
          <c:order val="5"/>
          <c:tx>
            <c:strRef>
              <c:f>常波!$F$7</c:f>
              <c:strCache>
                <c:ptCount val="1"/>
                <c:pt idx="0">
                  <c:v>渋谷陸斗ICO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常波!$G$1:$K$1</c:f>
              <c:strCache>
                <c:ptCount val="5"/>
                <c:pt idx="0">
                  <c:v>Q_RZS.AttackVal</c:v>
                </c:pt>
                <c:pt idx="1">
                  <c:v>Q_RZS.ServeVal</c:v>
                </c:pt>
                <c:pt idx="2">
                  <c:v>Q_RZS.TossVal</c:v>
                </c:pt>
                <c:pt idx="3">
                  <c:v>Q_RZS.ReceiveVal</c:v>
                </c:pt>
                <c:pt idx="4">
                  <c:v>Q_RZS.BlockVal</c:v>
                </c:pt>
              </c:strCache>
            </c:strRef>
          </c:cat>
          <c:val>
            <c:numRef>
              <c:f>常波!$G$7:$K$7</c:f>
              <c:numCache>
                <c:formatCode>General</c:formatCode>
                <c:ptCount val="5"/>
                <c:pt idx="0">
                  <c:v>94.481447500000002</c:v>
                </c:pt>
                <c:pt idx="1">
                  <c:v>94.793412459999999</c:v>
                </c:pt>
                <c:pt idx="2">
                  <c:v>96.627551249999996</c:v>
                </c:pt>
                <c:pt idx="3">
                  <c:v>94.753968610000001</c:v>
                </c:pt>
                <c:pt idx="4">
                  <c:v>98.875850420000006</c:v>
                </c:pt>
              </c:numCache>
            </c:numRef>
          </c:val>
          <c:extLst>
            <c:ext xmlns:c16="http://schemas.microsoft.com/office/drawing/2014/chart" uri="{C3380CC4-5D6E-409C-BE32-E72D297353CC}">
              <c16:uniqueId val="{00000005-B6AB-403E-9233-3832E2B49C84}"/>
            </c:ext>
          </c:extLst>
        </c:ser>
        <c:ser>
          <c:idx val="6"/>
          <c:order val="6"/>
          <c:tx>
            <c:strRef>
              <c:f>常波!$F$8</c:f>
              <c:strCache>
                <c:ptCount val="1"/>
                <c:pt idx="0">
                  <c:v>池尻隼人ICO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常波!$G$1:$K$1</c:f>
              <c:strCache>
                <c:ptCount val="5"/>
                <c:pt idx="0">
                  <c:v>Q_RZS.AttackVal</c:v>
                </c:pt>
                <c:pt idx="1">
                  <c:v>Q_RZS.ServeVal</c:v>
                </c:pt>
                <c:pt idx="2">
                  <c:v>Q_RZS.TossVal</c:v>
                </c:pt>
                <c:pt idx="3">
                  <c:v>Q_RZS.ReceiveVal</c:v>
                </c:pt>
                <c:pt idx="4">
                  <c:v>Q_RZS.BlockVal</c:v>
                </c:pt>
              </c:strCache>
            </c:strRef>
          </c:cat>
          <c:val>
            <c:numRef>
              <c:f>常波!$G$8:$K$8</c:f>
              <c:numCache>
                <c:formatCode>General</c:formatCode>
                <c:ptCount val="5"/>
                <c:pt idx="0">
                  <c:v>95.707792499999996</c:v>
                </c:pt>
                <c:pt idx="1">
                  <c:v>96.213390880000006</c:v>
                </c:pt>
                <c:pt idx="2">
                  <c:v>98.875850420000006</c:v>
                </c:pt>
                <c:pt idx="3">
                  <c:v>96.252834719999996</c:v>
                </c:pt>
                <c:pt idx="4">
                  <c:v>97.751700830000004</c:v>
                </c:pt>
              </c:numCache>
            </c:numRef>
          </c:val>
          <c:extLst>
            <c:ext xmlns:c16="http://schemas.microsoft.com/office/drawing/2014/chart" uri="{C3380CC4-5D6E-409C-BE32-E72D297353CC}">
              <c16:uniqueId val="{00000006-B6AB-403E-9233-3832E2B49C84}"/>
            </c:ext>
          </c:extLst>
        </c:ser>
        <c:ser>
          <c:idx val="7"/>
          <c:order val="7"/>
          <c:tx>
            <c:strRef>
              <c:f>常波!$F$9</c:f>
              <c:strCache>
                <c:ptCount val="1"/>
                <c:pt idx="0">
                  <c:v>文化祭2池尻隼人ICO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常波!$G$1:$K$1</c:f>
              <c:strCache>
                <c:ptCount val="5"/>
                <c:pt idx="0">
                  <c:v>Q_RZS.AttackVal</c:v>
                </c:pt>
                <c:pt idx="1">
                  <c:v>Q_RZS.ServeVal</c:v>
                </c:pt>
                <c:pt idx="2">
                  <c:v>Q_RZS.TossVal</c:v>
                </c:pt>
                <c:pt idx="3">
                  <c:v>Q_RZS.ReceiveVal</c:v>
                </c:pt>
                <c:pt idx="4">
                  <c:v>Q_RZS.BlockVal</c:v>
                </c:pt>
              </c:strCache>
            </c:strRef>
          </c:cat>
          <c:val>
            <c:numRef>
              <c:f>常波!$G$9:$K$9</c:f>
              <c:numCache>
                <c:formatCode>General</c:formatCode>
                <c:ptCount val="5"/>
                <c:pt idx="0">
                  <c:v>97.547309999999996</c:v>
                </c:pt>
                <c:pt idx="1">
                  <c:v>98.106695439999996</c:v>
                </c:pt>
                <c:pt idx="2">
                  <c:v>100</c:v>
                </c:pt>
                <c:pt idx="3">
                  <c:v>97.751700830000004</c:v>
                </c:pt>
                <c:pt idx="4">
                  <c:v>100</c:v>
                </c:pt>
              </c:numCache>
            </c:numRef>
          </c:val>
          <c:extLst>
            <c:ext xmlns:c16="http://schemas.microsoft.com/office/drawing/2014/chart" uri="{C3380CC4-5D6E-409C-BE32-E72D297353CC}">
              <c16:uniqueId val="{00000000-C672-477F-BD60-628783D4783D}"/>
            </c:ext>
          </c:extLst>
        </c:ser>
        <c:ser>
          <c:idx val="8"/>
          <c:order val="8"/>
          <c:tx>
            <c:strRef>
              <c:f>常波!$F$10</c:f>
              <c:strCache>
                <c:ptCount val="1"/>
                <c:pt idx="0">
                  <c:v>遊園地池尻隼人ICO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常波!$G$1:$K$1</c:f>
              <c:strCache>
                <c:ptCount val="5"/>
                <c:pt idx="0">
                  <c:v>Q_RZS.AttackVal</c:v>
                </c:pt>
                <c:pt idx="1">
                  <c:v>Q_RZS.ServeVal</c:v>
                </c:pt>
                <c:pt idx="2">
                  <c:v>Q_RZS.TossVal</c:v>
                </c:pt>
                <c:pt idx="3">
                  <c:v>Q_RZS.ReceiveVal</c:v>
                </c:pt>
                <c:pt idx="4">
                  <c:v>Q_RZS.BlockVal</c:v>
                </c:pt>
              </c:strCache>
            </c:strRef>
          </c:cat>
          <c:val>
            <c:numRef>
              <c:f>常波!$G$10:$K$10</c:f>
              <c:numCache>
                <c:formatCode>General</c:formatCode>
                <c:ptCount val="5"/>
                <c:pt idx="0">
                  <c:v>96.934137500000006</c:v>
                </c:pt>
                <c:pt idx="1">
                  <c:v>100.47332609999999</c:v>
                </c:pt>
                <c:pt idx="2">
                  <c:v>98.875850420000006</c:v>
                </c:pt>
                <c:pt idx="3">
                  <c:v>100</c:v>
                </c:pt>
                <c:pt idx="4">
                  <c:v>97.751700830000004</c:v>
                </c:pt>
              </c:numCache>
            </c:numRef>
          </c:val>
          <c:extLst>
            <c:ext xmlns:c16="http://schemas.microsoft.com/office/drawing/2014/chart" uri="{C3380CC4-5D6E-409C-BE32-E72D297353CC}">
              <c16:uniqueId val="{00000001-C672-477F-BD60-628783D4783D}"/>
            </c:ext>
          </c:extLst>
        </c:ser>
        <c:dLbls>
          <c:showLegendKey val="0"/>
          <c:showVal val="0"/>
          <c:showCatName val="0"/>
          <c:showSerName val="0"/>
          <c:showPercent val="0"/>
          <c:showBubbleSize val="0"/>
        </c:dLbls>
        <c:axId val="158712063"/>
        <c:axId val="158713503"/>
        <c:extLst/>
      </c:radarChart>
      <c:catAx>
        <c:axId val="158712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58713503"/>
        <c:crosses val="autoZero"/>
        <c:auto val="1"/>
        <c:lblAlgn val="ctr"/>
        <c:lblOffset val="100"/>
        <c:noMultiLvlLbl val="0"/>
      </c:catAx>
      <c:valAx>
        <c:axId val="158713503"/>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58712063"/>
        <c:crosses val="autoZero"/>
        <c:crossBetween val="between"/>
        <c:majorUnit val="10"/>
      </c:valAx>
      <c:spPr>
        <a:noFill/>
        <a:ln>
          <a:noFill/>
        </a:ln>
        <a:effectLst/>
      </c:spPr>
    </c:plotArea>
    <c:legend>
      <c:legendPos val="t"/>
      <c:layout>
        <c:manualLayout>
          <c:xMode val="edge"/>
          <c:yMode val="edge"/>
          <c:x val="0.4404180489159592"/>
          <c:y val="9.0284785181875812E-2"/>
          <c:w val="0.47942562040598607"/>
          <c:h val="0.852246263502358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扇南</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8.201406097002463E-2"/>
          <c:y val="0.16757669052650948"/>
          <c:w val="0.400867224736421"/>
          <c:h val="0.79798380708026562"/>
        </c:manualLayout>
      </c:layout>
      <c:radarChart>
        <c:radarStyle val="marker"/>
        <c:varyColors val="0"/>
        <c:ser>
          <c:idx val="0"/>
          <c:order val="0"/>
          <c:tx>
            <c:strRef>
              <c:f>扇南!$F$2</c:f>
              <c:strCache>
                <c:ptCount val="1"/>
                <c:pt idx="0">
                  <c:v>十和田良樹ICO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扇南!$G$1:$K$1</c:f>
              <c:strCache>
                <c:ptCount val="5"/>
                <c:pt idx="0">
                  <c:v>Q_RZS.AttackVal</c:v>
                </c:pt>
                <c:pt idx="1">
                  <c:v>Q_RZS.ServeVal</c:v>
                </c:pt>
                <c:pt idx="2">
                  <c:v>Q_RZS.TossVal</c:v>
                </c:pt>
                <c:pt idx="3">
                  <c:v>Q_RZS.ReceiveVal</c:v>
                </c:pt>
                <c:pt idx="4">
                  <c:v>Q_RZS.BlockVal</c:v>
                </c:pt>
              </c:strCache>
            </c:strRef>
          </c:cat>
          <c:val>
            <c:numRef>
              <c:f>扇南!$G$2:$K$2</c:f>
              <c:numCache>
                <c:formatCode>General</c:formatCode>
                <c:ptCount val="5"/>
                <c:pt idx="0">
                  <c:v>98.160482500000001</c:v>
                </c:pt>
                <c:pt idx="1">
                  <c:v>96.686717020000003</c:v>
                </c:pt>
                <c:pt idx="2">
                  <c:v>98.875850420000006</c:v>
                </c:pt>
                <c:pt idx="3">
                  <c:v>96.252834719999996</c:v>
                </c:pt>
                <c:pt idx="4">
                  <c:v>97.751700830000004</c:v>
                </c:pt>
              </c:numCache>
            </c:numRef>
          </c:val>
          <c:extLst>
            <c:ext xmlns:c16="http://schemas.microsoft.com/office/drawing/2014/chart" uri="{C3380CC4-5D6E-409C-BE32-E72D297353CC}">
              <c16:uniqueId val="{00000000-E4FF-4C79-ABA7-284B96CF98D2}"/>
            </c:ext>
          </c:extLst>
        </c:ser>
        <c:ser>
          <c:idx val="1"/>
          <c:order val="1"/>
          <c:tx>
            <c:strRef>
              <c:f>扇南!$F$3</c:f>
              <c:strCache>
                <c:ptCount val="1"/>
                <c:pt idx="0">
                  <c:v>森岳歩ICO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扇南!$G$1:$K$1</c:f>
              <c:strCache>
                <c:ptCount val="5"/>
                <c:pt idx="0">
                  <c:v>Q_RZS.AttackVal</c:v>
                </c:pt>
                <c:pt idx="1">
                  <c:v>Q_RZS.ServeVal</c:v>
                </c:pt>
                <c:pt idx="2">
                  <c:v>Q_RZS.TossVal</c:v>
                </c:pt>
                <c:pt idx="3">
                  <c:v>Q_RZS.ReceiveVal</c:v>
                </c:pt>
                <c:pt idx="4">
                  <c:v>Q_RZS.BlockVal</c:v>
                </c:pt>
              </c:strCache>
            </c:strRef>
          </c:cat>
          <c:val>
            <c:numRef>
              <c:f>扇南!$G$3:$K$3</c:f>
              <c:numCache>
                <c:formatCode>General</c:formatCode>
                <c:ptCount val="5"/>
                <c:pt idx="0">
                  <c:v>95.094620000000006</c:v>
                </c:pt>
                <c:pt idx="1">
                  <c:v>94.320086320000001</c:v>
                </c:pt>
                <c:pt idx="2">
                  <c:v>96.627551249999996</c:v>
                </c:pt>
                <c:pt idx="3">
                  <c:v>94.753968610000001</c:v>
                </c:pt>
                <c:pt idx="4">
                  <c:v>98.875850420000006</c:v>
                </c:pt>
              </c:numCache>
            </c:numRef>
          </c:val>
          <c:extLst>
            <c:ext xmlns:c16="http://schemas.microsoft.com/office/drawing/2014/chart" uri="{C3380CC4-5D6E-409C-BE32-E72D297353CC}">
              <c16:uniqueId val="{00000001-E4FF-4C79-ABA7-284B96CF98D2}"/>
            </c:ext>
          </c:extLst>
        </c:ser>
        <c:ser>
          <c:idx val="2"/>
          <c:order val="2"/>
          <c:tx>
            <c:strRef>
              <c:f>扇南!$F$4</c:f>
              <c:strCache>
                <c:ptCount val="1"/>
                <c:pt idx="0">
                  <c:v>唐松拓巳ICO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扇南!$G$1:$K$1</c:f>
              <c:strCache>
                <c:ptCount val="5"/>
                <c:pt idx="0">
                  <c:v>Q_RZS.AttackVal</c:v>
                </c:pt>
                <c:pt idx="1">
                  <c:v>Q_RZS.ServeVal</c:v>
                </c:pt>
                <c:pt idx="2">
                  <c:v>Q_RZS.TossVal</c:v>
                </c:pt>
                <c:pt idx="3">
                  <c:v>Q_RZS.ReceiveVal</c:v>
                </c:pt>
                <c:pt idx="4">
                  <c:v>Q_RZS.BlockVal</c:v>
                </c:pt>
              </c:strCache>
            </c:strRef>
          </c:cat>
          <c:val>
            <c:numRef>
              <c:f>扇南!$G$4:$K$4</c:f>
              <c:numCache>
                <c:formatCode>General</c:formatCode>
                <c:ptCount val="5"/>
                <c:pt idx="0">
                  <c:v>98.160482500000001</c:v>
                </c:pt>
                <c:pt idx="1">
                  <c:v>97.160043160000001</c:v>
                </c:pt>
                <c:pt idx="2">
                  <c:v>98.875850420000006</c:v>
                </c:pt>
                <c:pt idx="3">
                  <c:v>97.751700830000004</c:v>
                </c:pt>
                <c:pt idx="4">
                  <c:v>98.313775629999995</c:v>
                </c:pt>
              </c:numCache>
            </c:numRef>
          </c:val>
          <c:extLst>
            <c:ext xmlns:c16="http://schemas.microsoft.com/office/drawing/2014/chart" uri="{C3380CC4-5D6E-409C-BE32-E72D297353CC}">
              <c16:uniqueId val="{00000002-E4FF-4C79-ABA7-284B96CF98D2}"/>
            </c:ext>
          </c:extLst>
        </c:ser>
        <c:ser>
          <c:idx val="3"/>
          <c:order val="3"/>
          <c:tx>
            <c:strRef>
              <c:f>扇南!$F$5</c:f>
              <c:strCache>
                <c:ptCount val="1"/>
                <c:pt idx="0">
                  <c:v>田沢裕樹ICO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扇南!$G$1:$K$1</c:f>
              <c:strCache>
                <c:ptCount val="5"/>
                <c:pt idx="0">
                  <c:v>Q_RZS.AttackVal</c:v>
                </c:pt>
                <c:pt idx="1">
                  <c:v>Q_RZS.ServeVal</c:v>
                </c:pt>
                <c:pt idx="2">
                  <c:v>Q_RZS.TossVal</c:v>
                </c:pt>
                <c:pt idx="3">
                  <c:v>Q_RZS.ReceiveVal</c:v>
                </c:pt>
                <c:pt idx="4">
                  <c:v>Q_RZS.BlockVal</c:v>
                </c:pt>
              </c:strCache>
            </c:strRef>
          </c:cat>
          <c:val>
            <c:numRef>
              <c:f>扇南!$G$5:$K$5</c:f>
              <c:numCache>
                <c:formatCode>General</c:formatCode>
                <c:ptCount val="5"/>
                <c:pt idx="0">
                  <c:v>96.320965000000001</c:v>
                </c:pt>
                <c:pt idx="1">
                  <c:v>95.740064739999994</c:v>
                </c:pt>
                <c:pt idx="2">
                  <c:v>98.875850420000006</c:v>
                </c:pt>
                <c:pt idx="3">
                  <c:v>96.252834719999996</c:v>
                </c:pt>
                <c:pt idx="4">
                  <c:v>98.313775629999995</c:v>
                </c:pt>
              </c:numCache>
            </c:numRef>
          </c:val>
          <c:extLst>
            <c:ext xmlns:c16="http://schemas.microsoft.com/office/drawing/2014/chart" uri="{C3380CC4-5D6E-409C-BE32-E72D297353CC}">
              <c16:uniqueId val="{00000003-E4FF-4C79-ABA7-284B96CF98D2}"/>
            </c:ext>
          </c:extLst>
        </c:ser>
        <c:ser>
          <c:idx val="4"/>
          <c:order val="4"/>
          <c:tx>
            <c:strRef>
              <c:f>扇南!$F$6</c:f>
              <c:strCache>
                <c:ptCount val="1"/>
                <c:pt idx="0">
                  <c:v>子安颯真ICO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扇南!$G$1:$K$1</c:f>
              <c:strCache>
                <c:ptCount val="5"/>
                <c:pt idx="0">
                  <c:v>Q_RZS.AttackVal</c:v>
                </c:pt>
                <c:pt idx="1">
                  <c:v>Q_RZS.ServeVal</c:v>
                </c:pt>
                <c:pt idx="2">
                  <c:v>Q_RZS.TossVal</c:v>
                </c:pt>
                <c:pt idx="3">
                  <c:v>Q_RZS.ReceiveVal</c:v>
                </c:pt>
                <c:pt idx="4">
                  <c:v>Q_RZS.BlockVal</c:v>
                </c:pt>
              </c:strCache>
            </c:strRef>
          </c:cat>
          <c:val>
            <c:numRef>
              <c:f>扇南!$G$6:$K$6</c:f>
              <c:numCache>
                <c:formatCode>General</c:formatCode>
                <c:ptCount val="5"/>
                <c:pt idx="0">
                  <c:v>96.320965000000001</c:v>
                </c:pt>
                <c:pt idx="1">
                  <c:v>97.160043160000001</c:v>
                </c:pt>
                <c:pt idx="2">
                  <c:v>96.627551249999996</c:v>
                </c:pt>
                <c:pt idx="3">
                  <c:v>94.753968610000001</c:v>
                </c:pt>
                <c:pt idx="4">
                  <c:v>98.875850420000006</c:v>
                </c:pt>
              </c:numCache>
            </c:numRef>
          </c:val>
          <c:extLst>
            <c:ext xmlns:c16="http://schemas.microsoft.com/office/drawing/2014/chart" uri="{C3380CC4-5D6E-409C-BE32-E72D297353CC}">
              <c16:uniqueId val="{00000004-E4FF-4C79-ABA7-284B96CF98D2}"/>
            </c:ext>
          </c:extLst>
        </c:ser>
        <c:ser>
          <c:idx val="5"/>
          <c:order val="5"/>
          <c:tx>
            <c:strRef>
              <c:f>扇南!$F$7</c:f>
              <c:strCache>
                <c:ptCount val="1"/>
                <c:pt idx="0">
                  <c:v>横手駿ICO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扇南!$G$1:$K$1</c:f>
              <c:strCache>
                <c:ptCount val="5"/>
                <c:pt idx="0">
                  <c:v>Q_RZS.AttackVal</c:v>
                </c:pt>
                <c:pt idx="1">
                  <c:v>Q_RZS.ServeVal</c:v>
                </c:pt>
                <c:pt idx="2">
                  <c:v>Q_RZS.TossVal</c:v>
                </c:pt>
                <c:pt idx="3">
                  <c:v>Q_RZS.ReceiveVal</c:v>
                </c:pt>
                <c:pt idx="4">
                  <c:v>Q_RZS.BlockVal</c:v>
                </c:pt>
              </c:strCache>
            </c:strRef>
          </c:cat>
          <c:val>
            <c:numRef>
              <c:f>扇南!$G$7:$K$7</c:f>
              <c:numCache>
                <c:formatCode>General</c:formatCode>
                <c:ptCount val="5"/>
                <c:pt idx="0">
                  <c:v>95.707792499999996</c:v>
                </c:pt>
                <c:pt idx="1">
                  <c:v>96.213390880000006</c:v>
                </c:pt>
                <c:pt idx="2">
                  <c:v>97.751700830000004</c:v>
                </c:pt>
                <c:pt idx="3">
                  <c:v>103.74716530000001</c:v>
                </c:pt>
                <c:pt idx="4">
                  <c:v>94.941326880000005</c:v>
                </c:pt>
              </c:numCache>
            </c:numRef>
          </c:val>
          <c:extLst>
            <c:ext xmlns:c16="http://schemas.microsoft.com/office/drawing/2014/chart" uri="{C3380CC4-5D6E-409C-BE32-E72D297353CC}">
              <c16:uniqueId val="{00000005-E4FF-4C79-ABA7-284B96CF98D2}"/>
            </c:ext>
          </c:extLst>
        </c:ser>
        <c:ser>
          <c:idx val="6"/>
          <c:order val="6"/>
          <c:tx>
            <c:strRef>
              <c:f>扇南!$F$8</c:f>
              <c:strCache>
                <c:ptCount val="1"/>
                <c:pt idx="0">
                  <c:v>夏瀬伊吹ICO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扇南!$G$1:$K$1</c:f>
              <c:strCache>
                <c:ptCount val="5"/>
                <c:pt idx="0">
                  <c:v>Q_RZS.AttackVal</c:v>
                </c:pt>
                <c:pt idx="1">
                  <c:v>Q_RZS.ServeVal</c:v>
                </c:pt>
                <c:pt idx="2">
                  <c:v>Q_RZS.TossVal</c:v>
                </c:pt>
                <c:pt idx="3">
                  <c:v>Q_RZS.ReceiveVal</c:v>
                </c:pt>
                <c:pt idx="4">
                  <c:v>Q_RZS.BlockVal</c:v>
                </c:pt>
              </c:strCache>
            </c:strRef>
          </c:cat>
          <c:val>
            <c:numRef>
              <c:f>扇南!$G$8:$K$8</c:f>
              <c:numCache>
                <c:formatCode>General</c:formatCode>
                <c:ptCount val="5"/>
                <c:pt idx="0">
                  <c:v>95.707792499999996</c:v>
                </c:pt>
                <c:pt idx="1">
                  <c:v>95.740064739999994</c:v>
                </c:pt>
                <c:pt idx="2">
                  <c:v>105.6207479</c:v>
                </c:pt>
                <c:pt idx="3">
                  <c:v>94.753968610000001</c:v>
                </c:pt>
                <c:pt idx="4">
                  <c:v>97.751700830000004</c:v>
                </c:pt>
              </c:numCache>
            </c:numRef>
          </c:val>
          <c:extLst>
            <c:ext xmlns:c16="http://schemas.microsoft.com/office/drawing/2014/chart" uri="{C3380CC4-5D6E-409C-BE32-E72D297353CC}">
              <c16:uniqueId val="{00000006-E4FF-4C79-ABA7-284B96CF98D2}"/>
            </c:ext>
          </c:extLst>
        </c:ser>
        <c:ser>
          <c:idx val="7"/>
          <c:order val="7"/>
          <c:tx>
            <c:strRef>
              <c:f>扇南!$F$9</c:f>
              <c:strCache>
                <c:ptCount val="1"/>
                <c:pt idx="0">
                  <c:v>秋宮昇ICO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扇南!$G$1:$K$1</c:f>
              <c:strCache>
                <c:ptCount val="5"/>
                <c:pt idx="0">
                  <c:v>Q_RZS.AttackVal</c:v>
                </c:pt>
                <c:pt idx="1">
                  <c:v>Q_RZS.ServeVal</c:v>
                </c:pt>
                <c:pt idx="2">
                  <c:v>Q_RZS.TossVal</c:v>
                </c:pt>
                <c:pt idx="3">
                  <c:v>Q_RZS.ReceiveVal</c:v>
                </c:pt>
                <c:pt idx="4">
                  <c:v>Q_RZS.BlockVal</c:v>
                </c:pt>
              </c:strCache>
            </c:strRef>
          </c:cat>
          <c:val>
            <c:numRef>
              <c:f>扇南!$G$9:$K$9</c:f>
              <c:numCache>
                <c:formatCode>General</c:formatCode>
                <c:ptCount val="5"/>
                <c:pt idx="0">
                  <c:v>95.707792499999996</c:v>
                </c:pt>
                <c:pt idx="1">
                  <c:v>99.526673900000006</c:v>
                </c:pt>
                <c:pt idx="2">
                  <c:v>110.11734629999999</c:v>
                </c:pt>
                <c:pt idx="3">
                  <c:v>100</c:v>
                </c:pt>
                <c:pt idx="4">
                  <c:v>98.875850420000006</c:v>
                </c:pt>
              </c:numCache>
            </c:numRef>
          </c:val>
          <c:extLst>
            <c:ext xmlns:c16="http://schemas.microsoft.com/office/drawing/2014/chart" uri="{C3380CC4-5D6E-409C-BE32-E72D297353CC}">
              <c16:uniqueId val="{00000000-87AA-4468-A5D3-E406CDF0BA83}"/>
            </c:ext>
          </c:extLst>
        </c:ser>
        <c:ser>
          <c:idx val="8"/>
          <c:order val="8"/>
          <c:tx>
            <c:strRef>
              <c:f>扇南!$F$10</c:f>
              <c:strCache>
                <c:ptCount val="1"/>
                <c:pt idx="0">
                  <c:v>サバゲ2子安颯真ICO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扇南!$G$1:$K$1</c:f>
              <c:strCache>
                <c:ptCount val="5"/>
                <c:pt idx="0">
                  <c:v>Q_RZS.AttackVal</c:v>
                </c:pt>
                <c:pt idx="1">
                  <c:v>Q_RZS.ServeVal</c:v>
                </c:pt>
                <c:pt idx="2">
                  <c:v>Q_RZS.TossVal</c:v>
                </c:pt>
                <c:pt idx="3">
                  <c:v>Q_RZS.ReceiveVal</c:v>
                </c:pt>
                <c:pt idx="4">
                  <c:v>Q_RZS.BlockVal</c:v>
                </c:pt>
              </c:strCache>
            </c:strRef>
          </c:cat>
          <c:val>
            <c:numRef>
              <c:f>扇南!$G$10:$K$10</c:f>
              <c:numCache>
                <c:formatCode>General</c:formatCode>
                <c:ptCount val="5"/>
                <c:pt idx="0">
                  <c:v>98.160482500000001</c:v>
                </c:pt>
                <c:pt idx="1">
                  <c:v>98.106695439999996</c:v>
                </c:pt>
                <c:pt idx="2">
                  <c:v>97.751700830000004</c:v>
                </c:pt>
                <c:pt idx="3">
                  <c:v>96.252834719999996</c:v>
                </c:pt>
                <c:pt idx="4">
                  <c:v>102.24829920000001</c:v>
                </c:pt>
              </c:numCache>
            </c:numRef>
          </c:val>
          <c:extLst>
            <c:ext xmlns:c16="http://schemas.microsoft.com/office/drawing/2014/chart" uri="{C3380CC4-5D6E-409C-BE32-E72D297353CC}">
              <c16:uniqueId val="{00000000-8218-4830-A653-D8A848C33CD2}"/>
            </c:ext>
          </c:extLst>
        </c:ser>
        <c:dLbls>
          <c:showLegendKey val="0"/>
          <c:showVal val="0"/>
          <c:showCatName val="0"/>
          <c:showSerName val="0"/>
          <c:showPercent val="0"/>
          <c:showBubbleSize val="0"/>
        </c:dLbls>
        <c:axId val="210518112"/>
        <c:axId val="210544992"/>
        <c:extLst/>
      </c:radarChart>
      <c:catAx>
        <c:axId val="2105181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0544992"/>
        <c:crosses val="autoZero"/>
        <c:auto val="1"/>
        <c:lblAlgn val="ctr"/>
        <c:lblOffset val="100"/>
        <c:noMultiLvlLbl val="0"/>
      </c:catAx>
      <c:valAx>
        <c:axId val="210544992"/>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10518112"/>
        <c:crosses val="autoZero"/>
        <c:crossBetween val="between"/>
        <c:majorUnit val="10"/>
      </c:valAx>
      <c:spPr>
        <a:noFill/>
        <a:ln>
          <a:noFill/>
        </a:ln>
        <a:effectLst/>
      </c:spPr>
    </c:plotArea>
    <c:legend>
      <c:legendPos val="t"/>
      <c:layout>
        <c:manualLayout>
          <c:xMode val="edge"/>
          <c:yMode val="edge"/>
          <c:x val="0.64556748235398331"/>
          <c:y val="8.5802477811879496E-2"/>
          <c:w val="0.21529833346117394"/>
          <c:h val="0.629493365924464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角川</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8.9016210364244272E-2"/>
          <c:y val="0.18262498998819596"/>
          <c:w val="0.38298929820628219"/>
          <c:h val="0.78198475973639736"/>
        </c:manualLayout>
      </c:layout>
      <c:radarChart>
        <c:radarStyle val="marker"/>
        <c:varyColors val="0"/>
        <c:ser>
          <c:idx val="0"/>
          <c:order val="0"/>
          <c:tx>
            <c:strRef>
              <c:f>角川!$F$2</c:f>
              <c:strCache>
                <c:ptCount val="1"/>
                <c:pt idx="0">
                  <c:v>古牧譲ICO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角川!$G$1:$K$1</c:f>
              <c:strCache>
                <c:ptCount val="5"/>
                <c:pt idx="0">
                  <c:v>Q_RZS.AttackVal</c:v>
                </c:pt>
                <c:pt idx="1">
                  <c:v>Q_RZS.ServeVal</c:v>
                </c:pt>
                <c:pt idx="2">
                  <c:v>Q_RZS.TossVal</c:v>
                </c:pt>
                <c:pt idx="3">
                  <c:v>Q_RZS.ReceiveVal</c:v>
                </c:pt>
                <c:pt idx="4">
                  <c:v>Q_RZS.BlockVal</c:v>
                </c:pt>
              </c:strCache>
            </c:strRef>
          </c:cat>
          <c:val>
            <c:numRef>
              <c:f>角川!$G$2:$K$2</c:f>
              <c:numCache>
                <c:formatCode>General</c:formatCode>
                <c:ptCount val="5"/>
                <c:pt idx="0">
                  <c:v>100.6131725</c:v>
                </c:pt>
                <c:pt idx="1">
                  <c:v>100.47332609999999</c:v>
                </c:pt>
                <c:pt idx="2">
                  <c:v>107.8690471</c:v>
                </c:pt>
                <c:pt idx="3">
                  <c:v>99.250566939999999</c:v>
                </c:pt>
                <c:pt idx="4">
                  <c:v>99.437925210000003</c:v>
                </c:pt>
              </c:numCache>
            </c:numRef>
          </c:val>
          <c:extLst>
            <c:ext xmlns:c16="http://schemas.microsoft.com/office/drawing/2014/chart" uri="{C3380CC4-5D6E-409C-BE32-E72D297353CC}">
              <c16:uniqueId val="{00000000-579D-4B88-ADA6-585244CC43F1}"/>
            </c:ext>
          </c:extLst>
        </c:ser>
        <c:ser>
          <c:idx val="1"/>
          <c:order val="1"/>
          <c:tx>
            <c:strRef>
              <c:f>角川!$F$3</c:f>
              <c:strCache>
                <c:ptCount val="1"/>
                <c:pt idx="0">
                  <c:v>浅虫快人ICO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角川!$G$1:$K$1</c:f>
              <c:strCache>
                <c:ptCount val="5"/>
                <c:pt idx="0">
                  <c:v>Q_RZS.AttackVal</c:v>
                </c:pt>
                <c:pt idx="1">
                  <c:v>Q_RZS.ServeVal</c:v>
                </c:pt>
                <c:pt idx="2">
                  <c:v>Q_RZS.TossVal</c:v>
                </c:pt>
                <c:pt idx="3">
                  <c:v>Q_RZS.ReceiveVal</c:v>
                </c:pt>
                <c:pt idx="4">
                  <c:v>Q_RZS.BlockVal</c:v>
                </c:pt>
              </c:strCache>
            </c:strRef>
          </c:cat>
          <c:val>
            <c:numRef>
              <c:f>角川!$G$3:$K$3</c:f>
              <c:numCache>
                <c:formatCode>General</c:formatCode>
                <c:ptCount val="5"/>
                <c:pt idx="0">
                  <c:v>96.320965000000001</c:v>
                </c:pt>
                <c:pt idx="1">
                  <c:v>94.793412459999999</c:v>
                </c:pt>
                <c:pt idx="2">
                  <c:v>98.875850420000006</c:v>
                </c:pt>
                <c:pt idx="3">
                  <c:v>96.252834719999996</c:v>
                </c:pt>
                <c:pt idx="4">
                  <c:v>98.313775629999995</c:v>
                </c:pt>
              </c:numCache>
            </c:numRef>
          </c:val>
          <c:extLst xmlns:c15="http://schemas.microsoft.com/office/drawing/2012/chart">
            <c:ext xmlns:c16="http://schemas.microsoft.com/office/drawing/2014/chart" uri="{C3380CC4-5D6E-409C-BE32-E72D297353CC}">
              <c16:uniqueId val="{00000007-579D-4B88-ADA6-585244CC43F1}"/>
            </c:ext>
          </c:extLst>
        </c:ser>
        <c:ser>
          <c:idx val="2"/>
          <c:order val="2"/>
          <c:tx>
            <c:strRef>
              <c:f>角川!$F$4</c:f>
              <c:strCache>
                <c:ptCount val="1"/>
                <c:pt idx="0">
                  <c:v>南田大志ICO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角川!$G$1:$K$1</c:f>
              <c:strCache>
                <c:ptCount val="5"/>
                <c:pt idx="0">
                  <c:v>Q_RZS.AttackVal</c:v>
                </c:pt>
                <c:pt idx="1">
                  <c:v>Q_RZS.ServeVal</c:v>
                </c:pt>
                <c:pt idx="2">
                  <c:v>Q_RZS.TossVal</c:v>
                </c:pt>
                <c:pt idx="3">
                  <c:v>Q_RZS.ReceiveVal</c:v>
                </c:pt>
                <c:pt idx="4">
                  <c:v>Q_RZS.BlockVal</c:v>
                </c:pt>
              </c:strCache>
            </c:strRef>
          </c:cat>
          <c:val>
            <c:numRef>
              <c:f>角川!$G$4:$K$4</c:f>
              <c:numCache>
                <c:formatCode>General</c:formatCode>
                <c:ptCount val="5"/>
                <c:pt idx="0">
                  <c:v>95.094620000000006</c:v>
                </c:pt>
                <c:pt idx="1">
                  <c:v>95.740064739999994</c:v>
                </c:pt>
                <c:pt idx="2">
                  <c:v>98.875850420000006</c:v>
                </c:pt>
                <c:pt idx="3">
                  <c:v>103.74716530000001</c:v>
                </c:pt>
                <c:pt idx="4">
                  <c:v>94.941326880000005</c:v>
                </c:pt>
              </c:numCache>
            </c:numRef>
          </c:val>
          <c:extLst>
            <c:ext xmlns:c16="http://schemas.microsoft.com/office/drawing/2014/chart" uri="{C3380CC4-5D6E-409C-BE32-E72D297353CC}">
              <c16:uniqueId val="{00000001-579D-4B88-ADA6-585244CC43F1}"/>
            </c:ext>
          </c:extLst>
        </c:ser>
        <c:ser>
          <c:idx val="3"/>
          <c:order val="3"/>
          <c:tx>
            <c:strRef>
              <c:f>角川!$F$5</c:f>
              <c:strCache>
                <c:ptCount val="1"/>
                <c:pt idx="0">
                  <c:v>湯川良明ICO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角川!$G$1:$K$1</c:f>
              <c:strCache>
                <c:ptCount val="5"/>
                <c:pt idx="0">
                  <c:v>Q_RZS.AttackVal</c:v>
                </c:pt>
                <c:pt idx="1">
                  <c:v>Q_RZS.ServeVal</c:v>
                </c:pt>
                <c:pt idx="2">
                  <c:v>Q_RZS.TossVal</c:v>
                </c:pt>
                <c:pt idx="3">
                  <c:v>Q_RZS.ReceiveVal</c:v>
                </c:pt>
                <c:pt idx="4">
                  <c:v>Q_RZS.BlockVal</c:v>
                </c:pt>
              </c:strCache>
            </c:strRef>
          </c:cat>
          <c:val>
            <c:numRef>
              <c:f>角川!$G$5:$K$5</c:f>
              <c:numCache>
                <c:formatCode>General</c:formatCode>
                <c:ptCount val="5"/>
                <c:pt idx="0">
                  <c:v>95.094620000000006</c:v>
                </c:pt>
                <c:pt idx="1">
                  <c:v>96.213390880000006</c:v>
                </c:pt>
                <c:pt idx="2">
                  <c:v>96.627551249999996</c:v>
                </c:pt>
                <c:pt idx="3">
                  <c:v>95.503401670000002</c:v>
                </c:pt>
                <c:pt idx="4">
                  <c:v>99.437925210000003</c:v>
                </c:pt>
              </c:numCache>
            </c:numRef>
          </c:val>
          <c:extLst>
            <c:ext xmlns:c16="http://schemas.microsoft.com/office/drawing/2014/chart" uri="{C3380CC4-5D6E-409C-BE32-E72D297353CC}">
              <c16:uniqueId val="{00000002-579D-4B88-ADA6-585244CC43F1}"/>
            </c:ext>
          </c:extLst>
        </c:ser>
        <c:ser>
          <c:idx val="4"/>
          <c:order val="4"/>
          <c:tx>
            <c:strRef>
              <c:f>角川!$F$6</c:f>
              <c:strCache>
                <c:ptCount val="1"/>
                <c:pt idx="0">
                  <c:v>稲垣功ICO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角川!$G$1:$K$1</c:f>
              <c:strCache>
                <c:ptCount val="5"/>
                <c:pt idx="0">
                  <c:v>Q_RZS.AttackVal</c:v>
                </c:pt>
                <c:pt idx="1">
                  <c:v>Q_RZS.ServeVal</c:v>
                </c:pt>
                <c:pt idx="2">
                  <c:v>Q_RZS.TossVal</c:v>
                </c:pt>
                <c:pt idx="3">
                  <c:v>Q_RZS.ReceiveVal</c:v>
                </c:pt>
                <c:pt idx="4">
                  <c:v>Q_RZS.BlockVal</c:v>
                </c:pt>
              </c:strCache>
            </c:strRef>
          </c:cat>
          <c:val>
            <c:numRef>
              <c:f>角川!$G$6:$K$6</c:f>
              <c:numCache>
                <c:formatCode>General</c:formatCode>
                <c:ptCount val="5"/>
                <c:pt idx="0">
                  <c:v>97.547309999999996</c:v>
                </c:pt>
                <c:pt idx="1">
                  <c:v>95.266738599999996</c:v>
                </c:pt>
                <c:pt idx="2">
                  <c:v>98.875850420000006</c:v>
                </c:pt>
                <c:pt idx="3">
                  <c:v>94.753968610000001</c:v>
                </c:pt>
                <c:pt idx="4">
                  <c:v>96.627551249999996</c:v>
                </c:pt>
              </c:numCache>
            </c:numRef>
          </c:val>
          <c:extLst>
            <c:ext xmlns:c16="http://schemas.microsoft.com/office/drawing/2014/chart" uri="{C3380CC4-5D6E-409C-BE32-E72D297353CC}">
              <c16:uniqueId val="{00000003-579D-4B88-ADA6-585244CC43F1}"/>
            </c:ext>
          </c:extLst>
        </c:ser>
        <c:ser>
          <c:idx val="5"/>
          <c:order val="5"/>
          <c:tx>
            <c:strRef>
              <c:f>角川!$F$7</c:f>
              <c:strCache>
                <c:ptCount val="1"/>
                <c:pt idx="0">
                  <c:v>馬門英治ICO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角川!$G$1:$K$1</c:f>
              <c:strCache>
                <c:ptCount val="5"/>
                <c:pt idx="0">
                  <c:v>Q_RZS.AttackVal</c:v>
                </c:pt>
                <c:pt idx="1">
                  <c:v>Q_RZS.ServeVal</c:v>
                </c:pt>
                <c:pt idx="2">
                  <c:v>Q_RZS.TossVal</c:v>
                </c:pt>
                <c:pt idx="3">
                  <c:v>Q_RZS.ReceiveVal</c:v>
                </c:pt>
                <c:pt idx="4">
                  <c:v>Q_RZS.BlockVal</c:v>
                </c:pt>
              </c:strCache>
            </c:strRef>
          </c:cat>
          <c:val>
            <c:numRef>
              <c:f>角川!$G$7:$K$7</c:f>
              <c:numCache>
                <c:formatCode>General</c:formatCode>
                <c:ptCount val="5"/>
                <c:pt idx="0">
                  <c:v>94.481447500000002</c:v>
                </c:pt>
                <c:pt idx="1">
                  <c:v>95.740064739999994</c:v>
                </c:pt>
                <c:pt idx="2">
                  <c:v>96.627551249999996</c:v>
                </c:pt>
                <c:pt idx="3">
                  <c:v>95.503401670000002</c:v>
                </c:pt>
                <c:pt idx="4">
                  <c:v>100</c:v>
                </c:pt>
              </c:numCache>
            </c:numRef>
          </c:val>
          <c:extLst>
            <c:ext xmlns:c16="http://schemas.microsoft.com/office/drawing/2014/chart" uri="{C3380CC4-5D6E-409C-BE32-E72D297353CC}">
              <c16:uniqueId val="{00000004-579D-4B88-ADA6-585244CC43F1}"/>
            </c:ext>
          </c:extLst>
        </c:ser>
        <c:ser>
          <c:idx val="6"/>
          <c:order val="6"/>
          <c:tx>
            <c:strRef>
              <c:f>角川!$F$8</c:f>
              <c:strCache>
                <c:ptCount val="1"/>
                <c:pt idx="0">
                  <c:v>百沢雄大ICO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角川!$G$1:$K$1</c:f>
              <c:strCache>
                <c:ptCount val="5"/>
                <c:pt idx="0">
                  <c:v>Q_RZS.AttackVal</c:v>
                </c:pt>
                <c:pt idx="1">
                  <c:v>Q_RZS.ServeVal</c:v>
                </c:pt>
                <c:pt idx="2">
                  <c:v>Q_RZS.TossVal</c:v>
                </c:pt>
                <c:pt idx="3">
                  <c:v>Q_RZS.ReceiveVal</c:v>
                </c:pt>
                <c:pt idx="4">
                  <c:v>Q_RZS.BlockVal</c:v>
                </c:pt>
              </c:strCache>
            </c:strRef>
          </c:cat>
          <c:val>
            <c:numRef>
              <c:f>角川!$G$8:$K$8</c:f>
              <c:numCache>
                <c:formatCode>General</c:formatCode>
                <c:ptCount val="5"/>
                <c:pt idx="0">
                  <c:v>96.934137500000006</c:v>
                </c:pt>
                <c:pt idx="1">
                  <c:v>95.740064739999994</c:v>
                </c:pt>
                <c:pt idx="2">
                  <c:v>100</c:v>
                </c:pt>
                <c:pt idx="3">
                  <c:v>95.503401670000002</c:v>
                </c:pt>
                <c:pt idx="4">
                  <c:v>97.189626039999993</c:v>
                </c:pt>
              </c:numCache>
            </c:numRef>
          </c:val>
          <c:extLst>
            <c:ext xmlns:c16="http://schemas.microsoft.com/office/drawing/2014/chart" uri="{C3380CC4-5D6E-409C-BE32-E72D297353CC}">
              <c16:uniqueId val="{00000005-579D-4B88-ADA6-585244CC43F1}"/>
            </c:ext>
          </c:extLst>
        </c:ser>
        <c:ser>
          <c:idx val="7"/>
          <c:order val="7"/>
          <c:tx>
            <c:strRef>
              <c:f>角川!$F$9</c:f>
              <c:strCache>
                <c:ptCount val="1"/>
                <c:pt idx="0">
                  <c:v>雪遊び古牧譲ICO</c:v>
                </c:pt>
              </c:strCache>
              <c:extLst xmlns:c15="http://schemas.microsoft.com/office/drawing/2012/chart"/>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角川!$G$1:$K$1</c:f>
              <c:strCache>
                <c:ptCount val="5"/>
                <c:pt idx="0">
                  <c:v>Q_RZS.AttackVal</c:v>
                </c:pt>
                <c:pt idx="1">
                  <c:v>Q_RZS.ServeVal</c:v>
                </c:pt>
                <c:pt idx="2">
                  <c:v>Q_RZS.TossVal</c:v>
                </c:pt>
                <c:pt idx="3">
                  <c:v>Q_RZS.ReceiveVal</c:v>
                </c:pt>
                <c:pt idx="4">
                  <c:v>Q_RZS.BlockVal</c:v>
                </c:pt>
              </c:strCache>
              <c:extLst xmlns:c15="http://schemas.microsoft.com/office/drawing/2012/chart"/>
            </c:strRef>
          </c:cat>
          <c:val>
            <c:numRef>
              <c:f>角川!$G$9:$K$9</c:f>
              <c:numCache>
                <c:formatCode>General</c:formatCode>
                <c:ptCount val="5"/>
                <c:pt idx="0">
                  <c:v>101.22634499999999</c:v>
                </c:pt>
                <c:pt idx="1">
                  <c:v>103.313283</c:v>
                </c:pt>
                <c:pt idx="2">
                  <c:v>111.2414958</c:v>
                </c:pt>
                <c:pt idx="3">
                  <c:v>100.7494331</c:v>
                </c:pt>
                <c:pt idx="4">
                  <c:v>100.5620748</c:v>
                </c:pt>
              </c:numCache>
              <c:extLst xmlns:c15="http://schemas.microsoft.com/office/drawing/2012/chart"/>
            </c:numRef>
          </c:val>
          <c:extLst xmlns:c15="http://schemas.microsoft.com/office/drawing/2012/chart">
            <c:ext xmlns:c16="http://schemas.microsoft.com/office/drawing/2014/chart" uri="{C3380CC4-5D6E-409C-BE32-E72D297353CC}">
              <c16:uniqueId val="{00000006-579D-4B88-ADA6-585244CC43F1}"/>
            </c:ext>
          </c:extLst>
        </c:ser>
        <c:ser>
          <c:idx val="8"/>
          <c:order val="8"/>
          <c:tx>
            <c:strRef>
              <c:f>角川!$F$10</c:f>
              <c:strCache>
                <c:ptCount val="1"/>
                <c:pt idx="0">
                  <c:v>職業体験百沢雄大ICO</c:v>
                </c:pt>
              </c:strCache>
              <c:extLst xmlns:c15="http://schemas.microsoft.com/office/drawing/2012/chart"/>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角川!$G$1:$K$1</c:f>
              <c:strCache>
                <c:ptCount val="5"/>
                <c:pt idx="0">
                  <c:v>Q_RZS.AttackVal</c:v>
                </c:pt>
                <c:pt idx="1">
                  <c:v>Q_RZS.ServeVal</c:v>
                </c:pt>
                <c:pt idx="2">
                  <c:v>Q_RZS.TossVal</c:v>
                </c:pt>
                <c:pt idx="3">
                  <c:v>Q_RZS.ReceiveVal</c:v>
                </c:pt>
                <c:pt idx="4">
                  <c:v>Q_RZS.BlockVal</c:v>
                </c:pt>
              </c:strCache>
              <c:extLst xmlns:c15="http://schemas.microsoft.com/office/drawing/2012/chart"/>
            </c:strRef>
          </c:cat>
          <c:val>
            <c:numRef>
              <c:f>角川!$G$10:$K$10</c:f>
              <c:numCache>
                <c:formatCode>General</c:formatCode>
                <c:ptCount val="5"/>
                <c:pt idx="0">
                  <c:v>98.773655000000005</c:v>
                </c:pt>
                <c:pt idx="1">
                  <c:v>97.633369299999998</c:v>
                </c:pt>
                <c:pt idx="2">
                  <c:v>101.1241496</c:v>
                </c:pt>
                <c:pt idx="3">
                  <c:v>97.002267779999997</c:v>
                </c:pt>
                <c:pt idx="4">
                  <c:v>99.437925210000003</c:v>
                </c:pt>
              </c:numCache>
              <c:extLst xmlns:c15="http://schemas.microsoft.com/office/drawing/2012/chart"/>
            </c:numRef>
          </c:val>
          <c:extLst xmlns:c15="http://schemas.microsoft.com/office/drawing/2012/chart">
            <c:ext xmlns:c16="http://schemas.microsoft.com/office/drawing/2014/chart" uri="{C3380CC4-5D6E-409C-BE32-E72D297353CC}">
              <c16:uniqueId val="{00000008-579D-4B88-ADA6-585244CC43F1}"/>
            </c:ext>
          </c:extLst>
        </c:ser>
        <c:dLbls>
          <c:showLegendKey val="0"/>
          <c:showVal val="0"/>
          <c:showCatName val="0"/>
          <c:showSerName val="0"/>
          <c:showPercent val="0"/>
          <c:showBubbleSize val="0"/>
        </c:dLbls>
        <c:axId val="296810560"/>
        <c:axId val="296815360"/>
        <c:extLst/>
      </c:radarChart>
      <c:catAx>
        <c:axId val="29681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96815360"/>
        <c:crosses val="autoZero"/>
        <c:auto val="1"/>
        <c:lblAlgn val="ctr"/>
        <c:lblOffset val="100"/>
        <c:noMultiLvlLbl val="0"/>
      </c:catAx>
      <c:valAx>
        <c:axId val="296815360"/>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296810560"/>
        <c:crosses val="autoZero"/>
        <c:crossBetween val="between"/>
        <c:majorUnit val="10"/>
      </c:valAx>
      <c:spPr>
        <a:noFill/>
        <a:ln>
          <a:noFill/>
        </a:ln>
        <a:effectLst/>
      </c:spPr>
    </c:plotArea>
    <c:legend>
      <c:legendPos val="t"/>
      <c:layout>
        <c:manualLayout>
          <c:xMode val="edge"/>
          <c:yMode val="edge"/>
          <c:x val="0.63421911664000996"/>
          <c:y val="8.4002318799476366E-2"/>
          <c:w val="0.33285984342277342"/>
          <c:h val="0.869904812362378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条善寺</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7.316245307750735E-2"/>
          <c:y val="0.1659651769015961"/>
          <c:w val="0.40381123538949065"/>
          <c:h val="0.79950858888632692"/>
        </c:manualLayout>
      </c:layout>
      <c:radarChart>
        <c:radarStyle val="marker"/>
        <c:varyColors val="0"/>
        <c:ser>
          <c:idx val="0"/>
          <c:order val="0"/>
          <c:tx>
            <c:strRef>
              <c:f>条善寺!$F$2</c:f>
              <c:strCache>
                <c:ptCount val="1"/>
                <c:pt idx="0">
                  <c:v>照島游児ICO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条善寺!$G$2:$K$2</c:f>
              <c:numCache>
                <c:formatCode>General</c:formatCode>
                <c:ptCount val="5"/>
                <c:pt idx="0">
                  <c:v>101.22634499999999</c:v>
                </c:pt>
                <c:pt idx="1">
                  <c:v>101.41997840000001</c:v>
                </c:pt>
                <c:pt idx="2">
                  <c:v>98.875850420000006</c:v>
                </c:pt>
                <c:pt idx="3">
                  <c:v>98.501133890000006</c:v>
                </c:pt>
                <c:pt idx="4">
                  <c:v>97.189626039999993</c:v>
                </c:pt>
              </c:numCache>
            </c:numRef>
          </c:val>
          <c:extLst>
            <c:ext xmlns:c16="http://schemas.microsoft.com/office/drawing/2014/chart" uri="{C3380CC4-5D6E-409C-BE32-E72D297353CC}">
              <c16:uniqueId val="{00000000-3BFC-450C-B4E8-3D9E11328B37}"/>
            </c:ext>
          </c:extLst>
        </c:ser>
        <c:ser>
          <c:idx val="1"/>
          <c:order val="1"/>
          <c:tx>
            <c:strRef>
              <c:f>条善寺!$F$3</c:f>
              <c:strCache>
                <c:ptCount val="1"/>
                <c:pt idx="0">
                  <c:v>母畑和馬ICO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条善寺!$G$3:$K$3</c:f>
              <c:numCache>
                <c:formatCode>General</c:formatCode>
                <c:ptCount val="5"/>
                <c:pt idx="0">
                  <c:v>95.707792499999996</c:v>
                </c:pt>
                <c:pt idx="1">
                  <c:v>95.740064739999994</c:v>
                </c:pt>
                <c:pt idx="2">
                  <c:v>96.627551249999996</c:v>
                </c:pt>
                <c:pt idx="3">
                  <c:v>96.252834719999996</c:v>
                </c:pt>
                <c:pt idx="4">
                  <c:v>100.5620748</c:v>
                </c:pt>
              </c:numCache>
            </c:numRef>
          </c:val>
          <c:extLst xmlns:c15="http://schemas.microsoft.com/office/drawing/2012/chart">
            <c:ext xmlns:c16="http://schemas.microsoft.com/office/drawing/2014/chart" uri="{C3380CC4-5D6E-409C-BE32-E72D297353CC}">
              <c16:uniqueId val="{00000007-3BFC-450C-B4E8-3D9E11328B37}"/>
            </c:ext>
          </c:extLst>
        </c:ser>
        <c:ser>
          <c:idx val="2"/>
          <c:order val="2"/>
          <c:tx>
            <c:strRef>
              <c:f>条善寺!$F$4</c:f>
              <c:strCache>
                <c:ptCount val="1"/>
                <c:pt idx="0">
                  <c:v>二岐丈晴ICO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条善寺!$G$4:$K$4</c:f>
              <c:numCache>
                <c:formatCode>General</c:formatCode>
                <c:ptCount val="5"/>
                <c:pt idx="0">
                  <c:v>94.481447500000002</c:v>
                </c:pt>
                <c:pt idx="1">
                  <c:v>95.266738599999996</c:v>
                </c:pt>
                <c:pt idx="2">
                  <c:v>105.6207479</c:v>
                </c:pt>
                <c:pt idx="3">
                  <c:v>95.503401670000002</c:v>
                </c:pt>
                <c:pt idx="4">
                  <c:v>97.751700830000004</c:v>
                </c:pt>
              </c:numCache>
            </c:numRef>
          </c:val>
          <c:extLst xmlns:c15="http://schemas.microsoft.com/office/drawing/2012/chart">
            <c:ext xmlns:c16="http://schemas.microsoft.com/office/drawing/2014/chart" uri="{C3380CC4-5D6E-409C-BE32-E72D297353CC}">
              <c16:uniqueId val="{00000008-3BFC-450C-B4E8-3D9E11328B37}"/>
            </c:ext>
          </c:extLst>
        </c:ser>
        <c:ser>
          <c:idx val="3"/>
          <c:order val="3"/>
          <c:tx>
            <c:strRef>
              <c:f>条善寺!$F$5</c:f>
              <c:strCache>
                <c:ptCount val="1"/>
                <c:pt idx="0">
                  <c:v>沼尻凛太郎ICO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条善寺!$G$5:$K$5</c:f>
              <c:numCache>
                <c:formatCode>General</c:formatCode>
                <c:ptCount val="5"/>
                <c:pt idx="0">
                  <c:v>97.547309999999996</c:v>
                </c:pt>
                <c:pt idx="1">
                  <c:v>96.686717020000003</c:v>
                </c:pt>
                <c:pt idx="2">
                  <c:v>97.751700830000004</c:v>
                </c:pt>
                <c:pt idx="3">
                  <c:v>95.503401670000002</c:v>
                </c:pt>
                <c:pt idx="4">
                  <c:v>96.627551249999996</c:v>
                </c:pt>
              </c:numCache>
            </c:numRef>
          </c:val>
          <c:extLst>
            <c:ext xmlns:c16="http://schemas.microsoft.com/office/drawing/2014/chart" uri="{C3380CC4-5D6E-409C-BE32-E72D297353CC}">
              <c16:uniqueId val="{00000001-3BFC-450C-B4E8-3D9E11328B37}"/>
            </c:ext>
          </c:extLst>
        </c:ser>
        <c:ser>
          <c:idx val="4"/>
          <c:order val="4"/>
          <c:tx>
            <c:strRef>
              <c:f>条善寺!$F$6</c:f>
              <c:strCache>
                <c:ptCount val="1"/>
                <c:pt idx="0">
                  <c:v>飯坂信義ICO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条善寺!$G$6:$K$6</c:f>
              <c:numCache>
                <c:formatCode>General</c:formatCode>
                <c:ptCount val="5"/>
                <c:pt idx="0">
                  <c:v>95.094620000000006</c:v>
                </c:pt>
                <c:pt idx="1">
                  <c:v>94.320086320000001</c:v>
                </c:pt>
                <c:pt idx="2">
                  <c:v>97.751700830000004</c:v>
                </c:pt>
                <c:pt idx="3">
                  <c:v>96.252834719999996</c:v>
                </c:pt>
                <c:pt idx="4">
                  <c:v>100</c:v>
                </c:pt>
              </c:numCache>
            </c:numRef>
          </c:val>
          <c:extLst>
            <c:ext xmlns:c16="http://schemas.microsoft.com/office/drawing/2014/chart" uri="{C3380CC4-5D6E-409C-BE32-E72D297353CC}">
              <c16:uniqueId val="{00000002-3BFC-450C-B4E8-3D9E11328B37}"/>
            </c:ext>
          </c:extLst>
        </c:ser>
        <c:ser>
          <c:idx val="5"/>
          <c:order val="5"/>
          <c:tx>
            <c:strRef>
              <c:f>条善寺!$F$7</c:f>
              <c:strCache>
                <c:ptCount val="1"/>
                <c:pt idx="0">
                  <c:v>東山勝道ICO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条善寺!$G$7:$K$7</c:f>
              <c:numCache>
                <c:formatCode>General</c:formatCode>
                <c:ptCount val="5"/>
                <c:pt idx="0">
                  <c:v>96.320965000000001</c:v>
                </c:pt>
                <c:pt idx="1">
                  <c:v>97.160043160000001</c:v>
                </c:pt>
                <c:pt idx="2">
                  <c:v>97.751700830000004</c:v>
                </c:pt>
                <c:pt idx="3">
                  <c:v>98.501133890000006</c:v>
                </c:pt>
                <c:pt idx="4">
                  <c:v>98.875850420000006</c:v>
                </c:pt>
              </c:numCache>
            </c:numRef>
          </c:val>
          <c:extLst xmlns:c15="http://schemas.microsoft.com/office/drawing/2012/chart">
            <c:ext xmlns:c16="http://schemas.microsoft.com/office/drawing/2014/chart" uri="{C3380CC4-5D6E-409C-BE32-E72D297353CC}">
              <c16:uniqueId val="{00000009-3BFC-450C-B4E8-3D9E11328B37}"/>
            </c:ext>
          </c:extLst>
        </c:ser>
        <c:ser>
          <c:idx val="6"/>
          <c:order val="6"/>
          <c:tx>
            <c:strRef>
              <c:f>条善寺!$F$8</c:f>
              <c:strCache>
                <c:ptCount val="1"/>
                <c:pt idx="0">
                  <c:v>土湯新ICO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条善寺!$G$8:$K$8</c:f>
              <c:numCache>
                <c:formatCode>General</c:formatCode>
                <c:ptCount val="5"/>
                <c:pt idx="0">
                  <c:v>95.094620000000006</c:v>
                </c:pt>
                <c:pt idx="1">
                  <c:v>95.266738599999996</c:v>
                </c:pt>
                <c:pt idx="2">
                  <c:v>98.875850420000006</c:v>
                </c:pt>
                <c:pt idx="3">
                  <c:v>102.24829920000001</c:v>
                </c:pt>
                <c:pt idx="4">
                  <c:v>95.503401670000002</c:v>
                </c:pt>
              </c:numCache>
            </c:numRef>
          </c:val>
          <c:extLst>
            <c:ext xmlns:c16="http://schemas.microsoft.com/office/drawing/2014/chart" uri="{C3380CC4-5D6E-409C-BE32-E72D297353CC}">
              <c16:uniqueId val="{00000003-3BFC-450C-B4E8-3D9E11328B37}"/>
            </c:ext>
          </c:extLst>
        </c:ser>
        <c:ser>
          <c:idx val="7"/>
          <c:order val="7"/>
          <c:tx>
            <c:strRef>
              <c:f>条善寺!$F$9</c:f>
              <c:strCache>
                <c:ptCount val="1"/>
                <c:pt idx="0">
                  <c:v>雪遊び照島游児ICO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条善寺!$G$9:$K$9</c:f>
              <c:numCache>
                <c:formatCode>General</c:formatCode>
                <c:ptCount val="5"/>
                <c:pt idx="0">
                  <c:v>104.90537999999999</c:v>
                </c:pt>
                <c:pt idx="1">
                  <c:v>100.47332609999999</c:v>
                </c:pt>
                <c:pt idx="2">
                  <c:v>100</c:v>
                </c:pt>
                <c:pt idx="3">
                  <c:v>100</c:v>
                </c:pt>
                <c:pt idx="4">
                  <c:v>101.1241496</c:v>
                </c:pt>
              </c:numCache>
            </c:numRef>
          </c:val>
          <c:extLst xmlns:c15="http://schemas.microsoft.com/office/drawing/2012/chart">
            <c:ext xmlns:c16="http://schemas.microsoft.com/office/drawing/2014/chart" uri="{C3380CC4-5D6E-409C-BE32-E72D297353CC}">
              <c16:uniqueId val="{00000004-3BFC-450C-B4E8-3D9E11328B37}"/>
            </c:ext>
          </c:extLst>
        </c:ser>
        <c:ser>
          <c:idx val="8"/>
          <c:order val="8"/>
          <c:tx>
            <c:strRef>
              <c:f>条善寺!$F$10</c:f>
              <c:strCache>
                <c:ptCount val="1"/>
                <c:pt idx="0">
                  <c:v>制服照島游児ICO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条善寺!$G$10:$K$10</c:f>
              <c:numCache>
                <c:formatCode>General</c:formatCode>
                <c:ptCount val="5"/>
                <c:pt idx="0">
                  <c:v>103.06586249999999</c:v>
                </c:pt>
                <c:pt idx="1">
                  <c:v>103.313283</c:v>
                </c:pt>
                <c:pt idx="2">
                  <c:v>100</c:v>
                </c:pt>
                <c:pt idx="3">
                  <c:v>100</c:v>
                </c:pt>
                <c:pt idx="4">
                  <c:v>99.437925210000003</c:v>
                </c:pt>
              </c:numCache>
            </c:numRef>
          </c:val>
          <c:extLst xmlns:c15="http://schemas.microsoft.com/office/drawing/2012/chart">
            <c:ext xmlns:c16="http://schemas.microsoft.com/office/drawing/2014/chart" uri="{C3380CC4-5D6E-409C-BE32-E72D297353CC}">
              <c16:uniqueId val="{00000005-3BFC-450C-B4E8-3D9E11328B37}"/>
            </c:ext>
          </c:extLst>
        </c:ser>
        <c:ser>
          <c:idx val="9"/>
          <c:order val="9"/>
          <c:tx>
            <c:strRef>
              <c:f>条善寺!$F$11</c:f>
              <c:strCache>
                <c:ptCount val="1"/>
                <c:pt idx="0">
                  <c:v>制服二岐丈晴ICO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条善寺!$G$11:$K$11</c:f>
              <c:numCache>
                <c:formatCode>General</c:formatCode>
                <c:ptCount val="5"/>
                <c:pt idx="0">
                  <c:v>95.094620000000006</c:v>
                </c:pt>
                <c:pt idx="1">
                  <c:v>98.106695439999996</c:v>
                </c:pt>
                <c:pt idx="2">
                  <c:v>108.9931967</c:v>
                </c:pt>
                <c:pt idx="3">
                  <c:v>97.002267779999997</c:v>
                </c:pt>
                <c:pt idx="4">
                  <c:v>98.875850420000006</c:v>
                </c:pt>
              </c:numCache>
            </c:numRef>
          </c:val>
          <c:extLst xmlns:c15="http://schemas.microsoft.com/office/drawing/2012/chart">
            <c:ext xmlns:c16="http://schemas.microsoft.com/office/drawing/2014/chart" uri="{C3380CC4-5D6E-409C-BE32-E72D297353CC}">
              <c16:uniqueId val="{00000006-3BFC-450C-B4E8-3D9E11328B37}"/>
            </c:ext>
          </c:extLst>
        </c:ser>
        <c:ser>
          <c:idx val="10"/>
          <c:order val="10"/>
          <c:tx>
            <c:strRef>
              <c:f>条善寺!$F$12</c:f>
              <c:strCache>
                <c:ptCount val="1"/>
                <c:pt idx="0">
                  <c:v>スパイ照島游児ICO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条善寺!$G$12:$K$12</c:f>
              <c:numCache>
                <c:formatCode>General</c:formatCode>
                <c:ptCount val="5"/>
                <c:pt idx="0">
                  <c:v>103.679035</c:v>
                </c:pt>
                <c:pt idx="1">
                  <c:v>105.6799137</c:v>
                </c:pt>
                <c:pt idx="2">
                  <c:v>100</c:v>
                </c:pt>
                <c:pt idx="3">
                  <c:v>102.24829920000001</c:v>
                </c:pt>
                <c:pt idx="4">
                  <c:v>100</c:v>
                </c:pt>
              </c:numCache>
            </c:numRef>
          </c:val>
          <c:extLst>
            <c:ext xmlns:c16="http://schemas.microsoft.com/office/drawing/2014/chart" uri="{C3380CC4-5D6E-409C-BE32-E72D297353CC}">
              <c16:uniqueId val="{00000000-E9CD-4A1C-9587-712EBA15F454}"/>
            </c:ext>
          </c:extLst>
        </c:ser>
        <c:ser>
          <c:idx val="11"/>
          <c:order val="11"/>
          <c:tx>
            <c:strRef>
              <c:f>条善寺!$F$13</c:f>
              <c:strCache>
                <c:ptCount val="1"/>
                <c:pt idx="0">
                  <c:v>妖照島游児ICO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条善寺!$G$13:$K$13</c:f>
              <c:numCache>
                <c:formatCode>General</c:formatCode>
                <c:ptCount val="5"/>
                <c:pt idx="0">
                  <c:v>104.90537999999999</c:v>
                </c:pt>
                <c:pt idx="1">
                  <c:v>103.78660910000001</c:v>
                </c:pt>
                <c:pt idx="2">
                  <c:v>100</c:v>
                </c:pt>
                <c:pt idx="3">
                  <c:v>102.24829920000001</c:v>
                </c:pt>
                <c:pt idx="4">
                  <c:v>101.6862244</c:v>
                </c:pt>
              </c:numCache>
            </c:numRef>
          </c:val>
          <c:extLst>
            <c:ext xmlns:c16="http://schemas.microsoft.com/office/drawing/2014/chart" uri="{C3380CC4-5D6E-409C-BE32-E72D297353CC}">
              <c16:uniqueId val="{00000001-E9CD-4A1C-9587-712EBA15F454}"/>
            </c:ext>
          </c:extLst>
        </c:ser>
        <c:ser>
          <c:idx val="12"/>
          <c:order val="12"/>
          <c:tx>
            <c:strRef>
              <c:f>条善寺!$F$14</c:f>
              <c:strCache>
                <c:ptCount val="1"/>
                <c:pt idx="0">
                  <c:v>アート2母畑和馬ICO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条善寺!$G$14:$K$14</c:f>
              <c:numCache>
                <c:formatCode>General</c:formatCode>
                <c:ptCount val="5"/>
                <c:pt idx="0">
                  <c:v>97.547309999999996</c:v>
                </c:pt>
                <c:pt idx="1">
                  <c:v>96.686717020000003</c:v>
                </c:pt>
                <c:pt idx="2">
                  <c:v>97.751700830000004</c:v>
                </c:pt>
                <c:pt idx="3">
                  <c:v>97.751700830000004</c:v>
                </c:pt>
                <c:pt idx="4">
                  <c:v>103.9345235</c:v>
                </c:pt>
              </c:numCache>
            </c:numRef>
          </c:val>
          <c:extLst>
            <c:ext xmlns:c16="http://schemas.microsoft.com/office/drawing/2014/chart" uri="{C3380CC4-5D6E-409C-BE32-E72D297353CC}">
              <c16:uniqueId val="{00000002-E9CD-4A1C-9587-712EBA15F454}"/>
            </c:ext>
          </c:extLst>
        </c:ser>
        <c:ser>
          <c:idx val="13"/>
          <c:order val="13"/>
          <c:tx>
            <c:strRef>
              <c:f>条善寺!$F$15</c:f>
              <c:strCache>
                <c:ptCount val="1"/>
                <c:pt idx="0">
                  <c:v>格ゲー照島游児ICO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条善寺!$G$1:$K$1</c:f>
              <c:strCache>
                <c:ptCount val="5"/>
                <c:pt idx="0">
                  <c:v>Q_RZS.AttackVal</c:v>
                </c:pt>
                <c:pt idx="1">
                  <c:v>Q_RZS.ServeVal</c:v>
                </c:pt>
                <c:pt idx="2">
                  <c:v>Q_RZS.TossVal</c:v>
                </c:pt>
                <c:pt idx="3">
                  <c:v>Q_RZS.ReceiveVal</c:v>
                </c:pt>
                <c:pt idx="4">
                  <c:v>Q_RZS.BlockVal</c:v>
                </c:pt>
              </c:strCache>
            </c:strRef>
          </c:cat>
          <c:val>
            <c:numRef>
              <c:f>条善寺!$G$15:$K$15</c:f>
              <c:numCache>
                <c:formatCode>General</c:formatCode>
                <c:ptCount val="5"/>
                <c:pt idx="0">
                  <c:v>104.2922075</c:v>
                </c:pt>
                <c:pt idx="1">
                  <c:v>107.5732182</c:v>
                </c:pt>
                <c:pt idx="2">
                  <c:v>101.1241496</c:v>
                </c:pt>
                <c:pt idx="3">
                  <c:v>104.4965983</c:v>
                </c:pt>
                <c:pt idx="4">
                  <c:v>101.1241496</c:v>
                </c:pt>
              </c:numCache>
            </c:numRef>
          </c:val>
          <c:extLst>
            <c:ext xmlns:c16="http://schemas.microsoft.com/office/drawing/2014/chart" uri="{C3380CC4-5D6E-409C-BE32-E72D297353CC}">
              <c16:uniqueId val="{00000000-AB25-4FA2-A155-17646DB1F4DE}"/>
            </c:ext>
          </c:extLst>
        </c:ser>
        <c:dLbls>
          <c:showLegendKey val="0"/>
          <c:showVal val="0"/>
          <c:showCatName val="0"/>
          <c:showSerName val="0"/>
          <c:showPercent val="0"/>
          <c:showBubbleSize val="0"/>
        </c:dLbls>
        <c:axId val="1800531072"/>
        <c:axId val="1800530592"/>
        <c:extLst/>
      </c:radarChart>
      <c:catAx>
        <c:axId val="180053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800530592"/>
        <c:crosses val="autoZero"/>
        <c:auto val="1"/>
        <c:lblAlgn val="ctr"/>
        <c:lblOffset val="100"/>
        <c:noMultiLvlLbl val="0"/>
      </c:catAx>
      <c:valAx>
        <c:axId val="1800530592"/>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800531072"/>
        <c:crosses val="autoZero"/>
        <c:crossBetween val="between"/>
        <c:majorUnit val="10"/>
      </c:valAx>
      <c:spPr>
        <a:noFill/>
        <a:ln>
          <a:noFill/>
        </a:ln>
        <a:effectLst/>
      </c:spPr>
    </c:plotArea>
    <c:legend>
      <c:legendPos val="t"/>
      <c:layout>
        <c:manualLayout>
          <c:xMode val="edge"/>
          <c:yMode val="edge"/>
          <c:x val="0.55615495000756976"/>
          <c:y val="8.60185612174314E-2"/>
          <c:w val="0.44384506092252635"/>
          <c:h val="0.913981426446400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和久南</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7.4930471321134604E-2"/>
          <c:y val="0.15348696110684626"/>
          <c:w val="0.40772507086418303"/>
          <c:h val="0.81001913034833406"/>
        </c:manualLayout>
      </c:layout>
      <c:radarChart>
        <c:radarStyle val="marker"/>
        <c:varyColors val="0"/>
        <c:ser>
          <c:idx val="0"/>
          <c:order val="0"/>
          <c:tx>
            <c:strRef>
              <c:f>和久南!$F$2</c:f>
              <c:strCache>
                <c:ptCount val="1"/>
                <c:pt idx="0">
                  <c:v>中島猛ICO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和久南!$G$2:$K$2</c:f>
              <c:numCache>
                <c:formatCode>General</c:formatCode>
                <c:ptCount val="5"/>
                <c:pt idx="0">
                  <c:v>99.386827499999995</c:v>
                </c:pt>
                <c:pt idx="1">
                  <c:v>99.053347720000005</c:v>
                </c:pt>
                <c:pt idx="2">
                  <c:v>97.751700830000004</c:v>
                </c:pt>
                <c:pt idx="3">
                  <c:v>99.250566939999999</c:v>
                </c:pt>
                <c:pt idx="4">
                  <c:v>98.875850420000006</c:v>
                </c:pt>
              </c:numCache>
            </c:numRef>
          </c:val>
          <c:extLst>
            <c:ext xmlns:c16="http://schemas.microsoft.com/office/drawing/2014/chart" uri="{C3380CC4-5D6E-409C-BE32-E72D297353CC}">
              <c16:uniqueId val="{00000000-1B3D-4E96-B2DC-7A7C0D9D166B}"/>
            </c:ext>
          </c:extLst>
        </c:ser>
        <c:ser>
          <c:idx val="1"/>
          <c:order val="1"/>
          <c:tx>
            <c:strRef>
              <c:f>和久南!$F$3</c:f>
              <c:strCache>
                <c:ptCount val="1"/>
                <c:pt idx="0">
                  <c:v>白石優希ICO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和久南!$G$3:$K$3</c:f>
              <c:numCache>
                <c:formatCode>General</c:formatCode>
                <c:ptCount val="5"/>
                <c:pt idx="0">
                  <c:v>96.934137500000006</c:v>
                </c:pt>
                <c:pt idx="1">
                  <c:v>94.793412459999999</c:v>
                </c:pt>
                <c:pt idx="2">
                  <c:v>97.751700830000004</c:v>
                </c:pt>
                <c:pt idx="3">
                  <c:v>95.503401670000002</c:v>
                </c:pt>
                <c:pt idx="4">
                  <c:v>94.941326880000005</c:v>
                </c:pt>
              </c:numCache>
            </c:numRef>
          </c:val>
          <c:extLst>
            <c:ext xmlns:c16="http://schemas.microsoft.com/office/drawing/2014/chart" uri="{C3380CC4-5D6E-409C-BE32-E72D297353CC}">
              <c16:uniqueId val="{00000001-1B3D-4E96-B2DC-7A7C0D9D166B}"/>
            </c:ext>
          </c:extLst>
        </c:ser>
        <c:ser>
          <c:idx val="2"/>
          <c:order val="2"/>
          <c:tx>
            <c:strRef>
              <c:f>和久南!$F$4</c:f>
              <c:strCache>
                <c:ptCount val="1"/>
                <c:pt idx="0">
                  <c:v>花山一雅ICO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和久南!$G$4:$K$4</c:f>
              <c:numCache>
                <c:formatCode>General</c:formatCode>
                <c:ptCount val="5"/>
                <c:pt idx="0">
                  <c:v>96.934137500000006</c:v>
                </c:pt>
                <c:pt idx="1">
                  <c:v>99.053347720000005</c:v>
                </c:pt>
                <c:pt idx="2">
                  <c:v>107.8690471</c:v>
                </c:pt>
                <c:pt idx="3">
                  <c:v>100</c:v>
                </c:pt>
                <c:pt idx="4">
                  <c:v>100</c:v>
                </c:pt>
              </c:numCache>
            </c:numRef>
          </c:val>
          <c:extLst>
            <c:ext xmlns:c16="http://schemas.microsoft.com/office/drawing/2014/chart" uri="{C3380CC4-5D6E-409C-BE32-E72D297353CC}">
              <c16:uniqueId val="{00000002-1B3D-4E96-B2DC-7A7C0D9D166B}"/>
            </c:ext>
          </c:extLst>
        </c:ser>
        <c:ser>
          <c:idx val="3"/>
          <c:order val="3"/>
          <c:tx>
            <c:strRef>
              <c:f>和久南!$F$5</c:f>
              <c:strCache>
                <c:ptCount val="1"/>
                <c:pt idx="0">
                  <c:v>鳴子哲平ICO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和久南!$G$5:$K$5</c:f>
              <c:numCache>
                <c:formatCode>General</c:formatCode>
                <c:ptCount val="5"/>
                <c:pt idx="0">
                  <c:v>93.868274999999997</c:v>
                </c:pt>
                <c:pt idx="1">
                  <c:v>93.846760180000004</c:v>
                </c:pt>
                <c:pt idx="2">
                  <c:v>97.751700830000004</c:v>
                </c:pt>
                <c:pt idx="3">
                  <c:v>96.252834719999996</c:v>
                </c:pt>
                <c:pt idx="4">
                  <c:v>100</c:v>
                </c:pt>
              </c:numCache>
            </c:numRef>
          </c:val>
          <c:extLst>
            <c:ext xmlns:c16="http://schemas.microsoft.com/office/drawing/2014/chart" uri="{C3380CC4-5D6E-409C-BE32-E72D297353CC}">
              <c16:uniqueId val="{00000003-1B3D-4E96-B2DC-7A7C0D9D166B}"/>
            </c:ext>
          </c:extLst>
        </c:ser>
        <c:ser>
          <c:idx val="4"/>
          <c:order val="4"/>
          <c:tx>
            <c:strRef>
              <c:f>和久南!$F$6</c:f>
              <c:strCache>
                <c:ptCount val="1"/>
                <c:pt idx="0">
                  <c:v>秋保和光ICO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和久南!$G$6:$K$6</c:f>
              <c:numCache>
                <c:formatCode>General</c:formatCode>
                <c:ptCount val="5"/>
                <c:pt idx="0">
                  <c:v>95.094620000000006</c:v>
                </c:pt>
                <c:pt idx="1">
                  <c:v>95.266738599999996</c:v>
                </c:pt>
                <c:pt idx="2">
                  <c:v>98.875850420000006</c:v>
                </c:pt>
                <c:pt idx="3">
                  <c:v>102.9977322</c:v>
                </c:pt>
                <c:pt idx="4">
                  <c:v>95.503401670000002</c:v>
                </c:pt>
              </c:numCache>
            </c:numRef>
          </c:val>
          <c:extLst>
            <c:ext xmlns:c16="http://schemas.microsoft.com/office/drawing/2014/chart" uri="{C3380CC4-5D6E-409C-BE32-E72D297353CC}">
              <c16:uniqueId val="{00000004-1B3D-4E96-B2DC-7A7C0D9D166B}"/>
            </c:ext>
          </c:extLst>
        </c:ser>
        <c:ser>
          <c:idx val="5"/>
          <c:order val="5"/>
          <c:tx>
            <c:strRef>
              <c:f>和久南!$F$7</c:f>
              <c:strCache>
                <c:ptCount val="1"/>
                <c:pt idx="0">
                  <c:v>松島剛ICO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和久南!$G$7:$K$7</c:f>
              <c:numCache>
                <c:formatCode>General</c:formatCode>
                <c:ptCount val="5"/>
                <c:pt idx="0">
                  <c:v>93.868274999999997</c:v>
                </c:pt>
                <c:pt idx="1">
                  <c:v>94.793412459999999</c:v>
                </c:pt>
                <c:pt idx="2">
                  <c:v>97.751700830000004</c:v>
                </c:pt>
                <c:pt idx="3">
                  <c:v>97.751700830000004</c:v>
                </c:pt>
                <c:pt idx="4">
                  <c:v>100</c:v>
                </c:pt>
              </c:numCache>
            </c:numRef>
          </c:val>
          <c:extLst>
            <c:ext xmlns:c16="http://schemas.microsoft.com/office/drawing/2014/chart" uri="{C3380CC4-5D6E-409C-BE32-E72D297353CC}">
              <c16:uniqueId val="{00000005-1B3D-4E96-B2DC-7A7C0D9D166B}"/>
            </c:ext>
          </c:extLst>
        </c:ser>
        <c:ser>
          <c:idx val="6"/>
          <c:order val="6"/>
          <c:tx>
            <c:strRef>
              <c:f>和久南!$F$8</c:f>
              <c:strCache>
                <c:ptCount val="1"/>
                <c:pt idx="0">
                  <c:v>川渡瞬己ICO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和久南!$G$8:$K$8</c:f>
              <c:numCache>
                <c:formatCode>General</c:formatCode>
                <c:ptCount val="5"/>
                <c:pt idx="0">
                  <c:v>100.6131725</c:v>
                </c:pt>
                <c:pt idx="1">
                  <c:v>99.053347720000005</c:v>
                </c:pt>
                <c:pt idx="2">
                  <c:v>98.875850420000006</c:v>
                </c:pt>
                <c:pt idx="3">
                  <c:v>97.751700830000004</c:v>
                </c:pt>
                <c:pt idx="4">
                  <c:v>98.313775629999995</c:v>
                </c:pt>
              </c:numCache>
            </c:numRef>
          </c:val>
          <c:extLst>
            <c:ext xmlns:c16="http://schemas.microsoft.com/office/drawing/2014/chart" uri="{C3380CC4-5D6E-409C-BE32-E72D297353CC}">
              <c16:uniqueId val="{00000006-1B3D-4E96-B2DC-7A7C0D9D166B}"/>
            </c:ext>
          </c:extLst>
        </c:ser>
        <c:ser>
          <c:idx val="7"/>
          <c:order val="7"/>
          <c:tx>
            <c:strRef>
              <c:f>和久南!$F$9</c:f>
              <c:strCache>
                <c:ptCount val="1"/>
                <c:pt idx="0">
                  <c:v>スパイ中島猛ICO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和久南!$G$9:$K$9</c:f>
              <c:numCache>
                <c:formatCode>General</c:formatCode>
                <c:ptCount val="5"/>
                <c:pt idx="0">
                  <c:v>101.22634499999999</c:v>
                </c:pt>
                <c:pt idx="1">
                  <c:v>100.9466523</c:v>
                </c:pt>
                <c:pt idx="2">
                  <c:v>98.875850420000006</c:v>
                </c:pt>
                <c:pt idx="3">
                  <c:v>100.7494331</c:v>
                </c:pt>
                <c:pt idx="4">
                  <c:v>101.1241496</c:v>
                </c:pt>
              </c:numCache>
            </c:numRef>
          </c:val>
          <c:extLst>
            <c:ext xmlns:c16="http://schemas.microsoft.com/office/drawing/2014/chart" uri="{C3380CC4-5D6E-409C-BE32-E72D297353CC}">
              <c16:uniqueId val="{00000000-363D-411F-9EAA-F175E76E41EA}"/>
            </c:ext>
          </c:extLst>
        </c:ser>
        <c:ser>
          <c:idx val="8"/>
          <c:order val="8"/>
          <c:tx>
            <c:strRef>
              <c:f>和久南!$F$10</c:f>
              <c:strCache>
                <c:ptCount val="1"/>
                <c:pt idx="0">
                  <c:v>妖松島剛ICO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和久南!$G$10:$K$10</c:f>
              <c:numCache>
                <c:formatCode>General</c:formatCode>
                <c:ptCount val="5"/>
                <c:pt idx="0">
                  <c:v>95.707792499999996</c:v>
                </c:pt>
                <c:pt idx="1">
                  <c:v>95.740064739999994</c:v>
                </c:pt>
                <c:pt idx="2">
                  <c:v>98.875850420000006</c:v>
                </c:pt>
                <c:pt idx="3">
                  <c:v>99.250566939999999</c:v>
                </c:pt>
                <c:pt idx="4">
                  <c:v>103.3724488</c:v>
                </c:pt>
              </c:numCache>
            </c:numRef>
          </c:val>
          <c:extLst>
            <c:ext xmlns:c16="http://schemas.microsoft.com/office/drawing/2014/chart" uri="{C3380CC4-5D6E-409C-BE32-E72D297353CC}">
              <c16:uniqueId val="{00000001-363D-411F-9EAA-F175E76E41EA}"/>
            </c:ext>
          </c:extLst>
        </c:ser>
        <c:ser>
          <c:idx val="9"/>
          <c:order val="9"/>
          <c:tx>
            <c:strRef>
              <c:f>和久南!$F$11</c:f>
              <c:strCache>
                <c:ptCount val="1"/>
                <c:pt idx="0">
                  <c:v>サバゲ2川渡瞬己ICO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和久南!$G$1:$K$1</c:f>
              <c:strCache>
                <c:ptCount val="5"/>
                <c:pt idx="0">
                  <c:v>Q_RZS.AttackVal</c:v>
                </c:pt>
                <c:pt idx="1">
                  <c:v>Q_RZS.ServeVal</c:v>
                </c:pt>
                <c:pt idx="2">
                  <c:v>Q_RZS.TossVal</c:v>
                </c:pt>
                <c:pt idx="3">
                  <c:v>Q_RZS.ReceiveVal</c:v>
                </c:pt>
                <c:pt idx="4">
                  <c:v>Q_RZS.BlockVal</c:v>
                </c:pt>
              </c:strCache>
            </c:strRef>
          </c:cat>
          <c:val>
            <c:numRef>
              <c:f>和久南!$G$11:$K$11</c:f>
              <c:numCache>
                <c:formatCode>General</c:formatCode>
                <c:ptCount val="5"/>
                <c:pt idx="0">
                  <c:v>103.06586249999999</c:v>
                </c:pt>
                <c:pt idx="1">
                  <c:v>100.9466523</c:v>
                </c:pt>
                <c:pt idx="2">
                  <c:v>100</c:v>
                </c:pt>
                <c:pt idx="3">
                  <c:v>100.7494331</c:v>
                </c:pt>
                <c:pt idx="4">
                  <c:v>101.1241496</c:v>
                </c:pt>
              </c:numCache>
            </c:numRef>
          </c:val>
          <c:extLst>
            <c:ext xmlns:c16="http://schemas.microsoft.com/office/drawing/2014/chart" uri="{C3380CC4-5D6E-409C-BE32-E72D297353CC}">
              <c16:uniqueId val="{00000002-363D-411F-9EAA-F175E76E41EA}"/>
            </c:ext>
          </c:extLst>
        </c:ser>
        <c:dLbls>
          <c:showLegendKey val="0"/>
          <c:showVal val="0"/>
          <c:showCatName val="0"/>
          <c:showSerName val="0"/>
          <c:showPercent val="0"/>
          <c:showBubbleSize val="0"/>
        </c:dLbls>
        <c:axId val="1797304960"/>
        <c:axId val="1797305920"/>
        <c:extLst/>
      </c:radarChart>
      <c:catAx>
        <c:axId val="17973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97305920"/>
        <c:crosses val="autoZero"/>
        <c:auto val="1"/>
        <c:lblAlgn val="ctr"/>
        <c:lblOffset val="100"/>
        <c:noMultiLvlLbl val="0"/>
      </c:catAx>
      <c:valAx>
        <c:axId val="1797305920"/>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97304960"/>
        <c:crosses val="autoZero"/>
        <c:crossBetween val="between"/>
        <c:majorUnit val="10"/>
      </c:valAx>
      <c:spPr>
        <a:noFill/>
        <a:ln>
          <a:noFill/>
        </a:ln>
        <a:effectLst/>
      </c:spPr>
    </c:plotArea>
    <c:legend>
      <c:legendPos val="t"/>
      <c:layout>
        <c:manualLayout>
          <c:xMode val="edge"/>
          <c:yMode val="edge"/>
          <c:x val="0.66191937851107863"/>
          <c:y val="9.3983090683668988E-2"/>
          <c:w val="0.28511887153439691"/>
          <c:h val="0.87758622921798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白鳥沢</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7.1575843825669824E-2"/>
          <c:y val="0.1576076424354331"/>
          <c:w val="0.41590066891708632"/>
          <c:h val="0.814006963716148"/>
        </c:manualLayout>
      </c:layout>
      <c:radarChart>
        <c:radarStyle val="marker"/>
        <c:varyColors val="0"/>
        <c:ser>
          <c:idx val="0"/>
          <c:order val="0"/>
          <c:tx>
            <c:strRef>
              <c:f>白鳥沢!$F$2</c:f>
              <c:strCache>
                <c:ptCount val="1"/>
                <c:pt idx="0">
                  <c:v>牛島若利ICO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白鳥沢!$G$2:$K$2</c:f>
              <c:numCache>
                <c:formatCode>General</c:formatCode>
                <c:ptCount val="5"/>
                <c:pt idx="0">
                  <c:v>106.131725</c:v>
                </c:pt>
                <c:pt idx="1">
                  <c:v>106.15323979999999</c:v>
                </c:pt>
                <c:pt idx="2">
                  <c:v>98.875850420000006</c:v>
                </c:pt>
                <c:pt idx="3">
                  <c:v>99.250566939999999</c:v>
                </c:pt>
                <c:pt idx="4">
                  <c:v>99.437925210000003</c:v>
                </c:pt>
              </c:numCache>
            </c:numRef>
          </c:val>
          <c:extLst>
            <c:ext xmlns:c16="http://schemas.microsoft.com/office/drawing/2014/chart" uri="{C3380CC4-5D6E-409C-BE32-E72D297353CC}">
              <c16:uniqueId val="{00000000-D0DF-494F-B554-C658C261EDFD}"/>
            </c:ext>
          </c:extLst>
        </c:ser>
        <c:ser>
          <c:idx val="1"/>
          <c:order val="1"/>
          <c:tx>
            <c:strRef>
              <c:f>白鳥沢!$F$3</c:f>
              <c:strCache>
                <c:ptCount val="1"/>
                <c:pt idx="0">
                  <c:v>天童覚ICO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白鳥沢!$G$3:$K$3</c:f>
              <c:numCache>
                <c:formatCode>General</c:formatCode>
                <c:ptCount val="5"/>
                <c:pt idx="0">
                  <c:v>99.386827499999995</c:v>
                </c:pt>
                <c:pt idx="1">
                  <c:v>98.580021579999993</c:v>
                </c:pt>
                <c:pt idx="2">
                  <c:v>97.751700830000004</c:v>
                </c:pt>
                <c:pt idx="3">
                  <c:v>96.252834719999996</c:v>
                </c:pt>
                <c:pt idx="4">
                  <c:v>102.810374</c:v>
                </c:pt>
              </c:numCache>
            </c:numRef>
          </c:val>
          <c:extLst xmlns:c15="http://schemas.microsoft.com/office/drawing/2012/chart">
            <c:ext xmlns:c16="http://schemas.microsoft.com/office/drawing/2014/chart" uri="{C3380CC4-5D6E-409C-BE32-E72D297353CC}">
              <c16:uniqueId val="{00000008-D0DF-494F-B554-C658C261EDFD}"/>
            </c:ext>
          </c:extLst>
        </c:ser>
        <c:ser>
          <c:idx val="2"/>
          <c:order val="2"/>
          <c:tx>
            <c:strRef>
              <c:f>白鳥沢!$F$4</c:f>
              <c:strCache>
                <c:ptCount val="1"/>
                <c:pt idx="0">
                  <c:v>五色工ICO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白鳥沢!$G$4:$K$4</c:f>
              <c:numCache>
                <c:formatCode>General</c:formatCode>
                <c:ptCount val="5"/>
                <c:pt idx="0">
                  <c:v>101.8395175</c:v>
                </c:pt>
                <c:pt idx="1">
                  <c:v>101.41997840000001</c:v>
                </c:pt>
                <c:pt idx="2">
                  <c:v>103.3724488</c:v>
                </c:pt>
                <c:pt idx="3">
                  <c:v>101.4988661</c:v>
                </c:pt>
                <c:pt idx="4">
                  <c:v>101.1241496</c:v>
                </c:pt>
              </c:numCache>
            </c:numRef>
          </c:val>
          <c:extLst xmlns:c15="http://schemas.microsoft.com/office/drawing/2012/chart">
            <c:ext xmlns:c16="http://schemas.microsoft.com/office/drawing/2014/chart" uri="{C3380CC4-5D6E-409C-BE32-E72D297353CC}">
              <c16:uniqueId val="{00000009-D0DF-494F-B554-C658C261EDFD}"/>
            </c:ext>
          </c:extLst>
        </c:ser>
        <c:ser>
          <c:idx val="3"/>
          <c:order val="3"/>
          <c:tx>
            <c:strRef>
              <c:f>白鳥沢!$F$5</c:f>
              <c:strCache>
                <c:ptCount val="1"/>
                <c:pt idx="0">
                  <c:v>白布賢二郎ICO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白鳥沢!$G$5:$K$5</c:f>
              <c:numCache>
                <c:formatCode>General</c:formatCode>
                <c:ptCount val="5"/>
                <c:pt idx="0">
                  <c:v>99.386827499999995</c:v>
                </c:pt>
                <c:pt idx="1">
                  <c:v>101.41997840000001</c:v>
                </c:pt>
                <c:pt idx="2">
                  <c:v>113.489795</c:v>
                </c:pt>
                <c:pt idx="3">
                  <c:v>98.501133890000006</c:v>
                </c:pt>
                <c:pt idx="4">
                  <c:v>97.751700830000004</c:v>
                </c:pt>
              </c:numCache>
            </c:numRef>
          </c:val>
          <c:extLst xmlns:c15="http://schemas.microsoft.com/office/drawing/2012/chart">
            <c:ext xmlns:c16="http://schemas.microsoft.com/office/drawing/2014/chart" uri="{C3380CC4-5D6E-409C-BE32-E72D297353CC}">
              <c16:uniqueId val="{00000001-D0DF-494F-B554-C658C261EDFD}"/>
            </c:ext>
          </c:extLst>
        </c:ser>
        <c:ser>
          <c:idx val="4"/>
          <c:order val="4"/>
          <c:tx>
            <c:strRef>
              <c:f>白鳥沢!$F$6</c:f>
              <c:strCache>
                <c:ptCount val="1"/>
                <c:pt idx="0">
                  <c:v>大平獅音ICO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白鳥沢!$G$6:$K$6</c:f>
              <c:numCache>
                <c:formatCode>General</c:formatCode>
                <c:ptCount val="5"/>
                <c:pt idx="0">
                  <c:v>99.386827499999995</c:v>
                </c:pt>
                <c:pt idx="1">
                  <c:v>99.526673900000006</c:v>
                </c:pt>
                <c:pt idx="2">
                  <c:v>103.3724488</c:v>
                </c:pt>
                <c:pt idx="3">
                  <c:v>101.4988661</c:v>
                </c:pt>
                <c:pt idx="4">
                  <c:v>101.1241496</c:v>
                </c:pt>
              </c:numCache>
            </c:numRef>
          </c:val>
          <c:extLst xmlns:c15="http://schemas.microsoft.com/office/drawing/2012/chart">
            <c:ext xmlns:c16="http://schemas.microsoft.com/office/drawing/2014/chart" uri="{C3380CC4-5D6E-409C-BE32-E72D297353CC}">
              <c16:uniqueId val="{0000000A-D0DF-494F-B554-C658C261EDFD}"/>
            </c:ext>
          </c:extLst>
        </c:ser>
        <c:ser>
          <c:idx val="5"/>
          <c:order val="5"/>
          <c:tx>
            <c:strRef>
              <c:f>白鳥沢!$F$7</c:f>
              <c:strCache>
                <c:ptCount val="1"/>
                <c:pt idx="0">
                  <c:v>川西太一ICO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白鳥沢!$G$7:$K$7</c:f>
              <c:numCache>
                <c:formatCode>General</c:formatCode>
                <c:ptCount val="5"/>
                <c:pt idx="0">
                  <c:v>101.8395175</c:v>
                </c:pt>
                <c:pt idx="1">
                  <c:v>100.47332609999999</c:v>
                </c:pt>
                <c:pt idx="2">
                  <c:v>97.751700830000004</c:v>
                </c:pt>
                <c:pt idx="3">
                  <c:v>96.252834719999996</c:v>
                </c:pt>
                <c:pt idx="4">
                  <c:v>100.5620748</c:v>
                </c:pt>
              </c:numCache>
            </c:numRef>
          </c:val>
          <c:extLst xmlns:c15="http://schemas.microsoft.com/office/drawing/2012/chart">
            <c:ext xmlns:c16="http://schemas.microsoft.com/office/drawing/2014/chart" uri="{C3380CC4-5D6E-409C-BE32-E72D297353CC}">
              <c16:uniqueId val="{0000000B-D0DF-494F-B554-C658C261EDFD}"/>
            </c:ext>
          </c:extLst>
        </c:ser>
        <c:ser>
          <c:idx val="6"/>
          <c:order val="6"/>
          <c:tx>
            <c:strRef>
              <c:f>白鳥沢!$F$8</c:f>
              <c:strCache>
                <c:ptCount val="1"/>
                <c:pt idx="0">
                  <c:v>瀬見英太ICO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白鳥沢!$G$8:$K$8</c:f>
              <c:numCache>
                <c:formatCode>General</c:formatCode>
                <c:ptCount val="5"/>
                <c:pt idx="0">
                  <c:v>98.160482500000001</c:v>
                </c:pt>
                <c:pt idx="1">
                  <c:v>100.47332609999999</c:v>
                </c:pt>
                <c:pt idx="2">
                  <c:v>106.74489749999999</c:v>
                </c:pt>
                <c:pt idx="3">
                  <c:v>98.501133890000006</c:v>
                </c:pt>
                <c:pt idx="4">
                  <c:v>98.313775629999995</c:v>
                </c:pt>
              </c:numCache>
            </c:numRef>
          </c:val>
          <c:extLst xmlns:c15="http://schemas.microsoft.com/office/drawing/2012/chart">
            <c:ext xmlns:c16="http://schemas.microsoft.com/office/drawing/2014/chart" uri="{C3380CC4-5D6E-409C-BE32-E72D297353CC}">
              <c16:uniqueId val="{00000002-D0DF-494F-B554-C658C261EDFD}"/>
            </c:ext>
          </c:extLst>
        </c:ser>
        <c:ser>
          <c:idx val="7"/>
          <c:order val="7"/>
          <c:tx>
            <c:strRef>
              <c:f>白鳥沢!$F$9</c:f>
              <c:strCache>
                <c:ptCount val="1"/>
                <c:pt idx="0">
                  <c:v>山形隼人ICO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白鳥沢!$G$9:$K$9</c:f>
              <c:numCache>
                <c:formatCode>General</c:formatCode>
                <c:ptCount val="5"/>
                <c:pt idx="0">
                  <c:v>95.094620000000006</c:v>
                </c:pt>
                <c:pt idx="1">
                  <c:v>95.266738599999996</c:v>
                </c:pt>
                <c:pt idx="2">
                  <c:v>98.875850420000006</c:v>
                </c:pt>
                <c:pt idx="3">
                  <c:v>102.9977322</c:v>
                </c:pt>
                <c:pt idx="4">
                  <c:v>95.503401670000002</c:v>
                </c:pt>
              </c:numCache>
            </c:numRef>
          </c:val>
          <c:extLst xmlns:c15="http://schemas.microsoft.com/office/drawing/2012/chart">
            <c:ext xmlns:c16="http://schemas.microsoft.com/office/drawing/2014/chart" uri="{C3380CC4-5D6E-409C-BE32-E72D297353CC}">
              <c16:uniqueId val="{0000000C-D0DF-494F-B554-C658C261EDFD}"/>
            </c:ext>
          </c:extLst>
        </c:ser>
        <c:ser>
          <c:idx val="8"/>
          <c:order val="8"/>
          <c:tx>
            <c:strRef>
              <c:f>白鳥沢!$F$10</c:f>
              <c:strCache>
                <c:ptCount val="1"/>
                <c:pt idx="0">
                  <c:v>新年牛島若利ICO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白鳥沢!$G$10:$K$10</c:f>
              <c:numCache>
                <c:formatCode>General</c:formatCode>
                <c:ptCount val="5"/>
                <c:pt idx="0">
                  <c:v>109.81076</c:v>
                </c:pt>
                <c:pt idx="1">
                  <c:v>109.46652280000001</c:v>
                </c:pt>
                <c:pt idx="2">
                  <c:v>100</c:v>
                </c:pt>
                <c:pt idx="3">
                  <c:v>98.501133890000006</c:v>
                </c:pt>
                <c:pt idx="4">
                  <c:v>100</c:v>
                </c:pt>
              </c:numCache>
            </c:numRef>
          </c:val>
          <c:extLst xmlns:c15="http://schemas.microsoft.com/office/drawing/2012/chart">
            <c:ext xmlns:c16="http://schemas.microsoft.com/office/drawing/2014/chart" uri="{C3380CC4-5D6E-409C-BE32-E72D297353CC}">
              <c16:uniqueId val="{00000003-D0DF-494F-B554-C658C261EDFD}"/>
            </c:ext>
          </c:extLst>
        </c:ser>
        <c:ser>
          <c:idx val="9"/>
          <c:order val="9"/>
          <c:tx>
            <c:strRef>
              <c:f>白鳥沢!$F$11</c:f>
              <c:strCache>
                <c:ptCount val="1"/>
                <c:pt idx="0">
                  <c:v>雪遊び瀬見英太ICO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白鳥沢!$G$11:$K$11</c:f>
              <c:numCache>
                <c:formatCode>General</c:formatCode>
                <c:ptCount val="5"/>
                <c:pt idx="0">
                  <c:v>98.773655000000005</c:v>
                </c:pt>
                <c:pt idx="1">
                  <c:v>103.313283</c:v>
                </c:pt>
                <c:pt idx="2">
                  <c:v>110.11734629999999</c:v>
                </c:pt>
                <c:pt idx="3">
                  <c:v>100</c:v>
                </c:pt>
                <c:pt idx="4">
                  <c:v>99.437925210000003</c:v>
                </c:pt>
              </c:numCache>
            </c:numRef>
          </c:val>
          <c:extLst>
            <c:ext xmlns:c16="http://schemas.microsoft.com/office/drawing/2014/chart" uri="{C3380CC4-5D6E-409C-BE32-E72D297353CC}">
              <c16:uniqueId val="{00000000-4286-484C-8EBF-C5FD894E1428}"/>
            </c:ext>
          </c:extLst>
        </c:ser>
        <c:ser>
          <c:idx val="10"/>
          <c:order val="10"/>
          <c:tx>
            <c:strRef>
              <c:f>白鳥沢!$F$12</c:f>
              <c:strCache>
                <c:ptCount val="1"/>
                <c:pt idx="0">
                  <c:v>路地裏川西太一ICO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白鳥沢!$G$12:$K$12</c:f>
              <c:numCache>
                <c:formatCode>General</c:formatCode>
                <c:ptCount val="5"/>
                <c:pt idx="0">
                  <c:v>103.679035</c:v>
                </c:pt>
                <c:pt idx="1">
                  <c:v>101.41997840000001</c:v>
                </c:pt>
                <c:pt idx="2">
                  <c:v>98.875850420000006</c:v>
                </c:pt>
                <c:pt idx="3">
                  <c:v>97.751700830000004</c:v>
                </c:pt>
                <c:pt idx="4">
                  <c:v>103.9345235</c:v>
                </c:pt>
              </c:numCache>
            </c:numRef>
          </c:val>
          <c:extLst>
            <c:ext xmlns:c16="http://schemas.microsoft.com/office/drawing/2014/chart" uri="{C3380CC4-5D6E-409C-BE32-E72D297353CC}">
              <c16:uniqueId val="{00000001-4286-484C-8EBF-C5FD894E1428}"/>
            </c:ext>
          </c:extLst>
        </c:ser>
        <c:ser>
          <c:idx val="11"/>
          <c:order val="11"/>
          <c:tx>
            <c:strRef>
              <c:f>白鳥沢!$F$13</c:f>
              <c:strCache>
                <c:ptCount val="1"/>
                <c:pt idx="0">
                  <c:v>制服牛島若利ICO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白鳥沢!$G$13:$K$13</c:f>
              <c:numCache>
                <c:formatCode>General</c:formatCode>
                <c:ptCount val="5"/>
                <c:pt idx="0">
                  <c:v>109.1975875</c:v>
                </c:pt>
                <c:pt idx="1">
                  <c:v>110.4131751</c:v>
                </c:pt>
                <c:pt idx="2">
                  <c:v>100</c:v>
                </c:pt>
                <c:pt idx="3">
                  <c:v>102.24829920000001</c:v>
                </c:pt>
                <c:pt idx="4">
                  <c:v>102.24829920000001</c:v>
                </c:pt>
              </c:numCache>
            </c:numRef>
          </c:val>
          <c:extLst>
            <c:ext xmlns:c16="http://schemas.microsoft.com/office/drawing/2014/chart" uri="{C3380CC4-5D6E-409C-BE32-E72D297353CC}">
              <c16:uniqueId val="{00000002-4286-484C-8EBF-C5FD894E1428}"/>
            </c:ext>
          </c:extLst>
        </c:ser>
        <c:ser>
          <c:idx val="12"/>
          <c:order val="12"/>
          <c:tx>
            <c:strRef>
              <c:f>白鳥沢!$F$14</c:f>
              <c:strCache>
                <c:ptCount val="1"/>
                <c:pt idx="0">
                  <c:v>制服天童覚ICO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白鳥沢!$G$14:$K$14</c:f>
              <c:numCache>
                <c:formatCode>General</c:formatCode>
                <c:ptCount val="5"/>
                <c:pt idx="0">
                  <c:v>103.06586249999999</c:v>
                </c:pt>
                <c:pt idx="1">
                  <c:v>98.580021579999993</c:v>
                </c:pt>
                <c:pt idx="2">
                  <c:v>101.1241496</c:v>
                </c:pt>
                <c:pt idx="3">
                  <c:v>94.753968610000001</c:v>
                </c:pt>
                <c:pt idx="4">
                  <c:v>107.3069723</c:v>
                </c:pt>
              </c:numCache>
            </c:numRef>
          </c:val>
          <c:extLst>
            <c:ext xmlns:c16="http://schemas.microsoft.com/office/drawing/2014/chart" uri="{C3380CC4-5D6E-409C-BE32-E72D297353CC}">
              <c16:uniqueId val="{00000003-4286-484C-8EBF-C5FD894E1428}"/>
            </c:ext>
          </c:extLst>
        </c:ser>
        <c:ser>
          <c:idx val="13"/>
          <c:order val="13"/>
          <c:tx>
            <c:strRef>
              <c:f>白鳥沢!$F$15</c:f>
              <c:strCache>
                <c:ptCount val="1"/>
                <c:pt idx="0">
                  <c:v>制服五色工ICO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白鳥沢!$G$15:$K$15</c:f>
              <c:numCache>
                <c:formatCode>General</c:formatCode>
                <c:ptCount val="5"/>
                <c:pt idx="0">
                  <c:v>104.90537999999999</c:v>
                </c:pt>
                <c:pt idx="1">
                  <c:v>105.6799137</c:v>
                </c:pt>
                <c:pt idx="2">
                  <c:v>102.24829920000001</c:v>
                </c:pt>
                <c:pt idx="3">
                  <c:v>102.9977322</c:v>
                </c:pt>
                <c:pt idx="4">
                  <c:v>101.1241496</c:v>
                </c:pt>
              </c:numCache>
            </c:numRef>
          </c:val>
          <c:extLst>
            <c:ext xmlns:c16="http://schemas.microsoft.com/office/drawing/2014/chart" uri="{C3380CC4-5D6E-409C-BE32-E72D297353CC}">
              <c16:uniqueId val="{00000004-4286-484C-8EBF-C5FD894E1428}"/>
            </c:ext>
          </c:extLst>
        </c:ser>
        <c:ser>
          <c:idx val="14"/>
          <c:order val="14"/>
          <c:tx>
            <c:strRef>
              <c:f>白鳥沢!$F$16</c:f>
              <c:strCache>
                <c:ptCount val="1"/>
                <c:pt idx="0">
                  <c:v>制服白布賢二郎ICO</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白鳥沢!$G$16:$K$16</c:f>
              <c:numCache>
                <c:formatCode>General</c:formatCode>
                <c:ptCount val="5"/>
                <c:pt idx="0">
                  <c:v>98.773655000000005</c:v>
                </c:pt>
                <c:pt idx="1">
                  <c:v>106.626566</c:v>
                </c:pt>
                <c:pt idx="2">
                  <c:v>119.1105429</c:v>
                </c:pt>
                <c:pt idx="3">
                  <c:v>100</c:v>
                </c:pt>
                <c:pt idx="4">
                  <c:v>96.627551249999996</c:v>
                </c:pt>
              </c:numCache>
            </c:numRef>
          </c:val>
          <c:extLst>
            <c:ext xmlns:c16="http://schemas.microsoft.com/office/drawing/2014/chart" uri="{C3380CC4-5D6E-409C-BE32-E72D297353CC}">
              <c16:uniqueId val="{00000005-4286-484C-8EBF-C5FD894E1428}"/>
            </c:ext>
          </c:extLst>
        </c:ser>
        <c:ser>
          <c:idx val="15"/>
          <c:order val="15"/>
          <c:tx>
            <c:strRef>
              <c:f>白鳥沢!$F$17</c:f>
              <c:strCache>
                <c:ptCount val="1"/>
                <c:pt idx="0">
                  <c:v>バカンス五色工ICO</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白鳥沢!$G$17:$K$17</c:f>
              <c:numCache>
                <c:formatCode>General</c:formatCode>
                <c:ptCount val="5"/>
                <c:pt idx="0">
                  <c:v>105.5185525</c:v>
                </c:pt>
                <c:pt idx="1">
                  <c:v>101.41997840000001</c:v>
                </c:pt>
                <c:pt idx="2">
                  <c:v>102.24829920000001</c:v>
                </c:pt>
                <c:pt idx="3">
                  <c:v>103.74716530000001</c:v>
                </c:pt>
                <c:pt idx="4">
                  <c:v>105.6207479</c:v>
                </c:pt>
              </c:numCache>
            </c:numRef>
          </c:val>
          <c:extLst>
            <c:ext xmlns:c16="http://schemas.microsoft.com/office/drawing/2014/chart" uri="{C3380CC4-5D6E-409C-BE32-E72D297353CC}">
              <c16:uniqueId val="{00000006-4286-484C-8EBF-C5FD894E1428}"/>
            </c:ext>
          </c:extLst>
        </c:ser>
        <c:ser>
          <c:idx val="16"/>
          <c:order val="16"/>
          <c:tx>
            <c:strRef>
              <c:f>白鳥沢!$F$18</c:f>
              <c:strCache>
                <c:ptCount val="1"/>
                <c:pt idx="0">
                  <c:v>バカンス白布賢二郎ICO</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白鳥沢!$G$18:$K$18</c:f>
              <c:numCache>
                <c:formatCode>General</c:formatCode>
                <c:ptCount val="5"/>
                <c:pt idx="0">
                  <c:v>97.547309999999996</c:v>
                </c:pt>
                <c:pt idx="1">
                  <c:v>102.3666307</c:v>
                </c:pt>
                <c:pt idx="2">
                  <c:v>120.23469249999999</c:v>
                </c:pt>
                <c:pt idx="3">
                  <c:v>102.24829920000001</c:v>
                </c:pt>
                <c:pt idx="4">
                  <c:v>100</c:v>
                </c:pt>
              </c:numCache>
            </c:numRef>
          </c:val>
          <c:extLst>
            <c:ext xmlns:c16="http://schemas.microsoft.com/office/drawing/2014/chart" uri="{C3380CC4-5D6E-409C-BE32-E72D297353CC}">
              <c16:uniqueId val="{00000007-4286-484C-8EBF-C5FD894E1428}"/>
            </c:ext>
          </c:extLst>
        </c:ser>
        <c:ser>
          <c:idx val="17"/>
          <c:order val="17"/>
          <c:tx>
            <c:strRef>
              <c:f>白鳥沢!$F$19</c:f>
              <c:strCache>
                <c:ptCount val="1"/>
                <c:pt idx="0">
                  <c:v>バカンス瀬見英太ICO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白鳥沢!$G$19:$K$19</c:f>
              <c:numCache>
                <c:formatCode>General</c:formatCode>
                <c:ptCount val="5"/>
                <c:pt idx="0">
                  <c:v>97.547309999999996</c:v>
                </c:pt>
                <c:pt idx="1">
                  <c:v>105.6799137</c:v>
                </c:pt>
                <c:pt idx="2">
                  <c:v>110.11734629999999</c:v>
                </c:pt>
                <c:pt idx="3">
                  <c:v>101.4988661</c:v>
                </c:pt>
                <c:pt idx="4">
                  <c:v>97.189626039999993</c:v>
                </c:pt>
              </c:numCache>
            </c:numRef>
          </c:val>
          <c:extLst>
            <c:ext xmlns:c16="http://schemas.microsoft.com/office/drawing/2014/chart" uri="{C3380CC4-5D6E-409C-BE32-E72D297353CC}">
              <c16:uniqueId val="{00000008-4286-484C-8EBF-C5FD894E1428}"/>
            </c:ext>
          </c:extLst>
        </c:ser>
        <c:ser>
          <c:idx val="18"/>
          <c:order val="18"/>
          <c:tx>
            <c:strRef>
              <c:f>白鳥沢!$F$20</c:f>
              <c:strCache>
                <c:ptCount val="1"/>
                <c:pt idx="0">
                  <c:v>仮装天童覚ICO</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白鳥沢!$G$20:$K$20</c:f>
              <c:numCache>
                <c:formatCode>General</c:formatCode>
                <c:ptCount val="5"/>
                <c:pt idx="0">
                  <c:v>102.45269</c:v>
                </c:pt>
                <c:pt idx="1">
                  <c:v>99.526673900000006</c:v>
                </c:pt>
                <c:pt idx="2">
                  <c:v>100</c:v>
                </c:pt>
                <c:pt idx="3">
                  <c:v>99.250566939999999</c:v>
                </c:pt>
                <c:pt idx="4">
                  <c:v>108.9931967</c:v>
                </c:pt>
              </c:numCache>
            </c:numRef>
          </c:val>
          <c:extLst>
            <c:ext xmlns:c16="http://schemas.microsoft.com/office/drawing/2014/chart" uri="{C3380CC4-5D6E-409C-BE32-E72D297353CC}">
              <c16:uniqueId val="{00000009-4286-484C-8EBF-C5FD894E1428}"/>
            </c:ext>
          </c:extLst>
        </c:ser>
        <c:ser>
          <c:idx val="19"/>
          <c:order val="19"/>
          <c:tx>
            <c:strRef>
              <c:f>白鳥沢!$F$21</c:f>
              <c:strCache>
                <c:ptCount val="1"/>
                <c:pt idx="0">
                  <c:v>文化祭2牛島若利ICO</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白鳥沢!$G$21:$K$21</c:f>
              <c:numCache>
                <c:formatCode>General</c:formatCode>
                <c:ptCount val="5"/>
                <c:pt idx="0">
                  <c:v>109.81076</c:v>
                </c:pt>
                <c:pt idx="1">
                  <c:v>108.9931967</c:v>
                </c:pt>
                <c:pt idx="2">
                  <c:v>101.1241496</c:v>
                </c:pt>
                <c:pt idx="3">
                  <c:v>100.7494331</c:v>
                </c:pt>
                <c:pt idx="4">
                  <c:v>103.9345235</c:v>
                </c:pt>
              </c:numCache>
            </c:numRef>
          </c:val>
          <c:extLst>
            <c:ext xmlns:c16="http://schemas.microsoft.com/office/drawing/2014/chart" uri="{C3380CC4-5D6E-409C-BE32-E72D297353CC}">
              <c16:uniqueId val="{0000000A-4286-484C-8EBF-C5FD894E1428}"/>
            </c:ext>
          </c:extLst>
        </c:ser>
        <c:ser>
          <c:idx val="20"/>
          <c:order val="20"/>
          <c:tx>
            <c:strRef>
              <c:f>白鳥沢!$F$22</c:f>
              <c:strCache>
                <c:ptCount val="1"/>
                <c:pt idx="0">
                  <c:v>Xmas2五色工ICO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白鳥沢!$G$22:$K$22</c:f>
              <c:numCache>
                <c:formatCode>General</c:formatCode>
                <c:ptCount val="5"/>
                <c:pt idx="0">
                  <c:v>104.90537999999999</c:v>
                </c:pt>
                <c:pt idx="1">
                  <c:v>103.313283</c:v>
                </c:pt>
                <c:pt idx="2">
                  <c:v>105.6207479</c:v>
                </c:pt>
                <c:pt idx="3">
                  <c:v>104.4965983</c:v>
                </c:pt>
                <c:pt idx="4">
                  <c:v>106.1828227</c:v>
                </c:pt>
              </c:numCache>
            </c:numRef>
          </c:val>
          <c:extLst>
            <c:ext xmlns:c16="http://schemas.microsoft.com/office/drawing/2014/chart" uri="{C3380CC4-5D6E-409C-BE32-E72D297353CC}">
              <c16:uniqueId val="{0000000B-4286-484C-8EBF-C5FD894E1428}"/>
            </c:ext>
          </c:extLst>
        </c:ser>
        <c:ser>
          <c:idx val="21"/>
          <c:order val="21"/>
          <c:tx>
            <c:strRef>
              <c:f>白鳥沢!$F$23</c:f>
              <c:strCache>
                <c:ptCount val="1"/>
                <c:pt idx="0">
                  <c:v>路地裏2白布賢二郎ICO</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白鳥沢!$G$23:$K$23</c:f>
              <c:numCache>
                <c:formatCode>General</c:formatCode>
                <c:ptCount val="5"/>
                <c:pt idx="0">
                  <c:v>100.6131725</c:v>
                </c:pt>
                <c:pt idx="1">
                  <c:v>106.15323979999999</c:v>
                </c:pt>
                <c:pt idx="2">
                  <c:v>120.23469249999999</c:v>
                </c:pt>
                <c:pt idx="3">
                  <c:v>101.4988661</c:v>
                </c:pt>
                <c:pt idx="4">
                  <c:v>98.875850420000006</c:v>
                </c:pt>
              </c:numCache>
            </c:numRef>
          </c:val>
          <c:extLst>
            <c:ext xmlns:c16="http://schemas.microsoft.com/office/drawing/2014/chart" uri="{C3380CC4-5D6E-409C-BE32-E72D297353CC}">
              <c16:uniqueId val="{0000000C-4286-484C-8EBF-C5FD894E1428}"/>
            </c:ext>
          </c:extLst>
        </c:ser>
        <c:ser>
          <c:idx val="22"/>
          <c:order val="22"/>
          <c:tx>
            <c:strRef>
              <c:f>白鳥沢!$F$24</c:f>
              <c:strCache>
                <c:ptCount val="1"/>
                <c:pt idx="0">
                  <c:v>遊園地天童覚ICO</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白鳥沢!$G$24:$K$24</c:f>
              <c:numCache>
                <c:formatCode>General</c:formatCode>
                <c:ptCount val="5"/>
                <c:pt idx="0">
                  <c:v>102.45269</c:v>
                </c:pt>
                <c:pt idx="1">
                  <c:v>100</c:v>
                </c:pt>
                <c:pt idx="2">
                  <c:v>98.875850420000006</c:v>
                </c:pt>
                <c:pt idx="3">
                  <c:v>99.250566939999999</c:v>
                </c:pt>
                <c:pt idx="4">
                  <c:v>109.5552715</c:v>
                </c:pt>
              </c:numCache>
            </c:numRef>
          </c:val>
          <c:extLst>
            <c:ext xmlns:c16="http://schemas.microsoft.com/office/drawing/2014/chart" uri="{C3380CC4-5D6E-409C-BE32-E72D297353CC}">
              <c16:uniqueId val="{0000000D-4286-484C-8EBF-C5FD894E1428}"/>
            </c:ext>
          </c:extLst>
        </c:ser>
        <c:ser>
          <c:idx val="23"/>
          <c:order val="23"/>
          <c:tx>
            <c:strRef>
              <c:f>白鳥沢!$F$25</c:f>
              <c:strCache>
                <c:ptCount val="1"/>
                <c:pt idx="0">
                  <c:v>妖牛島若利ICO</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白鳥沢!$G$25:$K$25</c:f>
              <c:numCache>
                <c:formatCode>General</c:formatCode>
                <c:ptCount val="5"/>
                <c:pt idx="0">
                  <c:v>109.81076</c:v>
                </c:pt>
                <c:pt idx="1">
                  <c:v>112.3064796</c:v>
                </c:pt>
                <c:pt idx="2">
                  <c:v>101.1241496</c:v>
                </c:pt>
                <c:pt idx="3">
                  <c:v>104.4965983</c:v>
                </c:pt>
                <c:pt idx="4">
                  <c:v>103.3724488</c:v>
                </c:pt>
              </c:numCache>
            </c:numRef>
          </c:val>
          <c:extLst>
            <c:ext xmlns:c16="http://schemas.microsoft.com/office/drawing/2014/chart" uri="{C3380CC4-5D6E-409C-BE32-E72D297353CC}">
              <c16:uniqueId val="{0000000E-4286-484C-8EBF-C5FD894E1428}"/>
            </c:ext>
          </c:extLst>
        </c:ser>
        <c:ser>
          <c:idx val="24"/>
          <c:order val="24"/>
          <c:tx>
            <c:strRef>
              <c:f>白鳥沢!$F$26</c:f>
              <c:strCache>
                <c:ptCount val="1"/>
                <c:pt idx="0">
                  <c:v>アート2瀬見英太ICO</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白鳥沢!$G$26:$K$26</c:f>
              <c:numCache>
                <c:formatCode>General</c:formatCode>
                <c:ptCount val="5"/>
                <c:pt idx="0">
                  <c:v>99.386827499999995</c:v>
                </c:pt>
                <c:pt idx="1">
                  <c:v>101.41997840000001</c:v>
                </c:pt>
                <c:pt idx="2">
                  <c:v>113.489795</c:v>
                </c:pt>
                <c:pt idx="3">
                  <c:v>102.9977322</c:v>
                </c:pt>
                <c:pt idx="4">
                  <c:v>98.313775629999995</c:v>
                </c:pt>
              </c:numCache>
            </c:numRef>
          </c:val>
          <c:extLst>
            <c:ext xmlns:c16="http://schemas.microsoft.com/office/drawing/2014/chart" uri="{C3380CC4-5D6E-409C-BE32-E72D297353CC}">
              <c16:uniqueId val="{0000000F-4286-484C-8EBF-C5FD894E1428}"/>
            </c:ext>
          </c:extLst>
        </c:ser>
        <c:ser>
          <c:idx val="25"/>
          <c:order val="25"/>
          <c:tx>
            <c:strRef>
              <c:f>白鳥沢!$F$27</c:f>
              <c:strCache>
                <c:ptCount val="1"/>
                <c:pt idx="0">
                  <c:v>サバゲ2五色工ICO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白鳥沢!$G$27:$K$27</c:f>
              <c:numCache>
                <c:formatCode>General</c:formatCode>
                <c:ptCount val="5"/>
                <c:pt idx="0">
                  <c:v>103.679035</c:v>
                </c:pt>
                <c:pt idx="1">
                  <c:v>105.2065875</c:v>
                </c:pt>
                <c:pt idx="2">
                  <c:v>105.6207479</c:v>
                </c:pt>
                <c:pt idx="3">
                  <c:v>106.74489749999999</c:v>
                </c:pt>
                <c:pt idx="4">
                  <c:v>103.9345235</c:v>
                </c:pt>
              </c:numCache>
            </c:numRef>
          </c:val>
          <c:extLst>
            <c:ext xmlns:c16="http://schemas.microsoft.com/office/drawing/2014/chart" uri="{C3380CC4-5D6E-409C-BE32-E72D297353CC}">
              <c16:uniqueId val="{00000010-4286-484C-8EBF-C5FD894E1428}"/>
            </c:ext>
          </c:extLst>
        </c:ser>
        <c:ser>
          <c:idx val="26"/>
          <c:order val="26"/>
          <c:tx>
            <c:strRef>
              <c:f>白鳥沢!$F$28</c:f>
              <c:strCache>
                <c:ptCount val="1"/>
                <c:pt idx="0">
                  <c:v>水着牛島若利ICO</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白鳥沢!$G$28:$K$28</c:f>
              <c:numCache>
                <c:formatCode>General</c:formatCode>
                <c:ptCount val="5"/>
                <c:pt idx="0">
                  <c:v>107.9712425</c:v>
                </c:pt>
                <c:pt idx="1">
                  <c:v>108.0465444</c:v>
                </c:pt>
                <c:pt idx="2">
                  <c:v>100</c:v>
                </c:pt>
                <c:pt idx="3">
                  <c:v>100.7494331</c:v>
                </c:pt>
                <c:pt idx="4">
                  <c:v>101.6862244</c:v>
                </c:pt>
              </c:numCache>
            </c:numRef>
          </c:val>
          <c:extLst>
            <c:ext xmlns:c16="http://schemas.microsoft.com/office/drawing/2014/chart" uri="{C3380CC4-5D6E-409C-BE32-E72D297353CC}">
              <c16:uniqueId val="{00000011-4286-484C-8EBF-C5FD894E1428}"/>
            </c:ext>
          </c:extLst>
        </c:ser>
        <c:ser>
          <c:idx val="27"/>
          <c:order val="27"/>
          <c:tx>
            <c:strRef>
              <c:f>白鳥沢!$F$29</c:f>
              <c:strCache>
                <c:ptCount val="1"/>
                <c:pt idx="0">
                  <c:v>水着天童覚ICO</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白鳥沢!$G$29:$K$29</c:f>
              <c:numCache>
                <c:formatCode>General</c:formatCode>
                <c:ptCount val="5"/>
                <c:pt idx="0">
                  <c:v>101.22634499999999</c:v>
                </c:pt>
                <c:pt idx="1">
                  <c:v>99.526673900000006</c:v>
                </c:pt>
                <c:pt idx="2">
                  <c:v>98.875850420000006</c:v>
                </c:pt>
                <c:pt idx="3">
                  <c:v>97.751700830000004</c:v>
                </c:pt>
                <c:pt idx="4">
                  <c:v>106.1828227</c:v>
                </c:pt>
              </c:numCache>
            </c:numRef>
          </c:val>
          <c:extLst>
            <c:ext xmlns:c16="http://schemas.microsoft.com/office/drawing/2014/chart" uri="{C3380CC4-5D6E-409C-BE32-E72D297353CC}">
              <c16:uniqueId val="{00000012-4286-484C-8EBF-C5FD894E1428}"/>
            </c:ext>
          </c:extLst>
        </c:ser>
        <c:ser>
          <c:idx val="28"/>
          <c:order val="28"/>
          <c:tx>
            <c:strRef>
              <c:f>白鳥沢!$F$30</c:f>
              <c:strCache>
                <c:ptCount val="1"/>
                <c:pt idx="0">
                  <c:v>ハロウィン牛島若利ICO</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白鳥沢!$G$30:$K$30</c:f>
              <c:numCache>
                <c:formatCode>General</c:formatCode>
                <c:ptCount val="5"/>
                <c:pt idx="0">
                  <c:v>111.037105</c:v>
                </c:pt>
                <c:pt idx="1">
                  <c:v>109.9398489</c:v>
                </c:pt>
                <c:pt idx="2">
                  <c:v>102.24829920000001</c:v>
                </c:pt>
                <c:pt idx="3">
                  <c:v>102.24829920000001</c:v>
                </c:pt>
                <c:pt idx="4">
                  <c:v>106.1828227</c:v>
                </c:pt>
              </c:numCache>
            </c:numRef>
          </c:val>
          <c:extLst>
            <c:ext xmlns:c16="http://schemas.microsoft.com/office/drawing/2014/chart" uri="{C3380CC4-5D6E-409C-BE32-E72D297353CC}">
              <c16:uniqueId val="{00000013-4286-484C-8EBF-C5FD894E1428}"/>
            </c:ext>
          </c:extLst>
        </c:ser>
        <c:ser>
          <c:idx val="29"/>
          <c:order val="29"/>
          <c:tx>
            <c:strRef>
              <c:f>白鳥沢!$F$31</c:f>
              <c:strCache>
                <c:ptCount val="1"/>
                <c:pt idx="0">
                  <c:v>文化祭3白布賢二郎ICO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白鳥沢!$G$31:$K$31</c:f>
              <c:numCache>
                <c:formatCode>General</c:formatCode>
                <c:ptCount val="5"/>
                <c:pt idx="0">
                  <c:v>100.6131725</c:v>
                </c:pt>
                <c:pt idx="1">
                  <c:v>107.09989210000001</c:v>
                </c:pt>
                <c:pt idx="2">
                  <c:v>116.8622438</c:v>
                </c:pt>
                <c:pt idx="3">
                  <c:v>102.9977322</c:v>
                </c:pt>
                <c:pt idx="4">
                  <c:v>99.437925210000003</c:v>
                </c:pt>
              </c:numCache>
            </c:numRef>
          </c:val>
          <c:extLst>
            <c:ext xmlns:c16="http://schemas.microsoft.com/office/drawing/2014/chart" uri="{C3380CC4-5D6E-409C-BE32-E72D297353CC}">
              <c16:uniqueId val="{00000014-4286-484C-8EBF-C5FD894E1428}"/>
            </c:ext>
          </c:extLst>
        </c:ser>
        <c:ser>
          <c:idx val="30"/>
          <c:order val="30"/>
          <c:tx>
            <c:strRef>
              <c:f>白鳥沢!$F$32</c:f>
              <c:strCache>
                <c:ptCount val="1"/>
                <c:pt idx="0">
                  <c:v>文化祭3瀬見英太ICO</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白鳥沢!$G$32:$K$32</c:f>
              <c:numCache>
                <c:formatCode>General</c:formatCode>
                <c:ptCount val="5"/>
                <c:pt idx="0">
                  <c:v>99.386827499999995</c:v>
                </c:pt>
                <c:pt idx="1">
                  <c:v>105.6799137</c:v>
                </c:pt>
                <c:pt idx="2">
                  <c:v>112.36564540000001</c:v>
                </c:pt>
                <c:pt idx="3">
                  <c:v>101.4988661</c:v>
                </c:pt>
                <c:pt idx="4">
                  <c:v>99.437925210000003</c:v>
                </c:pt>
              </c:numCache>
            </c:numRef>
          </c:val>
          <c:extLst>
            <c:ext xmlns:c16="http://schemas.microsoft.com/office/drawing/2014/chart" uri="{C3380CC4-5D6E-409C-BE32-E72D297353CC}">
              <c16:uniqueId val="{00000015-4286-484C-8EBF-C5FD894E1428}"/>
            </c:ext>
          </c:extLst>
        </c:ser>
        <c:ser>
          <c:idx val="31"/>
          <c:order val="31"/>
          <c:tx>
            <c:strRef>
              <c:f>白鳥沢!$F$33</c:f>
              <c:strCache>
                <c:ptCount val="1"/>
                <c:pt idx="0">
                  <c:v>Xmas3牛島若利ICO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白鳥沢!$G$33:$K$33</c:f>
              <c:numCache>
                <c:formatCode>General</c:formatCode>
                <c:ptCount val="5"/>
                <c:pt idx="0">
                  <c:v>110.42393250000001</c:v>
                </c:pt>
                <c:pt idx="1">
                  <c:v>114.1997842</c:v>
                </c:pt>
                <c:pt idx="2">
                  <c:v>102.24829920000001</c:v>
                </c:pt>
                <c:pt idx="3">
                  <c:v>105.9954644</c:v>
                </c:pt>
                <c:pt idx="4">
                  <c:v>104.4965983</c:v>
                </c:pt>
              </c:numCache>
            </c:numRef>
          </c:val>
          <c:extLst>
            <c:ext xmlns:c16="http://schemas.microsoft.com/office/drawing/2014/chart" uri="{C3380CC4-5D6E-409C-BE32-E72D297353CC}">
              <c16:uniqueId val="{00000000-00E1-4045-88EA-9DD2A6AB091A}"/>
            </c:ext>
          </c:extLst>
        </c:ser>
        <c:ser>
          <c:idx val="32"/>
          <c:order val="32"/>
          <c:tx>
            <c:strRef>
              <c:f>白鳥沢!$F$34</c:f>
              <c:strCache>
                <c:ptCount val="1"/>
                <c:pt idx="0">
                  <c:v>Xmas3天童覚ICO</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白鳥沢!$G$34:$K$34</c:f>
              <c:numCache>
                <c:formatCode>General</c:formatCode>
                <c:ptCount val="5"/>
                <c:pt idx="0">
                  <c:v>103.679035</c:v>
                </c:pt>
                <c:pt idx="1">
                  <c:v>100.47332609999999</c:v>
                </c:pt>
                <c:pt idx="2">
                  <c:v>101.1241496</c:v>
                </c:pt>
                <c:pt idx="3">
                  <c:v>100.7494331</c:v>
                </c:pt>
                <c:pt idx="4">
                  <c:v>110.679421</c:v>
                </c:pt>
              </c:numCache>
            </c:numRef>
          </c:val>
          <c:extLst>
            <c:ext xmlns:c16="http://schemas.microsoft.com/office/drawing/2014/chart" uri="{C3380CC4-5D6E-409C-BE32-E72D297353CC}">
              <c16:uniqueId val="{00000000-752B-484D-BAA8-8F328E4B9AD0}"/>
            </c:ext>
          </c:extLst>
        </c:ser>
        <c:ser>
          <c:idx val="33"/>
          <c:order val="33"/>
          <c:tx>
            <c:strRef>
              <c:f>白鳥沢!$F$35</c:f>
              <c:strCache>
                <c:ptCount val="1"/>
                <c:pt idx="0">
                  <c:v>寝正月川西太一ICO</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白鳥沢!$G$35:$K$35</c:f>
              <c:numCache>
                <c:formatCode>General</c:formatCode>
                <c:ptCount val="5"/>
                <c:pt idx="0">
                  <c:v>104.2922075</c:v>
                </c:pt>
                <c:pt idx="1">
                  <c:v>99.526673900000006</c:v>
                </c:pt>
                <c:pt idx="2">
                  <c:v>98.875850420000006</c:v>
                </c:pt>
                <c:pt idx="3">
                  <c:v>97.002267779999997</c:v>
                </c:pt>
                <c:pt idx="4">
                  <c:v>106.74489749999999</c:v>
                </c:pt>
              </c:numCache>
            </c:numRef>
          </c:val>
          <c:extLst>
            <c:ext xmlns:c16="http://schemas.microsoft.com/office/drawing/2014/chart" uri="{C3380CC4-5D6E-409C-BE32-E72D297353CC}">
              <c16:uniqueId val="{00000000-9A76-47DB-BDAC-0FF2E4B29697}"/>
            </c:ext>
          </c:extLst>
        </c:ser>
        <c:ser>
          <c:idx val="34"/>
          <c:order val="34"/>
          <c:tx>
            <c:strRef>
              <c:f>白鳥沢!$F$36</c:f>
              <c:strCache>
                <c:ptCount val="1"/>
                <c:pt idx="0">
                  <c:v>3周年牛島若利ICO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白鳥沢!$G$36:$K$36</c:f>
              <c:numCache>
                <c:formatCode>General</c:formatCode>
                <c:ptCount val="5"/>
                <c:pt idx="0">
                  <c:v>112.8766225</c:v>
                </c:pt>
                <c:pt idx="1">
                  <c:v>110.8865012</c:v>
                </c:pt>
                <c:pt idx="2">
                  <c:v>103.3724488</c:v>
                </c:pt>
                <c:pt idx="3">
                  <c:v>104.4965983</c:v>
                </c:pt>
                <c:pt idx="4">
                  <c:v>107.3069723</c:v>
                </c:pt>
              </c:numCache>
            </c:numRef>
          </c:val>
          <c:extLst>
            <c:ext xmlns:c16="http://schemas.microsoft.com/office/drawing/2014/chart" uri="{C3380CC4-5D6E-409C-BE32-E72D297353CC}">
              <c16:uniqueId val="{00000000-BA35-4F9C-B9A4-143972213216}"/>
            </c:ext>
          </c:extLst>
        </c:ser>
        <c:ser>
          <c:idx val="35"/>
          <c:order val="35"/>
          <c:tx>
            <c:strRef>
              <c:f>白鳥沢!$F$37</c:f>
              <c:strCache>
                <c:ptCount val="1"/>
                <c:pt idx="0">
                  <c:v>3周年白布賢二郎ICO</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白鳥沢!$G$37:$K$37</c:f>
              <c:numCache>
                <c:formatCode>General</c:formatCode>
                <c:ptCount val="5"/>
                <c:pt idx="0">
                  <c:v>101.22634499999999</c:v>
                </c:pt>
                <c:pt idx="1">
                  <c:v>107.5732182</c:v>
                </c:pt>
                <c:pt idx="2">
                  <c:v>122.4829917</c:v>
                </c:pt>
                <c:pt idx="3">
                  <c:v>102.9977322</c:v>
                </c:pt>
                <c:pt idx="4">
                  <c:v>100</c:v>
                </c:pt>
              </c:numCache>
            </c:numRef>
          </c:val>
          <c:extLst>
            <c:ext xmlns:c16="http://schemas.microsoft.com/office/drawing/2014/chart" uri="{C3380CC4-5D6E-409C-BE32-E72D297353CC}">
              <c16:uniqueId val="{00000000-E797-40C1-B617-5C81761756AD}"/>
            </c:ext>
          </c:extLst>
        </c:ser>
        <c:ser>
          <c:idx val="36"/>
          <c:order val="36"/>
          <c:tx>
            <c:strRef>
              <c:f>白鳥沢!$F$38</c:f>
              <c:strCache>
                <c:ptCount val="1"/>
                <c:pt idx="0">
                  <c:v>3周年瀬見英太ICO</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白鳥沢!$G$38:$K$38</c:f>
              <c:numCache>
                <c:formatCode>General</c:formatCode>
                <c:ptCount val="5"/>
                <c:pt idx="0">
                  <c:v>100</c:v>
                </c:pt>
                <c:pt idx="1">
                  <c:v>107.5732182</c:v>
                </c:pt>
                <c:pt idx="2">
                  <c:v>113.489795</c:v>
                </c:pt>
                <c:pt idx="3">
                  <c:v>102.9977322</c:v>
                </c:pt>
                <c:pt idx="4">
                  <c:v>100.5620748</c:v>
                </c:pt>
              </c:numCache>
            </c:numRef>
          </c:val>
          <c:extLst>
            <c:ext xmlns:c16="http://schemas.microsoft.com/office/drawing/2014/chart" uri="{C3380CC4-5D6E-409C-BE32-E72D297353CC}">
              <c16:uniqueId val="{00000000-6BD7-4D27-8C69-4260663182C7}"/>
            </c:ext>
          </c:extLst>
        </c:ser>
        <c:ser>
          <c:idx val="37"/>
          <c:order val="37"/>
          <c:tx>
            <c:strRef>
              <c:f>白鳥沢!$F$39</c:f>
              <c:strCache>
                <c:ptCount val="1"/>
                <c:pt idx="0">
                  <c:v>格ゲー大平獅音ICO</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白鳥沢!$G$39:$K$39</c:f>
              <c:numCache>
                <c:formatCode>General</c:formatCode>
                <c:ptCount val="5"/>
                <c:pt idx="0">
                  <c:v>102.45269</c:v>
                </c:pt>
                <c:pt idx="1">
                  <c:v>99.526673900000006</c:v>
                </c:pt>
                <c:pt idx="2">
                  <c:v>102.24829920000001</c:v>
                </c:pt>
                <c:pt idx="3">
                  <c:v>102.9977322</c:v>
                </c:pt>
                <c:pt idx="4">
                  <c:v>105.6207479</c:v>
                </c:pt>
              </c:numCache>
            </c:numRef>
          </c:val>
          <c:extLst>
            <c:ext xmlns:c16="http://schemas.microsoft.com/office/drawing/2014/chart" uri="{C3380CC4-5D6E-409C-BE32-E72D297353CC}">
              <c16:uniqueId val="{00000000-BCA4-49A3-AC0A-9AB0231AC25C}"/>
            </c:ext>
          </c:extLst>
        </c:ser>
        <c:ser>
          <c:idx val="38"/>
          <c:order val="38"/>
          <c:tx>
            <c:strRef>
              <c:f>白鳥沢!$F$40</c:f>
              <c:strCache>
                <c:ptCount val="1"/>
                <c:pt idx="0">
                  <c:v>思い出天童覚ICO</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白鳥沢!$G$40:$K$40</c:f>
              <c:numCache>
                <c:formatCode>General</c:formatCode>
                <c:ptCount val="5"/>
                <c:pt idx="0">
                  <c:v>103.06586249999999</c:v>
                </c:pt>
                <c:pt idx="1">
                  <c:v>100.9466523</c:v>
                </c:pt>
                <c:pt idx="2">
                  <c:v>100</c:v>
                </c:pt>
                <c:pt idx="3">
                  <c:v>100.7494331</c:v>
                </c:pt>
                <c:pt idx="4">
                  <c:v>111.8035706</c:v>
                </c:pt>
              </c:numCache>
            </c:numRef>
          </c:val>
          <c:extLst>
            <c:ext xmlns:c16="http://schemas.microsoft.com/office/drawing/2014/chart" uri="{C3380CC4-5D6E-409C-BE32-E72D297353CC}">
              <c16:uniqueId val="{00000000-168B-40D1-8773-DB591D0282A6}"/>
            </c:ext>
          </c:extLst>
        </c:ser>
        <c:ser>
          <c:idx val="39"/>
          <c:order val="39"/>
          <c:tx>
            <c:strRef>
              <c:f>白鳥沢!$F$41</c:f>
              <c:strCache>
                <c:ptCount val="1"/>
                <c:pt idx="0">
                  <c:v>探偵白布賢二郎ICO</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白鳥沢!$G$41:$K$41</c:f>
              <c:numCache>
                <c:formatCode>General</c:formatCode>
                <c:ptCount val="5"/>
                <c:pt idx="0">
                  <c:v>100</c:v>
                </c:pt>
                <c:pt idx="1">
                  <c:v>104.2599353</c:v>
                </c:pt>
                <c:pt idx="2">
                  <c:v>116.8622438</c:v>
                </c:pt>
                <c:pt idx="3">
                  <c:v>100</c:v>
                </c:pt>
                <c:pt idx="4">
                  <c:v>98.875850420000006</c:v>
                </c:pt>
              </c:numCache>
            </c:numRef>
          </c:val>
          <c:extLst>
            <c:ext xmlns:c16="http://schemas.microsoft.com/office/drawing/2014/chart" uri="{C3380CC4-5D6E-409C-BE32-E72D297353CC}">
              <c16:uniqueId val="{00000000-CAED-4085-9088-B8893FA2A500}"/>
            </c:ext>
          </c:extLst>
        </c:ser>
        <c:ser>
          <c:idx val="40"/>
          <c:order val="40"/>
          <c:tx>
            <c:strRef>
              <c:f>白鳥沢!$F$42</c:f>
              <c:strCache>
                <c:ptCount val="1"/>
                <c:pt idx="0">
                  <c:v>職業体験五色工ICO</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白鳥沢!$G$42:$K$42</c:f>
              <c:numCache>
                <c:formatCode>General</c:formatCode>
                <c:ptCount val="5"/>
                <c:pt idx="0">
                  <c:v>103.679035</c:v>
                </c:pt>
                <c:pt idx="1">
                  <c:v>103.313283</c:v>
                </c:pt>
                <c:pt idx="2">
                  <c:v>104.4965983</c:v>
                </c:pt>
                <c:pt idx="3">
                  <c:v>102.9977322</c:v>
                </c:pt>
                <c:pt idx="4">
                  <c:v>103.3724488</c:v>
                </c:pt>
              </c:numCache>
            </c:numRef>
          </c:val>
          <c:extLst>
            <c:ext xmlns:c16="http://schemas.microsoft.com/office/drawing/2014/chart" uri="{C3380CC4-5D6E-409C-BE32-E72D297353CC}">
              <c16:uniqueId val="{00000000-78BF-4C3C-B14A-EBE1CFD9DC4A}"/>
            </c:ext>
          </c:extLst>
        </c:ser>
        <c:ser>
          <c:idx val="41"/>
          <c:order val="41"/>
          <c:tx>
            <c:strRef>
              <c:f>白鳥沢!$F$43</c:f>
              <c:strCache>
                <c:ptCount val="1"/>
                <c:pt idx="0">
                  <c:v>文化祭天童覚ICO</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f>白鳥沢!$G$1:$K$1</c:f>
              <c:strCache>
                <c:ptCount val="5"/>
                <c:pt idx="0">
                  <c:v>Q_RZS.AttackVal</c:v>
                </c:pt>
                <c:pt idx="1">
                  <c:v>Q_RZS.ServeVal</c:v>
                </c:pt>
                <c:pt idx="2">
                  <c:v>Q_RZS.TossVal</c:v>
                </c:pt>
                <c:pt idx="3">
                  <c:v>Q_RZS.ReceiveVal</c:v>
                </c:pt>
                <c:pt idx="4">
                  <c:v>Q_RZS.BlockVal</c:v>
                </c:pt>
              </c:strCache>
            </c:strRef>
          </c:cat>
          <c:val>
            <c:numRef>
              <c:f>白鳥沢!$G$43:$K$43</c:f>
              <c:numCache>
                <c:formatCode>General</c:formatCode>
                <c:ptCount val="5"/>
                <c:pt idx="0">
                  <c:v>101.8395175</c:v>
                </c:pt>
                <c:pt idx="1">
                  <c:v>97.633369299999998</c:v>
                </c:pt>
                <c:pt idx="2">
                  <c:v>98.875850420000006</c:v>
                </c:pt>
                <c:pt idx="3">
                  <c:v>97.002267779999997</c:v>
                </c:pt>
                <c:pt idx="4">
                  <c:v>108.43112189999999</c:v>
                </c:pt>
              </c:numCache>
            </c:numRef>
          </c:val>
          <c:extLst>
            <c:ext xmlns:c16="http://schemas.microsoft.com/office/drawing/2014/chart" uri="{C3380CC4-5D6E-409C-BE32-E72D297353CC}">
              <c16:uniqueId val="{00000000-E7B2-4830-A984-605F76A8E610}"/>
            </c:ext>
          </c:extLst>
        </c:ser>
        <c:dLbls>
          <c:showLegendKey val="0"/>
          <c:showVal val="0"/>
          <c:showCatName val="0"/>
          <c:showSerName val="0"/>
          <c:showPercent val="0"/>
          <c:showBubbleSize val="0"/>
        </c:dLbls>
        <c:axId val="664973567"/>
        <c:axId val="664956767"/>
        <c:extLst/>
      </c:radarChart>
      <c:catAx>
        <c:axId val="664973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64956767"/>
        <c:crosses val="autoZero"/>
        <c:auto val="1"/>
        <c:lblAlgn val="ctr"/>
        <c:lblOffset val="100"/>
        <c:noMultiLvlLbl val="0"/>
      </c:catAx>
      <c:valAx>
        <c:axId val="664956767"/>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664973567"/>
        <c:crosses val="autoZero"/>
        <c:crossBetween val="between"/>
        <c:majorUnit val="10"/>
      </c:valAx>
      <c:spPr>
        <a:noFill/>
        <a:ln>
          <a:noFill/>
        </a:ln>
        <a:effectLst/>
      </c:spPr>
    </c:plotArea>
    <c:legend>
      <c:legendPos val="t"/>
      <c:layout>
        <c:manualLayout>
          <c:xMode val="edge"/>
          <c:yMode val="edge"/>
          <c:x val="0.63574760552518328"/>
          <c:y val="5.7467607015649805E-2"/>
          <c:w val="0.36425235839888043"/>
          <c:h val="0.942532459428246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梟谷</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7.7391597574088158E-2"/>
          <c:y val="0.13468383686960317"/>
          <c:w val="0.41162970026064782"/>
          <c:h val="0.82430712412569751"/>
        </c:manualLayout>
      </c:layout>
      <c:radarChart>
        <c:radarStyle val="marker"/>
        <c:varyColors val="0"/>
        <c:ser>
          <c:idx val="0"/>
          <c:order val="0"/>
          <c:tx>
            <c:strRef>
              <c:f>梟谷!$F$2</c:f>
              <c:strCache>
                <c:ptCount val="1"/>
                <c:pt idx="0">
                  <c:v>木兎光太郎ICO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梟谷!$G$2:$K$2</c:f>
              <c:numCache>
                <c:formatCode>General</c:formatCode>
                <c:ptCount val="5"/>
                <c:pt idx="0">
                  <c:v>104.90537999999999</c:v>
                </c:pt>
                <c:pt idx="1">
                  <c:v>102.8399568</c:v>
                </c:pt>
                <c:pt idx="2">
                  <c:v>98.875850420000006</c:v>
                </c:pt>
                <c:pt idx="3">
                  <c:v>103.74716530000001</c:v>
                </c:pt>
                <c:pt idx="4">
                  <c:v>101.1241496</c:v>
                </c:pt>
              </c:numCache>
            </c:numRef>
          </c:val>
          <c:extLst>
            <c:ext xmlns:c16="http://schemas.microsoft.com/office/drawing/2014/chart" uri="{C3380CC4-5D6E-409C-BE32-E72D297353CC}">
              <c16:uniqueId val="{00000000-9B21-49BB-B2C3-DD0936066AF7}"/>
            </c:ext>
          </c:extLst>
        </c:ser>
        <c:ser>
          <c:idx val="1"/>
          <c:order val="1"/>
          <c:tx>
            <c:strRef>
              <c:f>梟谷!$F$3</c:f>
              <c:strCache>
                <c:ptCount val="1"/>
                <c:pt idx="0">
                  <c:v>木葉秋紀ICO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梟谷!$G$3:$K$3</c:f>
              <c:numCache>
                <c:formatCode>General</c:formatCode>
                <c:ptCount val="5"/>
                <c:pt idx="0">
                  <c:v>101.8395175</c:v>
                </c:pt>
                <c:pt idx="1">
                  <c:v>100</c:v>
                </c:pt>
                <c:pt idx="2">
                  <c:v>105.6207479</c:v>
                </c:pt>
                <c:pt idx="3">
                  <c:v>103.74716530000001</c:v>
                </c:pt>
                <c:pt idx="4">
                  <c:v>100</c:v>
                </c:pt>
              </c:numCache>
            </c:numRef>
          </c:val>
          <c:extLst>
            <c:ext xmlns:c16="http://schemas.microsoft.com/office/drawing/2014/chart" uri="{C3380CC4-5D6E-409C-BE32-E72D297353CC}">
              <c16:uniqueId val="{00000000-AEDE-4A53-96DD-D15A14924052}"/>
            </c:ext>
          </c:extLst>
        </c:ser>
        <c:ser>
          <c:idx val="2"/>
          <c:order val="2"/>
          <c:tx>
            <c:strRef>
              <c:f>梟谷!$F$4</c:f>
              <c:strCache>
                <c:ptCount val="1"/>
                <c:pt idx="0">
                  <c:v>猿杙大和ICO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梟谷!$G$4:$K$4</c:f>
              <c:numCache>
                <c:formatCode>General</c:formatCode>
                <c:ptCount val="5"/>
                <c:pt idx="0">
                  <c:v>99.386827499999995</c:v>
                </c:pt>
                <c:pt idx="1">
                  <c:v>98.106695439999996</c:v>
                </c:pt>
                <c:pt idx="2">
                  <c:v>101.1241496</c:v>
                </c:pt>
                <c:pt idx="3">
                  <c:v>101.4988661</c:v>
                </c:pt>
                <c:pt idx="4">
                  <c:v>103.9345235</c:v>
                </c:pt>
              </c:numCache>
            </c:numRef>
          </c:val>
          <c:extLst>
            <c:ext xmlns:c16="http://schemas.microsoft.com/office/drawing/2014/chart" uri="{C3380CC4-5D6E-409C-BE32-E72D297353CC}">
              <c16:uniqueId val="{00000001-AEDE-4A53-96DD-D15A14924052}"/>
            </c:ext>
          </c:extLst>
        </c:ser>
        <c:ser>
          <c:idx val="3"/>
          <c:order val="3"/>
          <c:tx>
            <c:strRef>
              <c:f>梟谷!$F$5</c:f>
              <c:strCache>
                <c:ptCount val="1"/>
                <c:pt idx="0">
                  <c:v>小見春樹ICO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梟谷!$G$5:$K$5</c:f>
              <c:numCache>
                <c:formatCode>General</c:formatCode>
                <c:ptCount val="5"/>
                <c:pt idx="0">
                  <c:v>95.707792499999996</c:v>
                </c:pt>
                <c:pt idx="1">
                  <c:v>95.266738599999996</c:v>
                </c:pt>
                <c:pt idx="2">
                  <c:v>97.751700830000004</c:v>
                </c:pt>
                <c:pt idx="3">
                  <c:v>105.9954644</c:v>
                </c:pt>
                <c:pt idx="4">
                  <c:v>95.503401670000002</c:v>
                </c:pt>
              </c:numCache>
            </c:numRef>
          </c:val>
          <c:extLst>
            <c:ext xmlns:c16="http://schemas.microsoft.com/office/drawing/2014/chart" uri="{C3380CC4-5D6E-409C-BE32-E72D297353CC}">
              <c16:uniqueId val="{00000002-AEDE-4A53-96DD-D15A14924052}"/>
            </c:ext>
          </c:extLst>
        </c:ser>
        <c:ser>
          <c:idx val="4"/>
          <c:order val="4"/>
          <c:tx>
            <c:strRef>
              <c:f>梟谷!$F$6</c:f>
              <c:strCache>
                <c:ptCount val="1"/>
                <c:pt idx="0">
                  <c:v>尾長渉ICO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梟谷!$G$6:$K$6</c:f>
              <c:numCache>
                <c:formatCode>General</c:formatCode>
                <c:ptCount val="5"/>
                <c:pt idx="0">
                  <c:v>95.707792499999996</c:v>
                </c:pt>
                <c:pt idx="1">
                  <c:v>94.793412459999999</c:v>
                </c:pt>
                <c:pt idx="2">
                  <c:v>96.627551249999996</c:v>
                </c:pt>
                <c:pt idx="3">
                  <c:v>93.255102500000007</c:v>
                </c:pt>
                <c:pt idx="4">
                  <c:v>98.875850420000006</c:v>
                </c:pt>
              </c:numCache>
            </c:numRef>
          </c:val>
          <c:extLst>
            <c:ext xmlns:c16="http://schemas.microsoft.com/office/drawing/2014/chart" uri="{C3380CC4-5D6E-409C-BE32-E72D297353CC}">
              <c16:uniqueId val="{00000003-AEDE-4A53-96DD-D15A14924052}"/>
            </c:ext>
          </c:extLst>
        </c:ser>
        <c:ser>
          <c:idx val="5"/>
          <c:order val="5"/>
          <c:tx>
            <c:strRef>
              <c:f>梟谷!$F$7</c:f>
              <c:strCache>
                <c:ptCount val="1"/>
                <c:pt idx="0">
                  <c:v>鷲尾辰生ICO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梟谷!$G$7:$K$7</c:f>
              <c:numCache>
                <c:formatCode>General</c:formatCode>
                <c:ptCount val="5"/>
                <c:pt idx="0">
                  <c:v>98.160482500000001</c:v>
                </c:pt>
                <c:pt idx="1">
                  <c:v>99.526673900000006</c:v>
                </c:pt>
                <c:pt idx="2">
                  <c:v>96.627551249999996</c:v>
                </c:pt>
                <c:pt idx="3">
                  <c:v>94.753968610000001</c:v>
                </c:pt>
                <c:pt idx="4">
                  <c:v>102.24829920000001</c:v>
                </c:pt>
              </c:numCache>
            </c:numRef>
          </c:val>
          <c:extLst>
            <c:ext xmlns:c16="http://schemas.microsoft.com/office/drawing/2014/chart" uri="{C3380CC4-5D6E-409C-BE32-E72D297353CC}">
              <c16:uniqueId val="{00000004-AEDE-4A53-96DD-D15A14924052}"/>
            </c:ext>
          </c:extLst>
        </c:ser>
        <c:ser>
          <c:idx val="6"/>
          <c:order val="6"/>
          <c:tx>
            <c:strRef>
              <c:f>梟谷!$F$8</c:f>
              <c:strCache>
                <c:ptCount val="1"/>
                <c:pt idx="0">
                  <c:v>赤葦京治ICO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梟谷!$G$8:$K$8</c:f>
              <c:numCache>
                <c:formatCode>General</c:formatCode>
                <c:ptCount val="5"/>
                <c:pt idx="0">
                  <c:v>99.386827499999995</c:v>
                </c:pt>
                <c:pt idx="1">
                  <c:v>103.313283</c:v>
                </c:pt>
                <c:pt idx="2">
                  <c:v>112.36564540000001</c:v>
                </c:pt>
                <c:pt idx="3">
                  <c:v>102.24829920000001</c:v>
                </c:pt>
                <c:pt idx="4">
                  <c:v>97.189626039999993</c:v>
                </c:pt>
              </c:numCache>
            </c:numRef>
          </c:val>
          <c:extLst>
            <c:ext xmlns:c16="http://schemas.microsoft.com/office/drawing/2014/chart" uri="{C3380CC4-5D6E-409C-BE32-E72D297353CC}">
              <c16:uniqueId val="{00000005-AEDE-4A53-96DD-D15A14924052}"/>
            </c:ext>
          </c:extLst>
        </c:ser>
        <c:ser>
          <c:idx val="7"/>
          <c:order val="7"/>
          <c:tx>
            <c:strRef>
              <c:f>梟谷!$F$9</c:f>
              <c:strCache>
                <c:ptCount val="1"/>
                <c:pt idx="0">
                  <c:v>Xmas木兎光太郎ICO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梟谷!$G$9:$K$9</c:f>
              <c:numCache>
                <c:formatCode>General</c:formatCode>
                <c:ptCount val="5"/>
                <c:pt idx="0">
                  <c:v>107.9712425</c:v>
                </c:pt>
                <c:pt idx="1">
                  <c:v>102.8399568</c:v>
                </c:pt>
                <c:pt idx="2">
                  <c:v>100</c:v>
                </c:pt>
                <c:pt idx="3">
                  <c:v>104.4965983</c:v>
                </c:pt>
                <c:pt idx="4">
                  <c:v>105.6207479</c:v>
                </c:pt>
              </c:numCache>
            </c:numRef>
          </c:val>
          <c:extLst>
            <c:ext xmlns:c16="http://schemas.microsoft.com/office/drawing/2014/chart" uri="{C3380CC4-5D6E-409C-BE32-E72D297353CC}">
              <c16:uniqueId val="{00000000-2209-457B-A8CB-E391B7AB89F6}"/>
            </c:ext>
          </c:extLst>
        </c:ser>
        <c:ser>
          <c:idx val="8"/>
          <c:order val="8"/>
          <c:tx>
            <c:strRef>
              <c:f>梟谷!$F$10</c:f>
              <c:strCache>
                <c:ptCount val="1"/>
                <c:pt idx="0">
                  <c:v>バーガー赤葦京治ICO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梟谷!$G$10:$K$10</c:f>
              <c:numCache>
                <c:formatCode>General</c:formatCode>
                <c:ptCount val="5"/>
                <c:pt idx="0">
                  <c:v>98.773655000000005</c:v>
                </c:pt>
                <c:pt idx="1">
                  <c:v>104.2599353</c:v>
                </c:pt>
                <c:pt idx="2">
                  <c:v>117.9863933</c:v>
                </c:pt>
                <c:pt idx="3">
                  <c:v>103.74716530000001</c:v>
                </c:pt>
                <c:pt idx="4">
                  <c:v>101.1241496</c:v>
                </c:pt>
              </c:numCache>
            </c:numRef>
          </c:val>
          <c:extLst>
            <c:ext xmlns:c16="http://schemas.microsoft.com/office/drawing/2014/chart" uri="{C3380CC4-5D6E-409C-BE32-E72D297353CC}">
              <c16:uniqueId val="{00000001-2209-457B-A8CB-E391B7AB89F6}"/>
            </c:ext>
          </c:extLst>
        </c:ser>
        <c:ser>
          <c:idx val="9"/>
          <c:order val="9"/>
          <c:tx>
            <c:strRef>
              <c:f>梟谷!$F$11</c:f>
              <c:strCache>
                <c:ptCount val="1"/>
                <c:pt idx="0">
                  <c:v>梅雨木葉秋紀ICO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梟谷!$G$11:$K$11</c:f>
              <c:numCache>
                <c:formatCode>General</c:formatCode>
                <c:ptCount val="5"/>
                <c:pt idx="0">
                  <c:v>104.2922075</c:v>
                </c:pt>
                <c:pt idx="1">
                  <c:v>99.526673900000006</c:v>
                </c:pt>
                <c:pt idx="2">
                  <c:v>108.9931967</c:v>
                </c:pt>
                <c:pt idx="3">
                  <c:v>108.9931967</c:v>
                </c:pt>
                <c:pt idx="4">
                  <c:v>101.1241496</c:v>
                </c:pt>
              </c:numCache>
            </c:numRef>
          </c:val>
          <c:extLst>
            <c:ext xmlns:c16="http://schemas.microsoft.com/office/drawing/2014/chart" uri="{C3380CC4-5D6E-409C-BE32-E72D297353CC}">
              <c16:uniqueId val="{00000002-2209-457B-A8CB-E391B7AB89F6}"/>
            </c:ext>
          </c:extLst>
        </c:ser>
        <c:ser>
          <c:idx val="10"/>
          <c:order val="10"/>
          <c:tx>
            <c:strRef>
              <c:f>梟谷!$F$12</c:f>
              <c:strCache>
                <c:ptCount val="1"/>
                <c:pt idx="0">
                  <c:v>キャンプ木兎光太郎ICO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梟谷!$G$12:$K$12</c:f>
              <c:numCache>
                <c:formatCode>General</c:formatCode>
                <c:ptCount val="5"/>
                <c:pt idx="0">
                  <c:v>108.58441500000001</c:v>
                </c:pt>
                <c:pt idx="1">
                  <c:v>105.2065875</c:v>
                </c:pt>
                <c:pt idx="2">
                  <c:v>100</c:v>
                </c:pt>
                <c:pt idx="3">
                  <c:v>107.4943306</c:v>
                </c:pt>
                <c:pt idx="4">
                  <c:v>105.05867309999999</c:v>
                </c:pt>
              </c:numCache>
            </c:numRef>
          </c:val>
          <c:extLst>
            <c:ext xmlns:c16="http://schemas.microsoft.com/office/drawing/2014/chart" uri="{C3380CC4-5D6E-409C-BE32-E72D297353CC}">
              <c16:uniqueId val="{00000003-2209-457B-A8CB-E391B7AB89F6}"/>
            </c:ext>
          </c:extLst>
        </c:ser>
        <c:ser>
          <c:idx val="11"/>
          <c:order val="11"/>
          <c:tx>
            <c:strRef>
              <c:f>梟谷!$F$13</c:f>
              <c:strCache>
                <c:ptCount val="1"/>
                <c:pt idx="0">
                  <c:v>制服木兎光太郎ICO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梟谷!$G$13:$K$13</c:f>
              <c:numCache>
                <c:formatCode>General</c:formatCode>
                <c:ptCount val="5"/>
                <c:pt idx="0">
                  <c:v>108.58441500000001</c:v>
                </c:pt>
                <c:pt idx="1">
                  <c:v>101.89330459999999</c:v>
                </c:pt>
                <c:pt idx="2">
                  <c:v>100</c:v>
                </c:pt>
                <c:pt idx="3">
                  <c:v>108.9931967</c:v>
                </c:pt>
                <c:pt idx="4">
                  <c:v>103.3724488</c:v>
                </c:pt>
              </c:numCache>
            </c:numRef>
          </c:val>
          <c:extLst>
            <c:ext xmlns:c16="http://schemas.microsoft.com/office/drawing/2014/chart" uri="{C3380CC4-5D6E-409C-BE32-E72D297353CC}">
              <c16:uniqueId val="{00000004-2209-457B-A8CB-E391B7AB89F6}"/>
            </c:ext>
          </c:extLst>
        </c:ser>
        <c:ser>
          <c:idx val="12"/>
          <c:order val="12"/>
          <c:tx>
            <c:strRef>
              <c:f>梟谷!$F$14</c:f>
              <c:strCache>
                <c:ptCount val="1"/>
                <c:pt idx="0">
                  <c:v>制服赤葦京治ICO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梟谷!$G$14:$K$14</c:f>
              <c:numCache>
                <c:formatCode>General</c:formatCode>
                <c:ptCount val="5"/>
                <c:pt idx="0">
                  <c:v>98.773655000000005</c:v>
                </c:pt>
                <c:pt idx="1">
                  <c:v>108.0465444</c:v>
                </c:pt>
                <c:pt idx="2">
                  <c:v>119.1105429</c:v>
                </c:pt>
                <c:pt idx="3">
                  <c:v>103.74716530000001</c:v>
                </c:pt>
                <c:pt idx="4">
                  <c:v>95.503401670000002</c:v>
                </c:pt>
              </c:numCache>
            </c:numRef>
          </c:val>
          <c:extLst>
            <c:ext xmlns:c16="http://schemas.microsoft.com/office/drawing/2014/chart" uri="{C3380CC4-5D6E-409C-BE32-E72D297353CC}">
              <c16:uniqueId val="{00000005-2209-457B-A8CB-E391B7AB89F6}"/>
            </c:ext>
          </c:extLst>
        </c:ser>
        <c:ser>
          <c:idx val="13"/>
          <c:order val="13"/>
          <c:tx>
            <c:strRef>
              <c:f>梟谷!$F$15</c:f>
              <c:strCache>
                <c:ptCount val="1"/>
                <c:pt idx="0">
                  <c:v>仮装赤葦京治ICO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梟谷!$G$15:$K$15</c:f>
              <c:numCache>
                <c:formatCode>General</c:formatCode>
                <c:ptCount val="5"/>
                <c:pt idx="0">
                  <c:v>100.6131725</c:v>
                </c:pt>
                <c:pt idx="1">
                  <c:v>108.0465444</c:v>
                </c:pt>
                <c:pt idx="2">
                  <c:v>119.1105429</c:v>
                </c:pt>
                <c:pt idx="3">
                  <c:v>105.24603140000001</c:v>
                </c:pt>
                <c:pt idx="4">
                  <c:v>98.313775629999995</c:v>
                </c:pt>
              </c:numCache>
            </c:numRef>
          </c:val>
          <c:extLst>
            <c:ext xmlns:c16="http://schemas.microsoft.com/office/drawing/2014/chart" uri="{C3380CC4-5D6E-409C-BE32-E72D297353CC}">
              <c16:uniqueId val="{00000006-2209-457B-A8CB-E391B7AB89F6}"/>
            </c:ext>
          </c:extLst>
        </c:ser>
        <c:ser>
          <c:idx val="14"/>
          <c:order val="14"/>
          <c:tx>
            <c:strRef>
              <c:f>梟谷!$F$16</c:f>
              <c:strCache>
                <c:ptCount val="1"/>
                <c:pt idx="0">
                  <c:v>路地裏2木葉秋紀ICO</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梟谷!$G$16:$K$16</c:f>
              <c:numCache>
                <c:formatCode>General</c:formatCode>
                <c:ptCount val="5"/>
                <c:pt idx="0">
                  <c:v>104.2922075</c:v>
                </c:pt>
                <c:pt idx="1">
                  <c:v>99.526673900000006</c:v>
                </c:pt>
                <c:pt idx="2">
                  <c:v>104.4965983</c:v>
                </c:pt>
                <c:pt idx="3">
                  <c:v>107.4943306</c:v>
                </c:pt>
                <c:pt idx="4">
                  <c:v>105.05867309999999</c:v>
                </c:pt>
              </c:numCache>
            </c:numRef>
          </c:val>
          <c:extLst>
            <c:ext xmlns:c16="http://schemas.microsoft.com/office/drawing/2014/chart" uri="{C3380CC4-5D6E-409C-BE32-E72D297353CC}">
              <c16:uniqueId val="{00000007-2209-457B-A8CB-E391B7AB89F6}"/>
            </c:ext>
          </c:extLst>
        </c:ser>
        <c:ser>
          <c:idx val="15"/>
          <c:order val="15"/>
          <c:tx>
            <c:strRef>
              <c:f>梟谷!$F$17</c:f>
              <c:strCache>
                <c:ptCount val="1"/>
                <c:pt idx="0">
                  <c:v>路地裏2小見春樹ICO</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梟谷!$G$17:$K$17</c:f>
              <c:numCache>
                <c:formatCode>General</c:formatCode>
                <c:ptCount val="5"/>
                <c:pt idx="0">
                  <c:v>96.320965000000001</c:v>
                </c:pt>
                <c:pt idx="1">
                  <c:v>96.213390880000006</c:v>
                </c:pt>
                <c:pt idx="2">
                  <c:v>101.1241496</c:v>
                </c:pt>
                <c:pt idx="3">
                  <c:v>110.4920628</c:v>
                </c:pt>
                <c:pt idx="4">
                  <c:v>96.627551249999996</c:v>
                </c:pt>
              </c:numCache>
            </c:numRef>
          </c:val>
          <c:extLst>
            <c:ext xmlns:c16="http://schemas.microsoft.com/office/drawing/2014/chart" uri="{C3380CC4-5D6E-409C-BE32-E72D297353CC}">
              <c16:uniqueId val="{00000008-2209-457B-A8CB-E391B7AB89F6}"/>
            </c:ext>
          </c:extLst>
        </c:ser>
        <c:ser>
          <c:idx val="16"/>
          <c:order val="16"/>
          <c:tx>
            <c:strRef>
              <c:f>梟谷!$F$18</c:f>
              <c:strCache>
                <c:ptCount val="1"/>
                <c:pt idx="0">
                  <c:v>2周年木兎光太郎ICO</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梟谷!$G$18:$K$18</c:f>
              <c:numCache>
                <c:formatCode>General</c:formatCode>
                <c:ptCount val="5"/>
                <c:pt idx="0">
                  <c:v>107.35807</c:v>
                </c:pt>
                <c:pt idx="1">
                  <c:v>104.7332614</c:v>
                </c:pt>
                <c:pt idx="2">
                  <c:v>100</c:v>
                </c:pt>
                <c:pt idx="3">
                  <c:v>108.9931967</c:v>
                </c:pt>
                <c:pt idx="4">
                  <c:v>106.1828227</c:v>
                </c:pt>
              </c:numCache>
            </c:numRef>
          </c:val>
          <c:extLst>
            <c:ext xmlns:c16="http://schemas.microsoft.com/office/drawing/2014/chart" uri="{C3380CC4-5D6E-409C-BE32-E72D297353CC}">
              <c16:uniqueId val="{00000009-2209-457B-A8CB-E391B7AB89F6}"/>
            </c:ext>
          </c:extLst>
        </c:ser>
        <c:ser>
          <c:idx val="17"/>
          <c:order val="17"/>
          <c:tx>
            <c:strRef>
              <c:f>梟谷!$F$19</c:f>
              <c:strCache>
                <c:ptCount val="1"/>
                <c:pt idx="0">
                  <c:v>妖赤葦京治ICO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梟谷!$G$19:$K$19</c:f>
              <c:numCache>
                <c:formatCode>General</c:formatCode>
                <c:ptCount val="5"/>
                <c:pt idx="0">
                  <c:v>100.6131725</c:v>
                </c:pt>
                <c:pt idx="1">
                  <c:v>108.9931967</c:v>
                </c:pt>
                <c:pt idx="2">
                  <c:v>115.73809420000001</c:v>
                </c:pt>
                <c:pt idx="3">
                  <c:v>105.9954644</c:v>
                </c:pt>
                <c:pt idx="4">
                  <c:v>98.875850420000006</c:v>
                </c:pt>
              </c:numCache>
            </c:numRef>
          </c:val>
          <c:extLst>
            <c:ext xmlns:c16="http://schemas.microsoft.com/office/drawing/2014/chart" uri="{C3380CC4-5D6E-409C-BE32-E72D297353CC}">
              <c16:uniqueId val="{0000000A-2209-457B-A8CB-E391B7AB89F6}"/>
            </c:ext>
          </c:extLst>
        </c:ser>
        <c:ser>
          <c:idx val="18"/>
          <c:order val="18"/>
          <c:tx>
            <c:strRef>
              <c:f>梟谷!$F$20</c:f>
              <c:strCache>
                <c:ptCount val="1"/>
                <c:pt idx="0">
                  <c:v>水着2木葉秋紀ICO</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梟谷!$G$20:$K$20</c:f>
              <c:numCache>
                <c:formatCode>General</c:formatCode>
                <c:ptCount val="5"/>
                <c:pt idx="0">
                  <c:v>103.679035</c:v>
                </c:pt>
                <c:pt idx="1">
                  <c:v>101.89330459999999</c:v>
                </c:pt>
                <c:pt idx="2">
                  <c:v>106.74489749999999</c:v>
                </c:pt>
                <c:pt idx="3">
                  <c:v>108.9931967</c:v>
                </c:pt>
                <c:pt idx="4">
                  <c:v>105.05867309999999</c:v>
                </c:pt>
              </c:numCache>
            </c:numRef>
          </c:val>
          <c:extLst>
            <c:ext xmlns:c16="http://schemas.microsoft.com/office/drawing/2014/chart" uri="{C3380CC4-5D6E-409C-BE32-E72D297353CC}">
              <c16:uniqueId val="{0000000B-2209-457B-A8CB-E391B7AB89F6}"/>
            </c:ext>
          </c:extLst>
        </c:ser>
        <c:ser>
          <c:idx val="19"/>
          <c:order val="19"/>
          <c:tx>
            <c:strRef>
              <c:f>梟谷!$F$21</c:f>
              <c:strCache>
                <c:ptCount val="1"/>
                <c:pt idx="0">
                  <c:v>焼き芋木兎光太郎ICO</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梟谷!$G$21:$K$21</c:f>
              <c:numCache>
                <c:formatCode>General</c:formatCode>
                <c:ptCount val="5"/>
                <c:pt idx="0">
                  <c:v>110.42393250000001</c:v>
                </c:pt>
                <c:pt idx="1">
                  <c:v>106.15323979999999</c:v>
                </c:pt>
                <c:pt idx="2">
                  <c:v>101.1241496</c:v>
                </c:pt>
                <c:pt idx="3">
                  <c:v>108.9931967</c:v>
                </c:pt>
                <c:pt idx="4">
                  <c:v>106.74489749999999</c:v>
                </c:pt>
              </c:numCache>
            </c:numRef>
          </c:val>
          <c:extLst>
            <c:ext xmlns:c16="http://schemas.microsoft.com/office/drawing/2014/chart" uri="{C3380CC4-5D6E-409C-BE32-E72D297353CC}">
              <c16:uniqueId val="{0000000C-2209-457B-A8CB-E391B7AB89F6}"/>
            </c:ext>
          </c:extLst>
        </c:ser>
        <c:ser>
          <c:idx val="20"/>
          <c:order val="20"/>
          <c:tx>
            <c:strRef>
              <c:f>梟谷!$F$22</c:f>
              <c:strCache>
                <c:ptCount val="1"/>
                <c:pt idx="0">
                  <c:v>焼き芋赤葦京治ICO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梟谷!$G$22:$K$22</c:f>
              <c:numCache>
                <c:formatCode>General</c:formatCode>
                <c:ptCount val="5"/>
                <c:pt idx="0">
                  <c:v>101.22634499999999</c:v>
                </c:pt>
                <c:pt idx="1">
                  <c:v>109.46652280000001</c:v>
                </c:pt>
                <c:pt idx="2">
                  <c:v>121.3588421</c:v>
                </c:pt>
                <c:pt idx="3">
                  <c:v>106.74489749999999</c:v>
                </c:pt>
                <c:pt idx="4">
                  <c:v>99.437925210000003</c:v>
                </c:pt>
              </c:numCache>
            </c:numRef>
          </c:val>
          <c:extLst>
            <c:ext xmlns:c16="http://schemas.microsoft.com/office/drawing/2014/chart" uri="{C3380CC4-5D6E-409C-BE32-E72D297353CC}">
              <c16:uniqueId val="{0000000D-2209-457B-A8CB-E391B7AB89F6}"/>
            </c:ext>
          </c:extLst>
        </c:ser>
        <c:ser>
          <c:idx val="21"/>
          <c:order val="21"/>
          <c:tx>
            <c:strRef>
              <c:f>梟谷!$F$23</c:f>
              <c:strCache>
                <c:ptCount val="1"/>
                <c:pt idx="0">
                  <c:v>ハロウィン猿杙大和ICO</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梟谷!$G$23:$K$23</c:f>
              <c:numCache>
                <c:formatCode>General</c:formatCode>
                <c:ptCount val="5"/>
                <c:pt idx="0">
                  <c:v>101.22634499999999</c:v>
                </c:pt>
                <c:pt idx="1">
                  <c:v>100</c:v>
                </c:pt>
                <c:pt idx="2">
                  <c:v>102.24829920000001</c:v>
                </c:pt>
                <c:pt idx="3">
                  <c:v>102.9977322</c:v>
                </c:pt>
                <c:pt idx="4">
                  <c:v>106.1828227</c:v>
                </c:pt>
              </c:numCache>
            </c:numRef>
          </c:val>
          <c:extLst>
            <c:ext xmlns:c16="http://schemas.microsoft.com/office/drawing/2014/chart" uri="{C3380CC4-5D6E-409C-BE32-E72D297353CC}">
              <c16:uniqueId val="{0000000E-2209-457B-A8CB-E391B7AB89F6}"/>
            </c:ext>
          </c:extLst>
        </c:ser>
        <c:ser>
          <c:idx val="22"/>
          <c:order val="22"/>
          <c:tx>
            <c:strRef>
              <c:f>梟谷!$F$24</c:f>
              <c:strCache>
                <c:ptCount val="1"/>
                <c:pt idx="0">
                  <c:v>ハロウィン鷲尾辰生ICO</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梟谷!$G$24:$K$24</c:f>
              <c:numCache>
                <c:formatCode>General</c:formatCode>
                <c:ptCount val="5"/>
                <c:pt idx="0">
                  <c:v>100</c:v>
                </c:pt>
                <c:pt idx="1">
                  <c:v>100.47332609999999</c:v>
                </c:pt>
                <c:pt idx="2">
                  <c:v>97.751700830000004</c:v>
                </c:pt>
                <c:pt idx="3">
                  <c:v>96.252834719999996</c:v>
                </c:pt>
                <c:pt idx="4">
                  <c:v>105.6207479</c:v>
                </c:pt>
              </c:numCache>
            </c:numRef>
          </c:val>
          <c:extLst>
            <c:ext xmlns:c16="http://schemas.microsoft.com/office/drawing/2014/chart" uri="{C3380CC4-5D6E-409C-BE32-E72D297353CC}">
              <c16:uniqueId val="{0000000F-2209-457B-A8CB-E391B7AB89F6}"/>
            </c:ext>
          </c:extLst>
        </c:ser>
        <c:ser>
          <c:idx val="23"/>
          <c:order val="23"/>
          <c:tx>
            <c:strRef>
              <c:f>梟谷!$F$25</c:f>
              <c:strCache>
                <c:ptCount val="1"/>
                <c:pt idx="0">
                  <c:v>Xmas3赤葦京治ICO</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梟谷!$G$25:$K$25</c:f>
              <c:numCache>
                <c:formatCode>General</c:formatCode>
                <c:ptCount val="5"/>
                <c:pt idx="0">
                  <c:v>101.22634499999999</c:v>
                </c:pt>
                <c:pt idx="1">
                  <c:v>109.9398489</c:v>
                </c:pt>
                <c:pt idx="2">
                  <c:v>120.23469249999999</c:v>
                </c:pt>
                <c:pt idx="3">
                  <c:v>107.4943306</c:v>
                </c:pt>
                <c:pt idx="4">
                  <c:v>99.437925210000003</c:v>
                </c:pt>
              </c:numCache>
            </c:numRef>
          </c:val>
          <c:extLst>
            <c:ext xmlns:c16="http://schemas.microsoft.com/office/drawing/2014/chart" uri="{C3380CC4-5D6E-409C-BE32-E72D297353CC}">
              <c16:uniqueId val="{00000010-2209-457B-A8CB-E391B7AB89F6}"/>
            </c:ext>
          </c:extLst>
        </c:ser>
        <c:ser>
          <c:idx val="24"/>
          <c:order val="24"/>
          <c:tx>
            <c:strRef>
              <c:f>梟谷!$F$26</c:f>
              <c:strCache>
                <c:ptCount val="1"/>
                <c:pt idx="0">
                  <c:v>3周年木兎光太郎ICO</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梟谷!$G$26:$K$26</c:f>
              <c:numCache>
                <c:formatCode>General</c:formatCode>
                <c:ptCount val="5"/>
                <c:pt idx="0">
                  <c:v>112.26345000000001</c:v>
                </c:pt>
                <c:pt idx="1">
                  <c:v>107.09989210000001</c:v>
                </c:pt>
                <c:pt idx="2">
                  <c:v>102.24829920000001</c:v>
                </c:pt>
                <c:pt idx="3">
                  <c:v>110.4920628</c:v>
                </c:pt>
                <c:pt idx="4">
                  <c:v>107.8690471</c:v>
                </c:pt>
              </c:numCache>
            </c:numRef>
          </c:val>
          <c:extLst>
            <c:ext xmlns:c16="http://schemas.microsoft.com/office/drawing/2014/chart" uri="{C3380CC4-5D6E-409C-BE32-E72D297353CC}">
              <c16:uniqueId val="{00000000-CEC9-475F-A0A6-AC42D5892FEC}"/>
            </c:ext>
          </c:extLst>
        </c:ser>
        <c:ser>
          <c:idx val="25"/>
          <c:order val="25"/>
          <c:tx>
            <c:strRef>
              <c:f>梟谷!$F$27</c:f>
              <c:strCache>
                <c:ptCount val="1"/>
                <c:pt idx="0">
                  <c:v>3周年赤葦京治ICO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梟谷!$G$27:$K$27</c:f>
              <c:numCache>
                <c:formatCode>General</c:formatCode>
                <c:ptCount val="5"/>
                <c:pt idx="0">
                  <c:v>101.8395175</c:v>
                </c:pt>
                <c:pt idx="1">
                  <c:v>110.4131751</c:v>
                </c:pt>
                <c:pt idx="2">
                  <c:v>123.60714129999999</c:v>
                </c:pt>
                <c:pt idx="3">
                  <c:v>108.9931967</c:v>
                </c:pt>
                <c:pt idx="4">
                  <c:v>100.5620748</c:v>
                </c:pt>
              </c:numCache>
            </c:numRef>
          </c:val>
          <c:extLst>
            <c:ext xmlns:c16="http://schemas.microsoft.com/office/drawing/2014/chart" uri="{C3380CC4-5D6E-409C-BE32-E72D297353CC}">
              <c16:uniqueId val="{00000000-A2E9-4A2C-9D94-1034B6FA5602}"/>
            </c:ext>
          </c:extLst>
        </c:ser>
        <c:ser>
          <c:idx val="26"/>
          <c:order val="26"/>
          <c:tx>
            <c:strRef>
              <c:f>梟谷!$F$28</c:f>
              <c:strCache>
                <c:ptCount val="1"/>
                <c:pt idx="0">
                  <c:v>夏祭り木兎光太郎ICO</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梟谷!$G$28:$K$28</c:f>
              <c:numCache>
                <c:formatCode>General</c:formatCode>
                <c:ptCount val="5"/>
                <c:pt idx="0">
                  <c:v>106.74489749999999</c:v>
                </c:pt>
                <c:pt idx="1">
                  <c:v>104.7332614</c:v>
                </c:pt>
                <c:pt idx="2">
                  <c:v>100</c:v>
                </c:pt>
                <c:pt idx="3">
                  <c:v>105.24603140000001</c:v>
                </c:pt>
                <c:pt idx="4">
                  <c:v>103.3724488</c:v>
                </c:pt>
              </c:numCache>
            </c:numRef>
          </c:val>
          <c:extLst>
            <c:ext xmlns:c16="http://schemas.microsoft.com/office/drawing/2014/chart" uri="{C3380CC4-5D6E-409C-BE32-E72D297353CC}">
              <c16:uniqueId val="{00000000-C7BE-4131-9D87-BF1560867424}"/>
            </c:ext>
          </c:extLst>
        </c:ser>
        <c:ser>
          <c:idx val="27"/>
          <c:order val="27"/>
          <c:tx>
            <c:strRef>
              <c:f>梟谷!$F$29</c:f>
              <c:strCache>
                <c:ptCount val="1"/>
                <c:pt idx="0">
                  <c:v>夏祭り赤葦京治ICO</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梟谷!$G$29:$K$29</c:f>
              <c:numCache>
                <c:formatCode>General</c:formatCode>
                <c:ptCount val="5"/>
                <c:pt idx="0">
                  <c:v>100</c:v>
                </c:pt>
                <c:pt idx="1">
                  <c:v>106.15323979999999</c:v>
                </c:pt>
                <c:pt idx="2">
                  <c:v>115.73809420000001</c:v>
                </c:pt>
                <c:pt idx="3">
                  <c:v>103.74716530000001</c:v>
                </c:pt>
                <c:pt idx="4">
                  <c:v>98.313775629999995</c:v>
                </c:pt>
              </c:numCache>
            </c:numRef>
          </c:val>
          <c:extLst>
            <c:ext xmlns:c16="http://schemas.microsoft.com/office/drawing/2014/chart" uri="{C3380CC4-5D6E-409C-BE32-E72D297353CC}">
              <c16:uniqueId val="{00000000-B473-4C5E-B225-CAB4796F0B40}"/>
            </c:ext>
          </c:extLst>
        </c:ser>
        <c:ser>
          <c:idx val="28"/>
          <c:order val="28"/>
          <c:tx>
            <c:strRef>
              <c:f>梟谷!$F$30</c:f>
              <c:strCache>
                <c:ptCount val="1"/>
                <c:pt idx="0">
                  <c:v>梅雨2木兎光太郎ICO</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梟谷!$G$30:$K$30</c:f>
              <c:numCache>
                <c:formatCode>General</c:formatCode>
                <c:ptCount val="5"/>
                <c:pt idx="0">
                  <c:v>111.037105</c:v>
                </c:pt>
                <c:pt idx="1">
                  <c:v>107.09989210000001</c:v>
                </c:pt>
                <c:pt idx="2">
                  <c:v>102.24829920000001</c:v>
                </c:pt>
                <c:pt idx="3">
                  <c:v>111.9909289</c:v>
                </c:pt>
                <c:pt idx="4">
                  <c:v>108.9931967</c:v>
                </c:pt>
              </c:numCache>
            </c:numRef>
          </c:val>
          <c:extLst>
            <c:ext xmlns:c16="http://schemas.microsoft.com/office/drawing/2014/chart" uri="{C3380CC4-5D6E-409C-BE32-E72D297353CC}">
              <c16:uniqueId val="{00000000-09AB-41D9-8D95-BCB3ED5BEE4C}"/>
            </c:ext>
          </c:extLst>
        </c:ser>
        <c:ser>
          <c:idx val="29"/>
          <c:order val="29"/>
          <c:tx>
            <c:strRef>
              <c:f>梟谷!$F$31</c:f>
              <c:strCache>
                <c:ptCount val="1"/>
                <c:pt idx="0">
                  <c:v>探偵木葉秋紀ICO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梟谷!$G$1:$K$1</c:f>
              <c:strCache>
                <c:ptCount val="5"/>
                <c:pt idx="0">
                  <c:v>Q_RZS.AttackVal</c:v>
                </c:pt>
                <c:pt idx="1">
                  <c:v>Q_RZS.ServeVal</c:v>
                </c:pt>
                <c:pt idx="2">
                  <c:v>Q_RZS.TossVal</c:v>
                </c:pt>
                <c:pt idx="3">
                  <c:v>Q_RZS.ReceiveVal</c:v>
                </c:pt>
                <c:pt idx="4">
                  <c:v>Q_RZS.BlockVal</c:v>
                </c:pt>
              </c:strCache>
            </c:strRef>
          </c:cat>
          <c:val>
            <c:numRef>
              <c:f>梟谷!$G$31:$K$31</c:f>
              <c:numCache>
                <c:formatCode>General</c:formatCode>
                <c:ptCount val="5"/>
                <c:pt idx="0">
                  <c:v>103.679035</c:v>
                </c:pt>
                <c:pt idx="1">
                  <c:v>101.89330459999999</c:v>
                </c:pt>
                <c:pt idx="2">
                  <c:v>106.74489749999999</c:v>
                </c:pt>
                <c:pt idx="3">
                  <c:v>105.24603140000001</c:v>
                </c:pt>
                <c:pt idx="4">
                  <c:v>102.24829920000001</c:v>
                </c:pt>
              </c:numCache>
            </c:numRef>
          </c:val>
          <c:extLst>
            <c:ext xmlns:c16="http://schemas.microsoft.com/office/drawing/2014/chart" uri="{C3380CC4-5D6E-409C-BE32-E72D297353CC}">
              <c16:uniqueId val="{00000000-9D09-4290-A0B3-DF3A423F0404}"/>
            </c:ext>
          </c:extLst>
        </c:ser>
        <c:dLbls>
          <c:showLegendKey val="0"/>
          <c:showVal val="0"/>
          <c:showCatName val="0"/>
          <c:showSerName val="0"/>
          <c:showPercent val="0"/>
          <c:showBubbleSize val="0"/>
        </c:dLbls>
        <c:axId val="880850527"/>
        <c:axId val="880835647"/>
        <c:extLst/>
      </c:radarChart>
      <c:catAx>
        <c:axId val="88085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835647"/>
        <c:crosses val="autoZero"/>
        <c:auto val="1"/>
        <c:lblAlgn val="ctr"/>
        <c:lblOffset val="100"/>
        <c:noMultiLvlLbl val="0"/>
      </c:catAx>
      <c:valAx>
        <c:axId val="880835647"/>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850527"/>
        <c:crosses val="autoZero"/>
        <c:crossBetween val="between"/>
        <c:majorUnit val="10"/>
      </c:valAx>
      <c:spPr>
        <a:noFill/>
        <a:ln>
          <a:noFill/>
        </a:ln>
        <a:effectLst/>
      </c:spPr>
    </c:plotArea>
    <c:legend>
      <c:legendPos val="t"/>
      <c:layout>
        <c:manualLayout>
          <c:xMode val="edge"/>
          <c:yMode val="edge"/>
          <c:x val="0.57680208188128868"/>
          <c:y val="5.9350855963976115E-2"/>
          <c:w val="0.42319791811871138"/>
          <c:h val="0.934843903116383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稲荷崎</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9.0754195243842872E-2"/>
          <c:y val="0.14067696230343235"/>
          <c:w val="0.41553029416157694"/>
          <c:h val="0.81895040642178885"/>
        </c:manualLayout>
      </c:layout>
      <c:radarChart>
        <c:radarStyle val="marker"/>
        <c:varyColors val="0"/>
        <c:ser>
          <c:idx val="0"/>
          <c:order val="0"/>
          <c:tx>
            <c:strRef>
              <c:f>稲荷崎!$F$2</c:f>
              <c:strCache>
                <c:ptCount val="1"/>
                <c:pt idx="0">
                  <c:v>宮侑ICO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稲荷崎!$G$2:$K$2</c:f>
              <c:numCache>
                <c:formatCode>General</c:formatCode>
                <c:ptCount val="5"/>
                <c:pt idx="0">
                  <c:v>100</c:v>
                </c:pt>
                <c:pt idx="1">
                  <c:v>107.5732182</c:v>
                </c:pt>
                <c:pt idx="2">
                  <c:v>116.8622438</c:v>
                </c:pt>
                <c:pt idx="3">
                  <c:v>100</c:v>
                </c:pt>
                <c:pt idx="4">
                  <c:v>94.941326880000005</c:v>
                </c:pt>
              </c:numCache>
            </c:numRef>
          </c:val>
          <c:extLst>
            <c:ext xmlns:c16="http://schemas.microsoft.com/office/drawing/2014/chart" uri="{C3380CC4-5D6E-409C-BE32-E72D297353CC}">
              <c16:uniqueId val="{00000000-EC4E-43B6-90B7-CBC29DD82B3C}"/>
            </c:ext>
          </c:extLst>
        </c:ser>
        <c:ser>
          <c:idx val="1"/>
          <c:order val="1"/>
          <c:tx>
            <c:strRef>
              <c:f>稲荷崎!$F$3</c:f>
              <c:strCache>
                <c:ptCount val="1"/>
                <c:pt idx="0">
                  <c:v>宮治ICO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稲荷崎!$G$3:$K$3</c:f>
              <c:numCache>
                <c:formatCode>General</c:formatCode>
                <c:ptCount val="5"/>
                <c:pt idx="0">
                  <c:v>104.2922075</c:v>
                </c:pt>
                <c:pt idx="1">
                  <c:v>100.47332609999999</c:v>
                </c:pt>
                <c:pt idx="2">
                  <c:v>101.1241496</c:v>
                </c:pt>
                <c:pt idx="3">
                  <c:v>100.7494331</c:v>
                </c:pt>
                <c:pt idx="4">
                  <c:v>104.4965983</c:v>
                </c:pt>
              </c:numCache>
            </c:numRef>
          </c:val>
          <c:extLst xmlns:c15="http://schemas.microsoft.com/office/drawing/2012/chart">
            <c:ext xmlns:c16="http://schemas.microsoft.com/office/drawing/2014/chart" uri="{C3380CC4-5D6E-409C-BE32-E72D297353CC}">
              <c16:uniqueId val="{00000000-CDFB-4590-86D7-E2394DA77D65}"/>
            </c:ext>
          </c:extLst>
        </c:ser>
        <c:ser>
          <c:idx val="2"/>
          <c:order val="2"/>
          <c:tx>
            <c:strRef>
              <c:f>稲荷崎!$F$4</c:f>
              <c:strCache>
                <c:ptCount val="1"/>
                <c:pt idx="0">
                  <c:v>角名倫太郎ICO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稲荷崎!$G$4:$K$4</c:f>
              <c:numCache>
                <c:formatCode>General</c:formatCode>
                <c:ptCount val="5"/>
                <c:pt idx="0">
                  <c:v>103.679035</c:v>
                </c:pt>
                <c:pt idx="1">
                  <c:v>99.526673900000006</c:v>
                </c:pt>
                <c:pt idx="2">
                  <c:v>96.627551249999996</c:v>
                </c:pt>
                <c:pt idx="3">
                  <c:v>95.503401670000002</c:v>
                </c:pt>
                <c:pt idx="4">
                  <c:v>104.4965983</c:v>
                </c:pt>
              </c:numCache>
            </c:numRef>
          </c:val>
          <c:extLst xmlns:c15="http://schemas.microsoft.com/office/drawing/2012/chart">
            <c:ext xmlns:c16="http://schemas.microsoft.com/office/drawing/2014/chart" uri="{C3380CC4-5D6E-409C-BE32-E72D297353CC}">
              <c16:uniqueId val="{00000001-CDFB-4590-86D7-E2394DA77D65}"/>
            </c:ext>
          </c:extLst>
        </c:ser>
        <c:ser>
          <c:idx val="3"/>
          <c:order val="3"/>
          <c:tx>
            <c:strRef>
              <c:f>稲荷崎!$F$5</c:f>
              <c:strCache>
                <c:ptCount val="1"/>
                <c:pt idx="0">
                  <c:v>北信介ICO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稲荷崎!$G$5:$K$5</c:f>
              <c:numCache>
                <c:formatCode>General</c:formatCode>
                <c:ptCount val="5"/>
                <c:pt idx="0">
                  <c:v>100.6131725</c:v>
                </c:pt>
                <c:pt idx="1">
                  <c:v>97.160043160000001</c:v>
                </c:pt>
                <c:pt idx="2">
                  <c:v>100</c:v>
                </c:pt>
                <c:pt idx="3">
                  <c:v>103.74716530000001</c:v>
                </c:pt>
                <c:pt idx="4">
                  <c:v>100.5620748</c:v>
                </c:pt>
              </c:numCache>
            </c:numRef>
          </c:val>
          <c:extLst>
            <c:ext xmlns:c16="http://schemas.microsoft.com/office/drawing/2014/chart" uri="{C3380CC4-5D6E-409C-BE32-E72D297353CC}">
              <c16:uniqueId val="{00000002-CDFB-4590-86D7-E2394DA77D65}"/>
            </c:ext>
          </c:extLst>
        </c:ser>
        <c:ser>
          <c:idx val="4"/>
          <c:order val="4"/>
          <c:tx>
            <c:strRef>
              <c:f>稲荷崎!$F$6</c:f>
              <c:strCache>
                <c:ptCount val="1"/>
                <c:pt idx="0">
                  <c:v>尾白アランICO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稲荷崎!$G$6:$K$6</c:f>
              <c:numCache>
                <c:formatCode>General</c:formatCode>
                <c:ptCount val="5"/>
                <c:pt idx="0">
                  <c:v>104.2922075</c:v>
                </c:pt>
                <c:pt idx="1">
                  <c:v>99.526673900000006</c:v>
                </c:pt>
                <c:pt idx="2">
                  <c:v>97.751700830000004</c:v>
                </c:pt>
                <c:pt idx="3">
                  <c:v>94.753968610000001</c:v>
                </c:pt>
                <c:pt idx="4">
                  <c:v>100</c:v>
                </c:pt>
              </c:numCache>
            </c:numRef>
          </c:val>
          <c:extLst xmlns:c15="http://schemas.microsoft.com/office/drawing/2012/chart">
            <c:ext xmlns:c16="http://schemas.microsoft.com/office/drawing/2014/chart" uri="{C3380CC4-5D6E-409C-BE32-E72D297353CC}">
              <c16:uniqueId val="{00000003-CDFB-4590-86D7-E2394DA77D65}"/>
            </c:ext>
          </c:extLst>
        </c:ser>
        <c:ser>
          <c:idx val="5"/>
          <c:order val="5"/>
          <c:tx>
            <c:strRef>
              <c:f>稲荷崎!$F$7</c:f>
              <c:strCache>
                <c:ptCount val="1"/>
                <c:pt idx="0">
                  <c:v>赤木路成ICO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稲荷崎!$G$7:$K$7</c:f>
              <c:numCache>
                <c:formatCode>General</c:formatCode>
                <c:ptCount val="5"/>
                <c:pt idx="0">
                  <c:v>97.547309999999996</c:v>
                </c:pt>
                <c:pt idx="1">
                  <c:v>96.213390880000006</c:v>
                </c:pt>
                <c:pt idx="2">
                  <c:v>101.1241496</c:v>
                </c:pt>
                <c:pt idx="3">
                  <c:v>106.74489749999999</c:v>
                </c:pt>
                <c:pt idx="4">
                  <c:v>94.941326880000005</c:v>
                </c:pt>
              </c:numCache>
            </c:numRef>
          </c:val>
          <c:extLst>
            <c:ext xmlns:c16="http://schemas.microsoft.com/office/drawing/2014/chart" uri="{C3380CC4-5D6E-409C-BE32-E72D297353CC}">
              <c16:uniqueId val="{00000004-CDFB-4590-86D7-E2394DA77D65}"/>
            </c:ext>
          </c:extLst>
        </c:ser>
        <c:ser>
          <c:idx val="6"/>
          <c:order val="6"/>
          <c:tx>
            <c:strRef>
              <c:f>稲荷崎!$F$8</c:f>
              <c:strCache>
                <c:ptCount val="1"/>
                <c:pt idx="0">
                  <c:v>大耳練ICO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稲荷崎!$G$8:$K$8</c:f>
              <c:numCache>
                <c:formatCode>General</c:formatCode>
                <c:ptCount val="5"/>
                <c:pt idx="0">
                  <c:v>96.320965000000001</c:v>
                </c:pt>
                <c:pt idx="1">
                  <c:v>95.266738599999996</c:v>
                </c:pt>
                <c:pt idx="2">
                  <c:v>98.875850420000006</c:v>
                </c:pt>
                <c:pt idx="3">
                  <c:v>96.252834719999996</c:v>
                </c:pt>
                <c:pt idx="4">
                  <c:v>103.9345235</c:v>
                </c:pt>
              </c:numCache>
            </c:numRef>
          </c:val>
          <c:extLst xmlns:c15="http://schemas.microsoft.com/office/drawing/2012/chart">
            <c:ext xmlns:c16="http://schemas.microsoft.com/office/drawing/2014/chart" uri="{C3380CC4-5D6E-409C-BE32-E72D297353CC}">
              <c16:uniqueId val="{00000005-CDFB-4590-86D7-E2394DA77D65}"/>
            </c:ext>
          </c:extLst>
        </c:ser>
        <c:ser>
          <c:idx val="7"/>
          <c:order val="7"/>
          <c:tx>
            <c:strRef>
              <c:f>稲荷崎!$F$9</c:f>
              <c:strCache>
                <c:ptCount val="1"/>
                <c:pt idx="0">
                  <c:v>理石平介ICO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稲荷崎!$G$9:$K$9</c:f>
              <c:numCache>
                <c:formatCode>General</c:formatCode>
                <c:ptCount val="5"/>
                <c:pt idx="0">
                  <c:v>98.160482500000001</c:v>
                </c:pt>
                <c:pt idx="1">
                  <c:v>98.580021579999993</c:v>
                </c:pt>
                <c:pt idx="2">
                  <c:v>96.627551249999996</c:v>
                </c:pt>
                <c:pt idx="3">
                  <c:v>96.252834719999996</c:v>
                </c:pt>
                <c:pt idx="4">
                  <c:v>97.751700830000004</c:v>
                </c:pt>
              </c:numCache>
            </c:numRef>
          </c:val>
          <c:extLst xmlns:c15="http://schemas.microsoft.com/office/drawing/2012/chart">
            <c:ext xmlns:c16="http://schemas.microsoft.com/office/drawing/2014/chart" uri="{C3380CC4-5D6E-409C-BE32-E72D297353CC}">
              <c16:uniqueId val="{00000006-CDFB-4590-86D7-E2394DA77D65}"/>
            </c:ext>
          </c:extLst>
        </c:ser>
        <c:ser>
          <c:idx val="8"/>
          <c:order val="8"/>
          <c:tx>
            <c:strRef>
              <c:f>稲荷崎!$F$10</c:f>
              <c:strCache>
                <c:ptCount val="1"/>
                <c:pt idx="0">
                  <c:v>銀島結ICO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稲荷崎!$G$10:$K$10</c:f>
              <c:numCache>
                <c:formatCode>General</c:formatCode>
                <c:ptCount val="5"/>
                <c:pt idx="0">
                  <c:v>101.22634499999999</c:v>
                </c:pt>
                <c:pt idx="1">
                  <c:v>97.633369299999998</c:v>
                </c:pt>
                <c:pt idx="2">
                  <c:v>97.751700830000004</c:v>
                </c:pt>
                <c:pt idx="3">
                  <c:v>98.501133890000006</c:v>
                </c:pt>
                <c:pt idx="4">
                  <c:v>98.313775629999995</c:v>
                </c:pt>
              </c:numCache>
            </c:numRef>
          </c:val>
          <c:extLst>
            <c:ext xmlns:c16="http://schemas.microsoft.com/office/drawing/2014/chart" uri="{C3380CC4-5D6E-409C-BE32-E72D297353CC}">
              <c16:uniqueId val="{00000007-CDFB-4590-86D7-E2394DA77D65}"/>
            </c:ext>
          </c:extLst>
        </c:ser>
        <c:ser>
          <c:idx val="9"/>
          <c:order val="9"/>
          <c:tx>
            <c:strRef>
              <c:f>稲荷崎!$F$11</c:f>
              <c:strCache>
                <c:ptCount val="1"/>
                <c:pt idx="0">
                  <c:v>Xmas北信介ICO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稲荷崎!$G$11:$K$11</c:f>
              <c:numCache>
                <c:formatCode>General</c:formatCode>
                <c:ptCount val="5"/>
                <c:pt idx="0">
                  <c:v>102.45269</c:v>
                </c:pt>
                <c:pt idx="1">
                  <c:v>99.053347720000005</c:v>
                </c:pt>
                <c:pt idx="2">
                  <c:v>101.1241496</c:v>
                </c:pt>
                <c:pt idx="3">
                  <c:v>105.24603140000001</c:v>
                </c:pt>
                <c:pt idx="4">
                  <c:v>102.810374</c:v>
                </c:pt>
              </c:numCache>
            </c:numRef>
          </c:val>
          <c:extLst xmlns:c15="http://schemas.microsoft.com/office/drawing/2012/chart">
            <c:ext xmlns:c16="http://schemas.microsoft.com/office/drawing/2014/chart" uri="{C3380CC4-5D6E-409C-BE32-E72D297353CC}">
              <c16:uniqueId val="{00000008-CDFB-4590-86D7-E2394DA77D65}"/>
            </c:ext>
          </c:extLst>
        </c:ser>
        <c:ser>
          <c:idx val="10"/>
          <c:order val="10"/>
          <c:tx>
            <c:strRef>
              <c:f>稲荷崎!$F$12</c:f>
              <c:strCache>
                <c:ptCount val="1"/>
                <c:pt idx="0">
                  <c:v>雪遊び尾白アランICO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稲荷崎!$G$12:$K$12</c:f>
              <c:numCache>
                <c:formatCode>General</c:formatCode>
                <c:ptCount val="5"/>
                <c:pt idx="0">
                  <c:v>106.131725</c:v>
                </c:pt>
                <c:pt idx="1">
                  <c:v>101.41997840000001</c:v>
                </c:pt>
                <c:pt idx="2">
                  <c:v>98.875850420000006</c:v>
                </c:pt>
                <c:pt idx="3">
                  <c:v>96.252834719999996</c:v>
                </c:pt>
                <c:pt idx="4">
                  <c:v>102.24829920000001</c:v>
                </c:pt>
              </c:numCache>
            </c:numRef>
          </c:val>
          <c:extLst xmlns:c15="http://schemas.microsoft.com/office/drawing/2012/chart">
            <c:ext xmlns:c16="http://schemas.microsoft.com/office/drawing/2014/chart" uri="{C3380CC4-5D6E-409C-BE32-E72D297353CC}">
              <c16:uniqueId val="{00000009-CDFB-4590-86D7-E2394DA77D65}"/>
            </c:ext>
          </c:extLst>
        </c:ser>
        <c:ser>
          <c:idx val="11"/>
          <c:order val="11"/>
          <c:tx>
            <c:strRef>
              <c:f>稲荷崎!$F$13</c:f>
              <c:strCache>
                <c:ptCount val="1"/>
                <c:pt idx="0">
                  <c:v>サバゲ角名倫太郎ICO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稲荷崎!$G$13:$K$13</c:f>
              <c:numCache>
                <c:formatCode>General</c:formatCode>
                <c:ptCount val="5"/>
                <c:pt idx="0">
                  <c:v>105.5185525</c:v>
                </c:pt>
                <c:pt idx="1">
                  <c:v>100.47332609999999</c:v>
                </c:pt>
                <c:pt idx="2">
                  <c:v>97.751700830000004</c:v>
                </c:pt>
                <c:pt idx="3">
                  <c:v>97.002267779999997</c:v>
                </c:pt>
                <c:pt idx="4">
                  <c:v>107.8690471</c:v>
                </c:pt>
              </c:numCache>
            </c:numRef>
          </c:val>
          <c:extLst xmlns:c15="http://schemas.microsoft.com/office/drawing/2012/chart">
            <c:ext xmlns:c16="http://schemas.microsoft.com/office/drawing/2014/chart" uri="{C3380CC4-5D6E-409C-BE32-E72D297353CC}">
              <c16:uniqueId val="{0000000A-CDFB-4590-86D7-E2394DA77D65}"/>
            </c:ext>
          </c:extLst>
        </c:ser>
        <c:ser>
          <c:idx val="12"/>
          <c:order val="12"/>
          <c:tx>
            <c:strRef>
              <c:f>稲荷崎!$F$14</c:f>
              <c:strCache>
                <c:ptCount val="1"/>
                <c:pt idx="0">
                  <c:v>RPG宮侑ICO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稲荷崎!$G$14:$K$14</c:f>
              <c:numCache>
                <c:formatCode>General</c:formatCode>
                <c:ptCount val="5"/>
                <c:pt idx="0">
                  <c:v>99.386827499999995</c:v>
                </c:pt>
                <c:pt idx="1">
                  <c:v>111.83315349999999</c:v>
                </c:pt>
                <c:pt idx="2">
                  <c:v>119.1105429</c:v>
                </c:pt>
                <c:pt idx="3">
                  <c:v>103.74716530000001</c:v>
                </c:pt>
                <c:pt idx="4">
                  <c:v>94.379252080000001</c:v>
                </c:pt>
              </c:numCache>
            </c:numRef>
          </c:val>
          <c:extLst xmlns:c15="http://schemas.microsoft.com/office/drawing/2012/chart">
            <c:ext xmlns:c16="http://schemas.microsoft.com/office/drawing/2014/chart" uri="{C3380CC4-5D6E-409C-BE32-E72D297353CC}">
              <c16:uniqueId val="{0000000B-CDFB-4590-86D7-E2394DA77D65}"/>
            </c:ext>
          </c:extLst>
        </c:ser>
        <c:ser>
          <c:idx val="13"/>
          <c:order val="13"/>
          <c:tx>
            <c:strRef>
              <c:f>稲荷崎!$F$15</c:f>
              <c:strCache>
                <c:ptCount val="1"/>
                <c:pt idx="0">
                  <c:v>RPG宮治ICO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稲荷崎!$G$15:$K$15</c:f>
              <c:numCache>
                <c:formatCode>General</c:formatCode>
                <c:ptCount val="5"/>
                <c:pt idx="0">
                  <c:v>106.131725</c:v>
                </c:pt>
                <c:pt idx="1">
                  <c:v>102.3666307</c:v>
                </c:pt>
                <c:pt idx="2">
                  <c:v>102.24829920000001</c:v>
                </c:pt>
                <c:pt idx="3">
                  <c:v>102.24829920000001</c:v>
                </c:pt>
                <c:pt idx="4">
                  <c:v>106.74489749999999</c:v>
                </c:pt>
              </c:numCache>
            </c:numRef>
          </c:val>
          <c:extLst xmlns:c15="http://schemas.microsoft.com/office/drawing/2012/chart">
            <c:ext xmlns:c16="http://schemas.microsoft.com/office/drawing/2014/chart" uri="{C3380CC4-5D6E-409C-BE32-E72D297353CC}">
              <c16:uniqueId val="{0000000C-CDFB-4590-86D7-E2394DA77D65}"/>
            </c:ext>
          </c:extLst>
        </c:ser>
        <c:ser>
          <c:idx val="14"/>
          <c:order val="14"/>
          <c:tx>
            <c:strRef>
              <c:f>稲荷崎!$F$16</c:f>
              <c:strCache>
                <c:ptCount val="1"/>
                <c:pt idx="0">
                  <c:v>制服宮侑ICO</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稲荷崎!$G$16:$K$16</c:f>
              <c:numCache>
                <c:formatCode>General</c:formatCode>
                <c:ptCount val="5"/>
                <c:pt idx="0">
                  <c:v>101.8395175</c:v>
                </c:pt>
                <c:pt idx="1">
                  <c:v>113.7264581</c:v>
                </c:pt>
                <c:pt idx="2">
                  <c:v>125.85544040000001</c:v>
                </c:pt>
                <c:pt idx="3">
                  <c:v>104.4965983</c:v>
                </c:pt>
                <c:pt idx="4">
                  <c:v>97.189626039999993</c:v>
                </c:pt>
              </c:numCache>
            </c:numRef>
          </c:val>
          <c:extLst xmlns:c15="http://schemas.microsoft.com/office/drawing/2012/chart">
            <c:ext xmlns:c16="http://schemas.microsoft.com/office/drawing/2014/chart" uri="{C3380CC4-5D6E-409C-BE32-E72D297353CC}">
              <c16:uniqueId val="{0000000D-CDFB-4590-86D7-E2394DA77D65}"/>
            </c:ext>
          </c:extLst>
        </c:ser>
        <c:ser>
          <c:idx val="15"/>
          <c:order val="15"/>
          <c:tx>
            <c:strRef>
              <c:f>稲荷崎!$F$17</c:f>
              <c:strCache>
                <c:ptCount val="1"/>
                <c:pt idx="0">
                  <c:v>制服宮治ICO</c:v>
                </c:pt>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稲荷崎!$G$17:$K$17</c:f>
              <c:numCache>
                <c:formatCode>General</c:formatCode>
                <c:ptCount val="5"/>
                <c:pt idx="0">
                  <c:v>106.74489749999999</c:v>
                </c:pt>
                <c:pt idx="1">
                  <c:v>105.6799137</c:v>
                </c:pt>
                <c:pt idx="2">
                  <c:v>102.24829920000001</c:v>
                </c:pt>
                <c:pt idx="3">
                  <c:v>105.9954644</c:v>
                </c:pt>
                <c:pt idx="4">
                  <c:v>107.3069723</c:v>
                </c:pt>
              </c:numCache>
            </c:numRef>
          </c:val>
          <c:extLst xmlns:c15="http://schemas.microsoft.com/office/drawing/2012/chart">
            <c:ext xmlns:c16="http://schemas.microsoft.com/office/drawing/2014/chart" uri="{C3380CC4-5D6E-409C-BE32-E72D297353CC}">
              <c16:uniqueId val="{0000000E-CDFB-4590-86D7-E2394DA77D65}"/>
            </c:ext>
          </c:extLst>
        </c:ser>
        <c:ser>
          <c:idx val="16"/>
          <c:order val="16"/>
          <c:tx>
            <c:strRef>
              <c:f>稲荷崎!$F$18</c:f>
              <c:strCache>
                <c:ptCount val="1"/>
                <c:pt idx="0">
                  <c:v>制服角名倫太郎ICO</c:v>
                </c:pt>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稲荷崎!$G$18:$K$18</c:f>
              <c:numCache>
                <c:formatCode>General</c:formatCode>
                <c:ptCount val="5"/>
                <c:pt idx="0">
                  <c:v>106.131725</c:v>
                </c:pt>
                <c:pt idx="1">
                  <c:v>103.313283</c:v>
                </c:pt>
                <c:pt idx="2">
                  <c:v>97.751700830000004</c:v>
                </c:pt>
                <c:pt idx="3">
                  <c:v>100</c:v>
                </c:pt>
                <c:pt idx="4">
                  <c:v>108.43112189999999</c:v>
                </c:pt>
              </c:numCache>
            </c:numRef>
          </c:val>
          <c:extLst xmlns:c15="http://schemas.microsoft.com/office/drawing/2012/chart">
            <c:ext xmlns:c16="http://schemas.microsoft.com/office/drawing/2014/chart" uri="{C3380CC4-5D6E-409C-BE32-E72D297353CC}">
              <c16:uniqueId val="{00000000-0E19-4ABC-A370-83869D445B87}"/>
            </c:ext>
          </c:extLst>
        </c:ser>
        <c:ser>
          <c:idx val="17"/>
          <c:order val="17"/>
          <c:tx>
            <c:strRef>
              <c:f>稲荷崎!$F$19</c:f>
              <c:strCache>
                <c:ptCount val="1"/>
                <c:pt idx="0">
                  <c:v>制服北信介ICO</c:v>
                </c:pt>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稲荷崎!$G$19:$K$19</c:f>
              <c:numCache>
                <c:formatCode>General</c:formatCode>
                <c:ptCount val="5"/>
                <c:pt idx="0">
                  <c:v>103.06586249999999</c:v>
                </c:pt>
                <c:pt idx="1">
                  <c:v>101.89330459999999</c:v>
                </c:pt>
                <c:pt idx="2">
                  <c:v>101.1241496</c:v>
                </c:pt>
                <c:pt idx="3">
                  <c:v>108.24376359999999</c:v>
                </c:pt>
                <c:pt idx="4">
                  <c:v>103.3724488</c:v>
                </c:pt>
              </c:numCache>
            </c:numRef>
          </c:val>
          <c:extLst>
            <c:ext xmlns:c16="http://schemas.microsoft.com/office/drawing/2014/chart" uri="{C3380CC4-5D6E-409C-BE32-E72D297353CC}">
              <c16:uniqueId val="{00000000-75E0-4AA8-9AB8-A3D2123A067B}"/>
            </c:ext>
          </c:extLst>
        </c:ser>
        <c:ser>
          <c:idx val="18"/>
          <c:order val="18"/>
          <c:tx>
            <c:strRef>
              <c:f>稲荷崎!$F$20</c:f>
              <c:strCache>
                <c:ptCount val="1"/>
                <c:pt idx="0">
                  <c:v>花火角名倫太郎ICO</c:v>
                </c:pt>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稲荷崎!$G$20:$K$20</c:f>
              <c:numCache>
                <c:formatCode>General</c:formatCode>
                <c:ptCount val="5"/>
                <c:pt idx="0">
                  <c:v>106.74489749999999</c:v>
                </c:pt>
                <c:pt idx="1">
                  <c:v>98.580021579999993</c:v>
                </c:pt>
                <c:pt idx="2">
                  <c:v>95.503401670000002</c:v>
                </c:pt>
                <c:pt idx="3">
                  <c:v>97.002267779999997</c:v>
                </c:pt>
                <c:pt idx="4">
                  <c:v>110.679421</c:v>
                </c:pt>
              </c:numCache>
            </c:numRef>
          </c:val>
          <c:extLst>
            <c:ext xmlns:c16="http://schemas.microsoft.com/office/drawing/2014/chart" uri="{C3380CC4-5D6E-409C-BE32-E72D297353CC}">
              <c16:uniqueId val="{00000001-75E0-4AA8-9AB8-A3D2123A067B}"/>
            </c:ext>
          </c:extLst>
        </c:ser>
        <c:ser>
          <c:idx val="19"/>
          <c:order val="19"/>
          <c:tx>
            <c:strRef>
              <c:f>稲荷崎!$F$21</c:f>
              <c:strCache>
                <c:ptCount val="1"/>
                <c:pt idx="0">
                  <c:v>スパイ北信介ICO</c:v>
                </c:pt>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稲荷崎!$G$21:$K$21</c:f>
              <c:numCache>
                <c:formatCode>General</c:formatCode>
                <c:ptCount val="5"/>
                <c:pt idx="0">
                  <c:v>102.45269</c:v>
                </c:pt>
                <c:pt idx="1">
                  <c:v>101.41997840000001</c:v>
                </c:pt>
                <c:pt idx="2">
                  <c:v>98.875850420000006</c:v>
                </c:pt>
                <c:pt idx="3">
                  <c:v>106.74489749999999</c:v>
                </c:pt>
                <c:pt idx="4">
                  <c:v>100.5620748</c:v>
                </c:pt>
              </c:numCache>
            </c:numRef>
          </c:val>
          <c:extLst>
            <c:ext xmlns:c16="http://schemas.microsoft.com/office/drawing/2014/chart" uri="{C3380CC4-5D6E-409C-BE32-E72D297353CC}">
              <c16:uniqueId val="{00000002-75E0-4AA8-9AB8-A3D2123A067B}"/>
            </c:ext>
          </c:extLst>
        </c:ser>
        <c:ser>
          <c:idx val="20"/>
          <c:order val="20"/>
          <c:tx>
            <c:strRef>
              <c:f>稲荷崎!$F$22</c:f>
              <c:strCache>
                <c:ptCount val="1"/>
                <c:pt idx="0">
                  <c:v>カンフー宮侑ICO</c:v>
                </c:pt>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稲荷崎!$G$22:$K$22</c:f>
              <c:numCache>
                <c:formatCode>General</c:formatCode>
                <c:ptCount val="5"/>
                <c:pt idx="0">
                  <c:v>101.8395175</c:v>
                </c:pt>
                <c:pt idx="1">
                  <c:v>108.5198705</c:v>
                </c:pt>
                <c:pt idx="2">
                  <c:v>117.9863933</c:v>
                </c:pt>
                <c:pt idx="3">
                  <c:v>102.24829920000001</c:v>
                </c:pt>
                <c:pt idx="4">
                  <c:v>98.875850420000006</c:v>
                </c:pt>
              </c:numCache>
            </c:numRef>
          </c:val>
          <c:extLst>
            <c:ext xmlns:c16="http://schemas.microsoft.com/office/drawing/2014/chart" uri="{C3380CC4-5D6E-409C-BE32-E72D297353CC}">
              <c16:uniqueId val="{00000003-75E0-4AA8-9AB8-A3D2123A067B}"/>
            </c:ext>
          </c:extLst>
        </c:ser>
        <c:ser>
          <c:idx val="21"/>
          <c:order val="21"/>
          <c:tx>
            <c:strRef>
              <c:f>稲荷崎!$F$23</c:f>
              <c:strCache>
                <c:ptCount val="1"/>
                <c:pt idx="0">
                  <c:v>カンフー宮治ICO</c:v>
                </c:pt>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稲荷崎!$G$23:$K$23</c:f>
              <c:numCache>
                <c:formatCode>General</c:formatCode>
                <c:ptCount val="5"/>
                <c:pt idx="0">
                  <c:v>106.74489749999999</c:v>
                </c:pt>
                <c:pt idx="1">
                  <c:v>100.47332609999999</c:v>
                </c:pt>
                <c:pt idx="2">
                  <c:v>105.6207479</c:v>
                </c:pt>
                <c:pt idx="3">
                  <c:v>105.24603140000001</c:v>
                </c:pt>
                <c:pt idx="4">
                  <c:v>105.6207479</c:v>
                </c:pt>
              </c:numCache>
            </c:numRef>
          </c:val>
          <c:extLst>
            <c:ext xmlns:c16="http://schemas.microsoft.com/office/drawing/2014/chart" uri="{C3380CC4-5D6E-409C-BE32-E72D297353CC}">
              <c16:uniqueId val="{00000004-75E0-4AA8-9AB8-A3D2123A067B}"/>
            </c:ext>
          </c:extLst>
        </c:ser>
        <c:ser>
          <c:idx val="22"/>
          <c:order val="22"/>
          <c:tx>
            <c:strRef>
              <c:f>稲荷崎!$F$24</c:f>
              <c:strCache>
                <c:ptCount val="1"/>
                <c:pt idx="0">
                  <c:v>Xmas2赤木路成ICO</c:v>
                </c:pt>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稲荷崎!$G$24:$K$24</c:f>
              <c:numCache>
                <c:formatCode>General</c:formatCode>
                <c:ptCount val="5"/>
                <c:pt idx="0">
                  <c:v>98.160482500000001</c:v>
                </c:pt>
                <c:pt idx="1">
                  <c:v>97.160043160000001</c:v>
                </c:pt>
                <c:pt idx="2">
                  <c:v>104.4965983</c:v>
                </c:pt>
                <c:pt idx="3">
                  <c:v>111.2414958</c:v>
                </c:pt>
                <c:pt idx="4">
                  <c:v>96.065476459999999</c:v>
                </c:pt>
              </c:numCache>
            </c:numRef>
          </c:val>
          <c:extLst>
            <c:ext xmlns:c16="http://schemas.microsoft.com/office/drawing/2014/chart" uri="{C3380CC4-5D6E-409C-BE32-E72D297353CC}">
              <c16:uniqueId val="{00000005-75E0-4AA8-9AB8-A3D2123A067B}"/>
            </c:ext>
          </c:extLst>
        </c:ser>
        <c:ser>
          <c:idx val="23"/>
          <c:order val="23"/>
          <c:tx>
            <c:strRef>
              <c:f>稲荷崎!$F$25</c:f>
              <c:strCache>
                <c:ptCount val="1"/>
                <c:pt idx="0">
                  <c:v>Xmas2銀島結ICO</c:v>
                </c:pt>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稲荷崎!$G$25:$K$25</c:f>
              <c:numCache>
                <c:formatCode>General</c:formatCode>
                <c:ptCount val="5"/>
                <c:pt idx="0">
                  <c:v>103.06586249999999</c:v>
                </c:pt>
                <c:pt idx="1">
                  <c:v>99.526673900000006</c:v>
                </c:pt>
                <c:pt idx="2">
                  <c:v>98.875850420000006</c:v>
                </c:pt>
                <c:pt idx="3">
                  <c:v>100</c:v>
                </c:pt>
                <c:pt idx="4">
                  <c:v>100.5620748</c:v>
                </c:pt>
              </c:numCache>
            </c:numRef>
          </c:val>
          <c:extLst>
            <c:ext xmlns:c16="http://schemas.microsoft.com/office/drawing/2014/chart" uri="{C3380CC4-5D6E-409C-BE32-E72D297353CC}">
              <c16:uniqueId val="{00000006-75E0-4AA8-9AB8-A3D2123A067B}"/>
            </c:ext>
          </c:extLst>
        </c:ser>
        <c:ser>
          <c:idx val="24"/>
          <c:order val="24"/>
          <c:tx>
            <c:strRef>
              <c:f>稲荷崎!$F$26</c:f>
              <c:strCache>
                <c:ptCount val="1"/>
                <c:pt idx="0">
                  <c:v>新年2宮侑ICO</c:v>
                </c:pt>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稲荷崎!$G$26:$K$26</c:f>
              <c:numCache>
                <c:formatCode>General</c:formatCode>
                <c:ptCount val="5"/>
                <c:pt idx="0">
                  <c:v>101.22634499999999</c:v>
                </c:pt>
                <c:pt idx="1">
                  <c:v>112.3064796</c:v>
                </c:pt>
                <c:pt idx="2">
                  <c:v>123.60714129999999</c:v>
                </c:pt>
                <c:pt idx="3">
                  <c:v>102.9977322</c:v>
                </c:pt>
                <c:pt idx="4">
                  <c:v>96.065476459999999</c:v>
                </c:pt>
              </c:numCache>
            </c:numRef>
          </c:val>
          <c:extLst>
            <c:ext xmlns:c16="http://schemas.microsoft.com/office/drawing/2014/chart" uri="{C3380CC4-5D6E-409C-BE32-E72D297353CC}">
              <c16:uniqueId val="{00000007-75E0-4AA8-9AB8-A3D2123A067B}"/>
            </c:ext>
          </c:extLst>
        </c:ser>
        <c:ser>
          <c:idx val="25"/>
          <c:order val="25"/>
          <c:tx>
            <c:strRef>
              <c:f>稲荷崎!$F$27</c:f>
              <c:strCache>
                <c:ptCount val="1"/>
                <c:pt idx="0">
                  <c:v>新年2北信介ICO</c:v>
                </c:pt>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稲荷崎!$G$27:$K$27</c:f>
              <c:numCache>
                <c:formatCode>General</c:formatCode>
                <c:ptCount val="5"/>
                <c:pt idx="0">
                  <c:v>104.2922075</c:v>
                </c:pt>
                <c:pt idx="1">
                  <c:v>97.160043160000001</c:v>
                </c:pt>
                <c:pt idx="2">
                  <c:v>100</c:v>
                </c:pt>
                <c:pt idx="3">
                  <c:v>108.24376359999999</c:v>
                </c:pt>
                <c:pt idx="4">
                  <c:v>102.810374</c:v>
                </c:pt>
              </c:numCache>
            </c:numRef>
          </c:val>
          <c:extLst>
            <c:ext xmlns:c16="http://schemas.microsoft.com/office/drawing/2014/chart" uri="{C3380CC4-5D6E-409C-BE32-E72D297353CC}">
              <c16:uniqueId val="{00000008-75E0-4AA8-9AB8-A3D2123A067B}"/>
            </c:ext>
          </c:extLst>
        </c:ser>
        <c:ser>
          <c:idx val="26"/>
          <c:order val="26"/>
          <c:tx>
            <c:strRef>
              <c:f>稲荷崎!$F$28</c:f>
              <c:strCache>
                <c:ptCount val="1"/>
                <c:pt idx="0">
                  <c:v>路地裏2角名倫太郎ICO</c:v>
                </c:pt>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稲荷崎!$G$28:$K$28</c:f>
              <c:numCache>
                <c:formatCode>General</c:formatCode>
                <c:ptCount val="5"/>
                <c:pt idx="0">
                  <c:v>107.35807</c:v>
                </c:pt>
                <c:pt idx="1">
                  <c:v>102.8399568</c:v>
                </c:pt>
                <c:pt idx="2">
                  <c:v>97.751700830000004</c:v>
                </c:pt>
                <c:pt idx="3">
                  <c:v>94.004535559999994</c:v>
                </c:pt>
                <c:pt idx="4">
                  <c:v>106.74489749999999</c:v>
                </c:pt>
              </c:numCache>
            </c:numRef>
          </c:val>
          <c:extLst>
            <c:ext xmlns:c16="http://schemas.microsoft.com/office/drawing/2014/chart" uri="{C3380CC4-5D6E-409C-BE32-E72D297353CC}">
              <c16:uniqueId val="{00000009-75E0-4AA8-9AB8-A3D2123A067B}"/>
            </c:ext>
          </c:extLst>
        </c:ser>
        <c:ser>
          <c:idx val="27"/>
          <c:order val="27"/>
          <c:tx>
            <c:strRef>
              <c:f>稲荷崎!$F$29</c:f>
              <c:strCache>
                <c:ptCount val="1"/>
                <c:pt idx="0">
                  <c:v>遊園地宮治ICO</c:v>
                </c:pt>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稲荷崎!$G$29:$K$29</c:f>
              <c:numCache>
                <c:formatCode>General</c:formatCode>
                <c:ptCount val="5"/>
                <c:pt idx="0">
                  <c:v>107.9712425</c:v>
                </c:pt>
                <c:pt idx="1">
                  <c:v>100.47332609999999</c:v>
                </c:pt>
                <c:pt idx="2">
                  <c:v>101.1241496</c:v>
                </c:pt>
                <c:pt idx="3">
                  <c:v>102.9977322</c:v>
                </c:pt>
                <c:pt idx="4">
                  <c:v>108.9931967</c:v>
                </c:pt>
              </c:numCache>
            </c:numRef>
          </c:val>
          <c:extLst>
            <c:ext xmlns:c16="http://schemas.microsoft.com/office/drawing/2014/chart" uri="{C3380CC4-5D6E-409C-BE32-E72D297353CC}">
              <c16:uniqueId val="{0000000A-75E0-4AA8-9AB8-A3D2123A067B}"/>
            </c:ext>
          </c:extLst>
        </c:ser>
        <c:ser>
          <c:idx val="28"/>
          <c:order val="28"/>
          <c:tx>
            <c:strRef>
              <c:f>稲荷崎!$F$30</c:f>
              <c:strCache>
                <c:ptCount val="1"/>
                <c:pt idx="0">
                  <c:v>職業体験2北信介ICO</c:v>
                </c:pt>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稲荷崎!$G$30:$K$30</c:f>
              <c:numCache>
                <c:formatCode>General</c:formatCode>
                <c:ptCount val="5"/>
                <c:pt idx="0">
                  <c:v>104.2922075</c:v>
                </c:pt>
                <c:pt idx="1">
                  <c:v>99.053347720000005</c:v>
                </c:pt>
                <c:pt idx="2">
                  <c:v>102.24829920000001</c:v>
                </c:pt>
                <c:pt idx="3">
                  <c:v>106.74489749999999</c:v>
                </c:pt>
                <c:pt idx="4">
                  <c:v>105.05867309999999</c:v>
                </c:pt>
              </c:numCache>
            </c:numRef>
          </c:val>
          <c:extLst>
            <c:ext xmlns:c16="http://schemas.microsoft.com/office/drawing/2014/chart" uri="{C3380CC4-5D6E-409C-BE32-E72D297353CC}">
              <c16:uniqueId val="{0000000B-75E0-4AA8-9AB8-A3D2123A067B}"/>
            </c:ext>
          </c:extLst>
        </c:ser>
        <c:ser>
          <c:idx val="29"/>
          <c:order val="29"/>
          <c:tx>
            <c:strRef>
              <c:f>稲荷崎!$F$31</c:f>
              <c:strCache>
                <c:ptCount val="1"/>
                <c:pt idx="0">
                  <c:v>サバゲ2宮侑ICO</c:v>
                </c:pt>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稲荷崎!$G$31:$K$31</c:f>
              <c:numCache>
                <c:formatCode>General</c:formatCode>
                <c:ptCount val="5"/>
                <c:pt idx="0">
                  <c:v>101.22634499999999</c:v>
                </c:pt>
                <c:pt idx="1">
                  <c:v>113.2531319</c:v>
                </c:pt>
                <c:pt idx="2">
                  <c:v>120.23469249999999</c:v>
                </c:pt>
                <c:pt idx="3">
                  <c:v>103.74716530000001</c:v>
                </c:pt>
                <c:pt idx="4">
                  <c:v>96.627551249999996</c:v>
                </c:pt>
              </c:numCache>
            </c:numRef>
          </c:val>
          <c:extLst>
            <c:ext xmlns:c16="http://schemas.microsoft.com/office/drawing/2014/chart" uri="{C3380CC4-5D6E-409C-BE32-E72D297353CC}">
              <c16:uniqueId val="{0000000C-75E0-4AA8-9AB8-A3D2123A067B}"/>
            </c:ext>
          </c:extLst>
        </c:ser>
        <c:ser>
          <c:idx val="30"/>
          <c:order val="30"/>
          <c:tx>
            <c:strRef>
              <c:f>稲荷崎!$F$32</c:f>
              <c:strCache>
                <c:ptCount val="1"/>
                <c:pt idx="0">
                  <c:v>水着2角名倫太郎ICO</c:v>
                </c:pt>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稲荷崎!$G$32:$K$32</c:f>
              <c:numCache>
                <c:formatCode>General</c:formatCode>
                <c:ptCount val="5"/>
                <c:pt idx="0">
                  <c:v>106.74489749999999</c:v>
                </c:pt>
                <c:pt idx="1">
                  <c:v>100.47332609999999</c:v>
                </c:pt>
                <c:pt idx="2">
                  <c:v>98.875850420000006</c:v>
                </c:pt>
                <c:pt idx="3">
                  <c:v>98.501133890000006</c:v>
                </c:pt>
                <c:pt idx="4">
                  <c:v>110.679421</c:v>
                </c:pt>
              </c:numCache>
            </c:numRef>
          </c:val>
          <c:extLst>
            <c:ext xmlns:c16="http://schemas.microsoft.com/office/drawing/2014/chart" uri="{C3380CC4-5D6E-409C-BE32-E72D297353CC}">
              <c16:uniqueId val="{00000000-6841-4C3F-A149-96772328B9E5}"/>
            </c:ext>
          </c:extLst>
        </c:ser>
        <c:ser>
          <c:idx val="31"/>
          <c:order val="31"/>
          <c:tx>
            <c:strRef>
              <c:f>稲荷崎!$F$33</c:f>
              <c:strCache>
                <c:ptCount val="1"/>
                <c:pt idx="0">
                  <c:v>夏祭り2宮治ICO</c:v>
                </c:pt>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稲荷崎!$G$33:$K$33</c:f>
              <c:numCache>
                <c:formatCode>General</c:formatCode>
                <c:ptCount val="5"/>
                <c:pt idx="0">
                  <c:v>108.58441500000001</c:v>
                </c:pt>
                <c:pt idx="1">
                  <c:v>102.8399568</c:v>
                </c:pt>
                <c:pt idx="2">
                  <c:v>102.24829920000001</c:v>
                </c:pt>
                <c:pt idx="3">
                  <c:v>105.24603140000001</c:v>
                </c:pt>
                <c:pt idx="4">
                  <c:v>108.43112189999999</c:v>
                </c:pt>
              </c:numCache>
            </c:numRef>
          </c:val>
          <c:extLst>
            <c:ext xmlns:c16="http://schemas.microsoft.com/office/drawing/2014/chart" uri="{C3380CC4-5D6E-409C-BE32-E72D297353CC}">
              <c16:uniqueId val="{00000000-A1B5-47D4-B4B6-7FFF7416F0F0}"/>
            </c:ext>
          </c:extLst>
        </c:ser>
        <c:ser>
          <c:idx val="32"/>
          <c:order val="32"/>
          <c:tx>
            <c:strRef>
              <c:f>稲荷崎!$F$34</c:f>
              <c:strCache>
                <c:ptCount val="1"/>
                <c:pt idx="0">
                  <c:v>夏祭り2尾白アランICO</c:v>
                </c:pt>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稲荷崎!$G$34:$K$34</c:f>
              <c:numCache>
                <c:formatCode>General</c:formatCode>
                <c:ptCount val="5"/>
                <c:pt idx="0">
                  <c:v>106.131725</c:v>
                </c:pt>
                <c:pt idx="1">
                  <c:v>103.78660910000001</c:v>
                </c:pt>
                <c:pt idx="2">
                  <c:v>96.627551249999996</c:v>
                </c:pt>
                <c:pt idx="3">
                  <c:v>97.751700830000004</c:v>
                </c:pt>
                <c:pt idx="4">
                  <c:v>100</c:v>
                </c:pt>
              </c:numCache>
            </c:numRef>
          </c:val>
          <c:extLst>
            <c:ext xmlns:c16="http://schemas.microsoft.com/office/drawing/2014/chart" uri="{C3380CC4-5D6E-409C-BE32-E72D297353CC}">
              <c16:uniqueId val="{00000000-5784-444E-AFD1-D4239379D90F}"/>
            </c:ext>
          </c:extLst>
        </c:ser>
        <c:ser>
          <c:idx val="33"/>
          <c:order val="33"/>
          <c:tx>
            <c:strRef>
              <c:f>稲荷崎!$F$35</c:f>
              <c:strCache>
                <c:ptCount val="1"/>
                <c:pt idx="0">
                  <c:v>寝正月角名倫太郎ICO</c:v>
                </c:pt>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稲荷崎!$G$35:$K$35</c:f>
              <c:numCache>
                <c:formatCode>General</c:formatCode>
                <c:ptCount val="5"/>
                <c:pt idx="0">
                  <c:v>107.35807</c:v>
                </c:pt>
                <c:pt idx="1">
                  <c:v>101.41997840000001</c:v>
                </c:pt>
                <c:pt idx="2">
                  <c:v>100</c:v>
                </c:pt>
                <c:pt idx="3">
                  <c:v>100</c:v>
                </c:pt>
                <c:pt idx="4">
                  <c:v>112.9277202</c:v>
                </c:pt>
              </c:numCache>
            </c:numRef>
          </c:val>
          <c:extLst>
            <c:ext xmlns:c16="http://schemas.microsoft.com/office/drawing/2014/chart" uri="{C3380CC4-5D6E-409C-BE32-E72D297353CC}">
              <c16:uniqueId val="{00000001-5784-444E-AFD1-D4239379D90F}"/>
            </c:ext>
          </c:extLst>
        </c:ser>
        <c:ser>
          <c:idx val="34"/>
          <c:order val="34"/>
          <c:tx>
            <c:strRef>
              <c:f>稲荷崎!$F$36</c:f>
              <c:strCache>
                <c:ptCount val="1"/>
                <c:pt idx="0">
                  <c:v>和装体験北信介ICO</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稲荷崎!$G$36:$K$36</c:f>
              <c:numCache>
                <c:formatCode>General</c:formatCode>
                <c:ptCount val="5"/>
                <c:pt idx="0">
                  <c:v>105.5185525</c:v>
                </c:pt>
                <c:pt idx="1">
                  <c:v>100</c:v>
                </c:pt>
                <c:pt idx="2">
                  <c:v>103.3724488</c:v>
                </c:pt>
                <c:pt idx="3">
                  <c:v>108.24376359999999</c:v>
                </c:pt>
                <c:pt idx="4">
                  <c:v>106.74489749999999</c:v>
                </c:pt>
              </c:numCache>
            </c:numRef>
          </c:val>
          <c:extLst>
            <c:ext xmlns:c16="http://schemas.microsoft.com/office/drawing/2014/chart" uri="{C3380CC4-5D6E-409C-BE32-E72D297353CC}">
              <c16:uniqueId val="{00000000-630E-4F33-8F89-E397E2A9C2F8}"/>
            </c:ext>
          </c:extLst>
        </c:ser>
        <c:ser>
          <c:idx val="35"/>
          <c:order val="35"/>
          <c:tx>
            <c:strRef>
              <c:f>稲荷崎!$F$37</c:f>
              <c:strCache>
                <c:ptCount val="1"/>
                <c:pt idx="0">
                  <c:v>和装体験大耳練ICO</c:v>
                </c:pt>
              </c:strCache>
            </c:strRef>
          </c:tx>
          <c:spPr>
            <a:ln w="28575" cap="rnd">
              <a:solidFill>
                <a:schemeClr val="accent6">
                  <a:lumMod val="50000"/>
                </a:schemeClr>
              </a:solidFill>
              <a:round/>
            </a:ln>
            <a:effectLst/>
          </c:spPr>
          <c:marker>
            <c:symbol val="circle"/>
            <c:size val="5"/>
            <c:spPr>
              <a:solidFill>
                <a:schemeClr val="accent6">
                  <a:lumMod val="50000"/>
                </a:schemeClr>
              </a:solidFill>
              <a:ln w="9525">
                <a:solidFill>
                  <a:schemeClr val="accent6">
                    <a:lumMod val="5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稲荷崎!$G$37:$K$37</c:f>
              <c:numCache>
                <c:formatCode>General</c:formatCode>
                <c:ptCount val="5"/>
                <c:pt idx="0">
                  <c:v>98.160482500000001</c:v>
                </c:pt>
                <c:pt idx="1">
                  <c:v>96.213390880000006</c:v>
                </c:pt>
                <c:pt idx="2">
                  <c:v>100</c:v>
                </c:pt>
                <c:pt idx="3">
                  <c:v>97.751700830000004</c:v>
                </c:pt>
                <c:pt idx="4">
                  <c:v>107.3069723</c:v>
                </c:pt>
              </c:numCache>
            </c:numRef>
          </c:val>
          <c:extLst>
            <c:ext xmlns:c16="http://schemas.microsoft.com/office/drawing/2014/chart" uri="{C3380CC4-5D6E-409C-BE32-E72D297353CC}">
              <c16:uniqueId val="{00000000-0CD5-4DCA-9079-485CF021BAAE}"/>
            </c:ext>
          </c:extLst>
        </c:ser>
        <c:ser>
          <c:idx val="36"/>
          <c:order val="36"/>
          <c:tx>
            <c:strRef>
              <c:f>稲荷崎!$F$38</c:f>
              <c:strCache>
                <c:ptCount val="1"/>
                <c:pt idx="0">
                  <c:v>3周年宮侑ICO</c:v>
                </c:pt>
              </c:strCache>
            </c:strRef>
          </c:tx>
          <c:spPr>
            <a:ln w="28575" cap="rnd">
              <a:solidFill>
                <a:schemeClr val="accent1">
                  <a:lumMod val="70000"/>
                  <a:lumOff val="30000"/>
                </a:schemeClr>
              </a:solid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稲荷崎!$G$38:$K$38</c:f>
              <c:numCache>
                <c:formatCode>General</c:formatCode>
                <c:ptCount val="5"/>
                <c:pt idx="0">
                  <c:v>102.45269</c:v>
                </c:pt>
                <c:pt idx="1">
                  <c:v>115.14643649999999</c:v>
                </c:pt>
                <c:pt idx="2">
                  <c:v>128.10373960000001</c:v>
                </c:pt>
                <c:pt idx="3">
                  <c:v>105.9954644</c:v>
                </c:pt>
                <c:pt idx="4">
                  <c:v>98.313775629999995</c:v>
                </c:pt>
              </c:numCache>
            </c:numRef>
          </c:val>
          <c:extLst>
            <c:ext xmlns:c16="http://schemas.microsoft.com/office/drawing/2014/chart" uri="{C3380CC4-5D6E-409C-BE32-E72D297353CC}">
              <c16:uniqueId val="{00000000-D4EB-421F-B462-E1460761C834}"/>
            </c:ext>
          </c:extLst>
        </c:ser>
        <c:ser>
          <c:idx val="37"/>
          <c:order val="37"/>
          <c:tx>
            <c:strRef>
              <c:f>稲荷崎!$F$39</c:f>
              <c:strCache>
                <c:ptCount val="1"/>
                <c:pt idx="0">
                  <c:v>3周年宮治ICO</c:v>
                </c:pt>
              </c:strCache>
            </c:strRef>
          </c:tx>
          <c:spPr>
            <a:ln w="28575" cap="rnd">
              <a:solidFill>
                <a:schemeClr val="accent2">
                  <a:lumMod val="70000"/>
                  <a:lumOff val="30000"/>
                </a:schemeClr>
              </a:solid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稲荷崎!$G$39:$K$39</c:f>
              <c:numCache>
                <c:formatCode>General</c:formatCode>
                <c:ptCount val="5"/>
                <c:pt idx="0">
                  <c:v>109.81076</c:v>
                </c:pt>
                <c:pt idx="1">
                  <c:v>103.78660910000001</c:v>
                </c:pt>
                <c:pt idx="2">
                  <c:v>103.3724488</c:v>
                </c:pt>
                <c:pt idx="3">
                  <c:v>106.74489749999999</c:v>
                </c:pt>
                <c:pt idx="4">
                  <c:v>110.11734629999999</c:v>
                </c:pt>
              </c:numCache>
            </c:numRef>
          </c:val>
          <c:extLst>
            <c:ext xmlns:c16="http://schemas.microsoft.com/office/drawing/2014/chart" uri="{C3380CC4-5D6E-409C-BE32-E72D297353CC}">
              <c16:uniqueId val="{00000000-291F-45A9-A8CD-8741D8BB934D}"/>
            </c:ext>
          </c:extLst>
        </c:ser>
        <c:ser>
          <c:idx val="38"/>
          <c:order val="38"/>
          <c:tx>
            <c:strRef>
              <c:f>稲荷崎!$F$40</c:f>
              <c:strCache>
                <c:ptCount val="1"/>
                <c:pt idx="0">
                  <c:v>3周年角名倫太郎ICO</c:v>
                </c:pt>
              </c:strCache>
            </c:strRef>
          </c:tx>
          <c:spPr>
            <a:ln w="28575" cap="rnd">
              <a:solidFill>
                <a:schemeClr val="accent3">
                  <a:lumMod val="70000"/>
                  <a:lumOff val="30000"/>
                </a:schemeClr>
              </a:solid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稲荷崎!$G$40:$K$40</c:f>
              <c:numCache>
                <c:formatCode>General</c:formatCode>
                <c:ptCount val="5"/>
                <c:pt idx="0">
                  <c:v>108.58441500000001</c:v>
                </c:pt>
                <c:pt idx="1">
                  <c:v>101.41997840000001</c:v>
                </c:pt>
                <c:pt idx="2">
                  <c:v>100</c:v>
                </c:pt>
                <c:pt idx="3">
                  <c:v>100</c:v>
                </c:pt>
                <c:pt idx="4">
                  <c:v>112.36564540000001</c:v>
                </c:pt>
              </c:numCache>
            </c:numRef>
          </c:val>
          <c:extLst>
            <c:ext xmlns:c16="http://schemas.microsoft.com/office/drawing/2014/chart" uri="{C3380CC4-5D6E-409C-BE32-E72D297353CC}">
              <c16:uniqueId val="{00000001-291F-45A9-A8CD-8741D8BB934D}"/>
            </c:ext>
          </c:extLst>
        </c:ser>
        <c:ser>
          <c:idx val="39"/>
          <c:order val="39"/>
          <c:tx>
            <c:strRef>
              <c:f>稲荷崎!$F$41</c:f>
              <c:strCache>
                <c:ptCount val="1"/>
                <c:pt idx="0">
                  <c:v>思い出宮侑ICO</c:v>
                </c:pt>
              </c:strCache>
            </c:strRef>
          </c:tx>
          <c:spPr>
            <a:ln w="28575" cap="rnd">
              <a:solidFill>
                <a:schemeClr val="accent4">
                  <a:lumMod val="70000"/>
                  <a:lumOff val="30000"/>
                </a:schemeClr>
              </a:solid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稲荷崎!$G$41:$K$41</c:f>
              <c:numCache>
                <c:formatCode>General</c:formatCode>
                <c:ptCount val="5"/>
                <c:pt idx="0">
                  <c:v>103.06586249999999</c:v>
                </c:pt>
                <c:pt idx="1">
                  <c:v>114.6731104</c:v>
                </c:pt>
                <c:pt idx="2">
                  <c:v>126.97959</c:v>
                </c:pt>
                <c:pt idx="3">
                  <c:v>105.9954644</c:v>
                </c:pt>
                <c:pt idx="4">
                  <c:v>99.437925210000003</c:v>
                </c:pt>
              </c:numCache>
            </c:numRef>
          </c:val>
          <c:extLst>
            <c:ext xmlns:c16="http://schemas.microsoft.com/office/drawing/2014/chart" uri="{C3380CC4-5D6E-409C-BE32-E72D297353CC}">
              <c16:uniqueId val="{00000000-1BF6-4225-87BA-1A995529CD1A}"/>
            </c:ext>
          </c:extLst>
        </c:ser>
        <c:ser>
          <c:idx val="40"/>
          <c:order val="40"/>
          <c:tx>
            <c:strRef>
              <c:f>稲荷崎!$F$42</c:f>
              <c:strCache>
                <c:ptCount val="1"/>
                <c:pt idx="0">
                  <c:v>思い出宮治ICO</c:v>
                </c:pt>
              </c:strCache>
            </c:strRef>
          </c:tx>
          <c:spPr>
            <a:ln w="28575" cap="rnd">
              <a:solidFill>
                <a:schemeClr val="accent5">
                  <a:lumMod val="70000"/>
                  <a:lumOff val="30000"/>
                </a:schemeClr>
              </a:solid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稲荷崎!$G$42:$K$42</c:f>
              <c:numCache>
                <c:formatCode>General</c:formatCode>
                <c:ptCount val="5"/>
                <c:pt idx="0">
                  <c:v>107.35807</c:v>
                </c:pt>
                <c:pt idx="1">
                  <c:v>107.09989210000001</c:v>
                </c:pt>
                <c:pt idx="2">
                  <c:v>104.4965983</c:v>
                </c:pt>
                <c:pt idx="3">
                  <c:v>107.4943306</c:v>
                </c:pt>
                <c:pt idx="4">
                  <c:v>108.43112189999999</c:v>
                </c:pt>
              </c:numCache>
            </c:numRef>
          </c:val>
          <c:extLst>
            <c:ext xmlns:c16="http://schemas.microsoft.com/office/drawing/2014/chart" uri="{C3380CC4-5D6E-409C-BE32-E72D297353CC}">
              <c16:uniqueId val="{00000000-EDD9-4C46-A7F2-E694D1DF21F7}"/>
            </c:ext>
          </c:extLst>
        </c:ser>
        <c:ser>
          <c:idx val="41"/>
          <c:order val="41"/>
          <c:tx>
            <c:strRef>
              <c:f>稲荷崎!$F$43</c:f>
              <c:strCache>
                <c:ptCount val="1"/>
                <c:pt idx="0">
                  <c:v>思い出北信介ICO</c:v>
                </c:pt>
              </c:strCache>
            </c:strRef>
          </c:tx>
          <c:spPr>
            <a:ln w="28575" cap="rnd">
              <a:solidFill>
                <a:schemeClr val="accent6">
                  <a:lumMod val="70000"/>
                  <a:lumOff val="30000"/>
                </a:schemeClr>
              </a:solid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稲荷崎!$G$43:$K$43</c:f>
              <c:numCache>
                <c:formatCode>General</c:formatCode>
                <c:ptCount val="5"/>
                <c:pt idx="0">
                  <c:v>103.679035</c:v>
                </c:pt>
                <c:pt idx="1">
                  <c:v>103.78660910000001</c:v>
                </c:pt>
                <c:pt idx="2">
                  <c:v>102.24829920000001</c:v>
                </c:pt>
                <c:pt idx="3">
                  <c:v>109.74262969999999</c:v>
                </c:pt>
                <c:pt idx="4">
                  <c:v>104.4965983</c:v>
                </c:pt>
              </c:numCache>
            </c:numRef>
          </c:val>
          <c:extLst>
            <c:ext xmlns:c16="http://schemas.microsoft.com/office/drawing/2014/chart" uri="{C3380CC4-5D6E-409C-BE32-E72D297353CC}">
              <c16:uniqueId val="{00000000-FC1B-43E1-81EB-5EE734C44F32}"/>
            </c:ext>
          </c:extLst>
        </c:ser>
        <c:ser>
          <c:idx val="42"/>
          <c:order val="42"/>
          <c:tx>
            <c:strRef>
              <c:f>稲荷崎!$F$44</c:f>
              <c:strCache>
                <c:ptCount val="1"/>
                <c:pt idx="0">
                  <c:v>文化祭宮侑ICO</c:v>
                </c:pt>
              </c:strCache>
            </c:strRef>
          </c:tx>
          <c:spPr>
            <a:ln w="28575" cap="rnd">
              <a:solidFill>
                <a:schemeClr val="accent1">
                  <a:lumMod val="70000"/>
                </a:schemeClr>
              </a:solidFill>
              <a:round/>
            </a:ln>
            <a:effectLst/>
          </c:spPr>
          <c:marker>
            <c:symbol val="circle"/>
            <c:size val="5"/>
            <c:spPr>
              <a:solidFill>
                <a:schemeClr val="accent1">
                  <a:lumMod val="70000"/>
                </a:schemeClr>
              </a:solidFill>
              <a:ln w="9525">
                <a:solidFill>
                  <a:schemeClr val="accent1">
                    <a:lumMod val="70000"/>
                  </a:schemeClr>
                </a:solidFill>
              </a:ln>
              <a:effectLst/>
            </c:spPr>
          </c:marker>
          <c:cat>
            <c:strRef>
              <c:f>稲荷崎!$G$1:$K$1</c:f>
              <c:strCache>
                <c:ptCount val="5"/>
                <c:pt idx="0">
                  <c:v>Q_RZS.AttackVal</c:v>
                </c:pt>
                <c:pt idx="1">
                  <c:v>Q_RZS.ServeVal</c:v>
                </c:pt>
                <c:pt idx="2">
                  <c:v>Q_RZS.TossVal</c:v>
                </c:pt>
                <c:pt idx="3">
                  <c:v>Q_RZS.ReceiveVal</c:v>
                </c:pt>
                <c:pt idx="4">
                  <c:v>Q_RZS.BlockVal</c:v>
                </c:pt>
              </c:strCache>
            </c:strRef>
          </c:cat>
          <c:val>
            <c:numRef>
              <c:f>稲荷崎!$G$44:$K$44</c:f>
              <c:numCache>
                <c:formatCode>General</c:formatCode>
                <c:ptCount val="5"/>
                <c:pt idx="0">
                  <c:v>100.6131725</c:v>
                </c:pt>
                <c:pt idx="1">
                  <c:v>110.4131751</c:v>
                </c:pt>
                <c:pt idx="2">
                  <c:v>120.23469249999999</c:v>
                </c:pt>
                <c:pt idx="3">
                  <c:v>101.4988661</c:v>
                </c:pt>
                <c:pt idx="4">
                  <c:v>96.065476459999999</c:v>
                </c:pt>
              </c:numCache>
            </c:numRef>
          </c:val>
          <c:extLst>
            <c:ext xmlns:c16="http://schemas.microsoft.com/office/drawing/2014/chart" uri="{C3380CC4-5D6E-409C-BE32-E72D297353CC}">
              <c16:uniqueId val="{00000001-FC1B-43E1-81EB-5EE734C44F32}"/>
            </c:ext>
          </c:extLst>
        </c:ser>
        <c:dLbls>
          <c:showLegendKey val="0"/>
          <c:showVal val="0"/>
          <c:showCatName val="0"/>
          <c:showSerName val="0"/>
          <c:showPercent val="0"/>
          <c:showBubbleSize val="0"/>
        </c:dLbls>
        <c:axId val="880832287"/>
        <c:axId val="880817887"/>
        <c:extLst/>
      </c:radarChart>
      <c:catAx>
        <c:axId val="88083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817887"/>
        <c:crosses val="autoZero"/>
        <c:auto val="1"/>
        <c:lblAlgn val="ctr"/>
        <c:lblOffset val="100"/>
        <c:noMultiLvlLbl val="0"/>
      </c:catAx>
      <c:valAx>
        <c:axId val="880817887"/>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832287"/>
        <c:crosses val="autoZero"/>
        <c:crossBetween val="between"/>
        <c:majorUnit val="10"/>
      </c:valAx>
      <c:spPr>
        <a:noFill/>
        <a:ln>
          <a:noFill/>
        </a:ln>
        <a:effectLst/>
      </c:spPr>
    </c:plotArea>
    <c:legend>
      <c:legendPos val="t"/>
      <c:layout>
        <c:manualLayout>
          <c:xMode val="edge"/>
          <c:yMode val="edge"/>
          <c:x val="0.54712365063198598"/>
          <c:y val="8.384272669371147E-2"/>
          <c:w val="0.45287637250698404"/>
          <c:h val="0.916157261984257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井闥山</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7.6911622875271826E-2"/>
          <c:y val="0.11126603963393164"/>
          <c:w val="0.43241079940596622"/>
          <c:h val="0.86229283768754317"/>
        </c:manualLayout>
      </c:layout>
      <c:radarChart>
        <c:radarStyle val="marker"/>
        <c:varyColors val="0"/>
        <c:ser>
          <c:idx val="0"/>
          <c:order val="0"/>
          <c:tx>
            <c:strRef>
              <c:f>井闥山!$F$2</c:f>
              <c:strCache>
                <c:ptCount val="1"/>
                <c:pt idx="0">
                  <c:v>佐久早聖臣ICO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井闥山!$G$1:$K$1</c:f>
              <c:strCache>
                <c:ptCount val="5"/>
                <c:pt idx="0">
                  <c:v>Q_RZS.AttackVal</c:v>
                </c:pt>
                <c:pt idx="1">
                  <c:v>Q_RZS.ServeVal</c:v>
                </c:pt>
                <c:pt idx="2">
                  <c:v>Q_RZS.TossVal</c:v>
                </c:pt>
                <c:pt idx="3">
                  <c:v>Q_RZS.ReceiveVal</c:v>
                </c:pt>
                <c:pt idx="4">
                  <c:v>Q_RZS.BlockVal</c:v>
                </c:pt>
              </c:strCache>
            </c:strRef>
          </c:cat>
          <c:val>
            <c:numRef>
              <c:f>井闥山!$G$2:$K$2</c:f>
              <c:numCache>
                <c:formatCode>General</c:formatCode>
                <c:ptCount val="5"/>
                <c:pt idx="0">
                  <c:v>105.5185525</c:v>
                </c:pt>
                <c:pt idx="1">
                  <c:v>103.313283</c:v>
                </c:pt>
                <c:pt idx="2">
                  <c:v>98.875850420000006</c:v>
                </c:pt>
                <c:pt idx="3">
                  <c:v>104.4965983</c:v>
                </c:pt>
                <c:pt idx="4">
                  <c:v>100</c:v>
                </c:pt>
              </c:numCache>
            </c:numRef>
          </c:val>
          <c:extLst>
            <c:ext xmlns:c16="http://schemas.microsoft.com/office/drawing/2014/chart" uri="{C3380CC4-5D6E-409C-BE32-E72D297353CC}">
              <c16:uniqueId val="{00000000-D241-4B9E-BFDE-A4F323C0B676}"/>
            </c:ext>
          </c:extLst>
        </c:ser>
        <c:ser>
          <c:idx val="1"/>
          <c:order val="1"/>
          <c:tx>
            <c:strRef>
              <c:f>井闥山!$F$3</c:f>
              <c:strCache>
                <c:ptCount val="1"/>
                <c:pt idx="0">
                  <c:v>小森元也ICO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井闥山!$G$1:$K$1</c:f>
              <c:strCache>
                <c:ptCount val="5"/>
                <c:pt idx="0">
                  <c:v>Q_RZS.AttackVal</c:v>
                </c:pt>
                <c:pt idx="1">
                  <c:v>Q_RZS.ServeVal</c:v>
                </c:pt>
                <c:pt idx="2">
                  <c:v>Q_RZS.TossVal</c:v>
                </c:pt>
                <c:pt idx="3">
                  <c:v>Q_RZS.ReceiveVal</c:v>
                </c:pt>
                <c:pt idx="4">
                  <c:v>Q_RZS.BlockVal</c:v>
                </c:pt>
              </c:strCache>
            </c:strRef>
          </c:cat>
          <c:val>
            <c:numRef>
              <c:f>井闥山!$G$3:$K$3</c:f>
              <c:numCache>
                <c:formatCode>General</c:formatCode>
                <c:ptCount val="5"/>
                <c:pt idx="0">
                  <c:v>96.934137500000006</c:v>
                </c:pt>
                <c:pt idx="1">
                  <c:v>97.633369299999998</c:v>
                </c:pt>
                <c:pt idx="2">
                  <c:v>104.4965983</c:v>
                </c:pt>
                <c:pt idx="3">
                  <c:v>111.2414958</c:v>
                </c:pt>
                <c:pt idx="4">
                  <c:v>93.817177290000004</c:v>
                </c:pt>
              </c:numCache>
            </c:numRef>
          </c:val>
          <c:extLst xmlns:c15="http://schemas.microsoft.com/office/drawing/2012/chart">
            <c:ext xmlns:c16="http://schemas.microsoft.com/office/drawing/2014/chart" uri="{C3380CC4-5D6E-409C-BE32-E72D297353CC}">
              <c16:uniqueId val="{00000002-D241-4B9E-BFDE-A4F323C0B676}"/>
            </c:ext>
          </c:extLst>
        </c:ser>
        <c:ser>
          <c:idx val="2"/>
          <c:order val="2"/>
          <c:tx>
            <c:strRef>
              <c:f>井闥山!$F$4</c:f>
              <c:strCache>
                <c:ptCount val="1"/>
                <c:pt idx="0">
                  <c:v>サバゲ佐久早聖臣ICO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井闥山!$G$1:$K$1</c:f>
              <c:strCache>
                <c:ptCount val="5"/>
                <c:pt idx="0">
                  <c:v>Q_RZS.AttackVal</c:v>
                </c:pt>
                <c:pt idx="1">
                  <c:v>Q_RZS.ServeVal</c:v>
                </c:pt>
                <c:pt idx="2">
                  <c:v>Q_RZS.TossVal</c:v>
                </c:pt>
                <c:pt idx="3">
                  <c:v>Q_RZS.ReceiveVal</c:v>
                </c:pt>
                <c:pt idx="4">
                  <c:v>Q_RZS.BlockVal</c:v>
                </c:pt>
              </c:strCache>
            </c:strRef>
          </c:cat>
          <c:val>
            <c:numRef>
              <c:f>井闥山!$G$4:$K$4</c:f>
              <c:numCache>
                <c:formatCode>General</c:formatCode>
                <c:ptCount val="5"/>
                <c:pt idx="0">
                  <c:v>107.35807</c:v>
                </c:pt>
                <c:pt idx="1">
                  <c:v>105.2065875</c:v>
                </c:pt>
                <c:pt idx="2">
                  <c:v>100</c:v>
                </c:pt>
                <c:pt idx="3">
                  <c:v>105.9954644</c:v>
                </c:pt>
                <c:pt idx="4">
                  <c:v>102.24829920000001</c:v>
                </c:pt>
              </c:numCache>
            </c:numRef>
          </c:val>
          <c:extLst xmlns:c15="http://schemas.microsoft.com/office/drawing/2012/chart">
            <c:ext xmlns:c16="http://schemas.microsoft.com/office/drawing/2014/chart" uri="{C3380CC4-5D6E-409C-BE32-E72D297353CC}">
              <c16:uniqueId val="{00000001-D241-4B9E-BFDE-A4F323C0B676}"/>
            </c:ext>
          </c:extLst>
        </c:ser>
        <c:ser>
          <c:idx val="3"/>
          <c:order val="3"/>
          <c:tx>
            <c:strRef>
              <c:f>井闥山!$F$5</c:f>
              <c:strCache>
                <c:ptCount val="1"/>
                <c:pt idx="0">
                  <c:v>キャンプ小森元也ICO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井闥山!$G$1:$K$1</c:f>
              <c:strCache>
                <c:ptCount val="5"/>
                <c:pt idx="0">
                  <c:v>Q_RZS.AttackVal</c:v>
                </c:pt>
                <c:pt idx="1">
                  <c:v>Q_RZS.ServeVal</c:v>
                </c:pt>
                <c:pt idx="2">
                  <c:v>Q_RZS.TossVal</c:v>
                </c:pt>
                <c:pt idx="3">
                  <c:v>Q_RZS.ReceiveVal</c:v>
                </c:pt>
                <c:pt idx="4">
                  <c:v>Q_RZS.BlockVal</c:v>
                </c:pt>
              </c:strCache>
            </c:strRef>
          </c:cat>
          <c:val>
            <c:numRef>
              <c:f>井闥山!$G$5:$K$5</c:f>
              <c:numCache>
                <c:formatCode>General</c:formatCode>
                <c:ptCount val="5"/>
                <c:pt idx="0">
                  <c:v>97.547309999999996</c:v>
                </c:pt>
                <c:pt idx="1">
                  <c:v>98.580021579999993</c:v>
                </c:pt>
                <c:pt idx="2">
                  <c:v>107.8690471</c:v>
                </c:pt>
                <c:pt idx="3">
                  <c:v>115.73809420000001</c:v>
                </c:pt>
                <c:pt idx="4">
                  <c:v>94.941326880000005</c:v>
                </c:pt>
              </c:numCache>
            </c:numRef>
          </c:val>
          <c:extLst xmlns:c15="http://schemas.microsoft.com/office/drawing/2012/chart">
            <c:ext xmlns:c16="http://schemas.microsoft.com/office/drawing/2014/chart" uri="{C3380CC4-5D6E-409C-BE32-E72D297353CC}">
              <c16:uniqueId val="{00000000-72B7-40B5-90CF-2E3F2613A0DA}"/>
            </c:ext>
          </c:extLst>
        </c:ser>
        <c:ser>
          <c:idx val="4"/>
          <c:order val="4"/>
          <c:tx>
            <c:strRef>
              <c:f>井闥山!$F$6</c:f>
              <c:strCache>
                <c:ptCount val="1"/>
                <c:pt idx="0">
                  <c:v>新年2佐久早聖臣ICO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井闥山!$G$1:$K$1</c:f>
              <c:strCache>
                <c:ptCount val="5"/>
                <c:pt idx="0">
                  <c:v>Q_RZS.AttackVal</c:v>
                </c:pt>
                <c:pt idx="1">
                  <c:v>Q_RZS.ServeVal</c:v>
                </c:pt>
                <c:pt idx="2">
                  <c:v>Q_RZS.TossVal</c:v>
                </c:pt>
                <c:pt idx="3">
                  <c:v>Q_RZS.ReceiveVal</c:v>
                </c:pt>
                <c:pt idx="4">
                  <c:v>Q_RZS.BlockVal</c:v>
                </c:pt>
              </c:strCache>
            </c:strRef>
          </c:cat>
          <c:val>
            <c:numRef>
              <c:f>井闥山!$G$6:$K$6</c:f>
              <c:numCache>
                <c:formatCode>General</c:formatCode>
                <c:ptCount val="5"/>
                <c:pt idx="0">
                  <c:v>109.1975875</c:v>
                </c:pt>
                <c:pt idx="1">
                  <c:v>103.313283</c:v>
                </c:pt>
                <c:pt idx="2">
                  <c:v>100</c:v>
                </c:pt>
                <c:pt idx="3">
                  <c:v>104.4965983</c:v>
                </c:pt>
                <c:pt idx="4">
                  <c:v>104.4965983</c:v>
                </c:pt>
              </c:numCache>
            </c:numRef>
          </c:val>
          <c:extLst>
            <c:ext xmlns:c16="http://schemas.microsoft.com/office/drawing/2014/chart" uri="{C3380CC4-5D6E-409C-BE32-E72D297353CC}">
              <c16:uniqueId val="{00000000-EEDA-44AE-B02D-45558E4BA87E}"/>
            </c:ext>
          </c:extLst>
        </c:ser>
        <c:ser>
          <c:idx val="5"/>
          <c:order val="5"/>
          <c:tx>
            <c:strRef>
              <c:f>井闥山!$F$7</c:f>
              <c:strCache>
                <c:ptCount val="1"/>
                <c:pt idx="0">
                  <c:v>ハロウィン小森元也ICO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井闥山!$G$1:$K$1</c:f>
              <c:strCache>
                <c:ptCount val="5"/>
                <c:pt idx="0">
                  <c:v>Q_RZS.AttackVal</c:v>
                </c:pt>
                <c:pt idx="1">
                  <c:v>Q_RZS.ServeVal</c:v>
                </c:pt>
                <c:pt idx="2">
                  <c:v>Q_RZS.TossVal</c:v>
                </c:pt>
                <c:pt idx="3">
                  <c:v>Q_RZS.ReceiveVal</c:v>
                </c:pt>
                <c:pt idx="4">
                  <c:v>Q_RZS.BlockVal</c:v>
                </c:pt>
              </c:strCache>
            </c:strRef>
          </c:cat>
          <c:val>
            <c:numRef>
              <c:f>井闥山!$G$7:$K$7</c:f>
              <c:numCache>
                <c:formatCode>General</c:formatCode>
                <c:ptCount val="5"/>
                <c:pt idx="0">
                  <c:v>96.320965000000001</c:v>
                </c:pt>
                <c:pt idx="1">
                  <c:v>97.160043160000001</c:v>
                </c:pt>
                <c:pt idx="2">
                  <c:v>108.9931967</c:v>
                </c:pt>
                <c:pt idx="3">
                  <c:v>119.4852594</c:v>
                </c:pt>
                <c:pt idx="4">
                  <c:v>94.941326880000005</c:v>
                </c:pt>
              </c:numCache>
            </c:numRef>
          </c:val>
          <c:extLst>
            <c:ext xmlns:c16="http://schemas.microsoft.com/office/drawing/2014/chart" uri="{C3380CC4-5D6E-409C-BE32-E72D297353CC}">
              <c16:uniqueId val="{00000000-8BDA-4F88-ABF1-8CB42A52F0B4}"/>
            </c:ext>
          </c:extLst>
        </c:ser>
        <c:ser>
          <c:idx val="6"/>
          <c:order val="6"/>
          <c:tx>
            <c:strRef>
              <c:f>井闥山!$F$8</c:f>
              <c:strCache>
                <c:ptCount val="1"/>
                <c:pt idx="0">
                  <c:v>和装体験佐久早聖臣ICO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井闥山!$G$1:$K$1</c:f>
              <c:strCache>
                <c:ptCount val="5"/>
                <c:pt idx="0">
                  <c:v>Q_RZS.AttackVal</c:v>
                </c:pt>
                <c:pt idx="1">
                  <c:v>Q_RZS.ServeVal</c:v>
                </c:pt>
                <c:pt idx="2">
                  <c:v>Q_RZS.TossVal</c:v>
                </c:pt>
                <c:pt idx="3">
                  <c:v>Q_RZS.ReceiveVal</c:v>
                </c:pt>
                <c:pt idx="4">
                  <c:v>Q_RZS.BlockVal</c:v>
                </c:pt>
              </c:strCache>
            </c:strRef>
          </c:cat>
          <c:val>
            <c:numRef>
              <c:f>井闥山!$G$8:$K$8</c:f>
              <c:numCache>
                <c:formatCode>General</c:formatCode>
                <c:ptCount val="5"/>
                <c:pt idx="0">
                  <c:v>109.81076</c:v>
                </c:pt>
                <c:pt idx="1">
                  <c:v>105.6799137</c:v>
                </c:pt>
                <c:pt idx="2">
                  <c:v>100</c:v>
                </c:pt>
                <c:pt idx="3">
                  <c:v>108.24376359999999</c:v>
                </c:pt>
                <c:pt idx="4">
                  <c:v>103.9345235</c:v>
                </c:pt>
              </c:numCache>
            </c:numRef>
          </c:val>
          <c:extLst>
            <c:ext xmlns:c16="http://schemas.microsoft.com/office/drawing/2014/chart" uri="{C3380CC4-5D6E-409C-BE32-E72D297353CC}">
              <c16:uniqueId val="{00000000-D7E0-4323-9B20-2846BEF079B5}"/>
            </c:ext>
          </c:extLst>
        </c:ser>
        <c:dLbls>
          <c:showLegendKey val="0"/>
          <c:showVal val="0"/>
          <c:showCatName val="0"/>
          <c:showSerName val="0"/>
          <c:showPercent val="0"/>
          <c:showBubbleSize val="0"/>
        </c:dLbls>
        <c:axId val="880809727"/>
        <c:axId val="880818847"/>
        <c:extLst/>
      </c:radarChart>
      <c:catAx>
        <c:axId val="880809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818847"/>
        <c:crosses val="autoZero"/>
        <c:auto val="1"/>
        <c:lblAlgn val="ctr"/>
        <c:lblOffset val="100"/>
        <c:noMultiLvlLbl val="0"/>
      </c:catAx>
      <c:valAx>
        <c:axId val="880818847"/>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809727"/>
        <c:crosses val="autoZero"/>
        <c:crossBetween val="between"/>
        <c:majorUnit val="10"/>
      </c:valAx>
      <c:spPr>
        <a:noFill/>
        <a:ln>
          <a:noFill/>
        </a:ln>
        <a:effectLst/>
      </c:spPr>
    </c:plotArea>
    <c:legend>
      <c:legendPos val="t"/>
      <c:layout>
        <c:manualLayout>
          <c:xMode val="edge"/>
          <c:yMode val="edge"/>
          <c:x val="0.65464011861368843"/>
          <c:y val="8.0066426049765951E-2"/>
          <c:w val="0.34535983970073719"/>
          <c:h val="0.919933509756381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鴎台</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8.0092812732758839E-2"/>
          <c:y val="0.12254624622435131"/>
          <c:w val="0.42707379656413658"/>
          <c:h val="0.84514945153399512"/>
        </c:manualLayout>
      </c:layout>
      <c:radarChart>
        <c:radarStyle val="marker"/>
        <c:varyColors val="0"/>
        <c:ser>
          <c:idx val="0"/>
          <c:order val="0"/>
          <c:tx>
            <c:strRef>
              <c:f>鴎台!$F$2</c:f>
              <c:strCache>
                <c:ptCount val="1"/>
                <c:pt idx="0">
                  <c:v>星海光来ICO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鴎台!$G$2:$K$2</c:f>
              <c:numCache>
                <c:formatCode>General</c:formatCode>
                <c:ptCount val="5"/>
                <c:pt idx="0">
                  <c:v>106.131725</c:v>
                </c:pt>
                <c:pt idx="1">
                  <c:v>102.8399568</c:v>
                </c:pt>
                <c:pt idx="2">
                  <c:v>100</c:v>
                </c:pt>
                <c:pt idx="3">
                  <c:v>101.4988661</c:v>
                </c:pt>
                <c:pt idx="4">
                  <c:v>103.9345235</c:v>
                </c:pt>
              </c:numCache>
            </c:numRef>
          </c:val>
          <c:extLst>
            <c:ext xmlns:c16="http://schemas.microsoft.com/office/drawing/2014/chart" uri="{C3380CC4-5D6E-409C-BE32-E72D297353CC}">
              <c16:uniqueId val="{00000000-BDE9-4737-9912-21129EA82CC8}"/>
            </c:ext>
          </c:extLst>
        </c:ser>
        <c:ser>
          <c:idx val="1"/>
          <c:order val="1"/>
          <c:tx>
            <c:strRef>
              <c:f>鴎台!$F$3</c:f>
              <c:strCache>
                <c:ptCount val="1"/>
                <c:pt idx="0">
                  <c:v>昼神幸郎ICO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鴎台!$G$3:$K$3</c:f>
              <c:numCache>
                <c:formatCode>General</c:formatCode>
                <c:ptCount val="5"/>
                <c:pt idx="0">
                  <c:v>103.06586249999999</c:v>
                </c:pt>
                <c:pt idx="1">
                  <c:v>101.41997840000001</c:v>
                </c:pt>
                <c:pt idx="2">
                  <c:v>96.627551249999996</c:v>
                </c:pt>
                <c:pt idx="3">
                  <c:v>96.252834719999996</c:v>
                </c:pt>
                <c:pt idx="4">
                  <c:v>105.05867309999999</c:v>
                </c:pt>
              </c:numCache>
            </c:numRef>
          </c:val>
          <c:extLst xmlns:c15="http://schemas.microsoft.com/office/drawing/2012/chart">
            <c:ext xmlns:c16="http://schemas.microsoft.com/office/drawing/2014/chart" uri="{C3380CC4-5D6E-409C-BE32-E72D297353CC}">
              <c16:uniqueId val="{00000002-BDE9-4737-9912-21129EA82CC8}"/>
            </c:ext>
          </c:extLst>
        </c:ser>
        <c:ser>
          <c:idx val="2"/>
          <c:order val="2"/>
          <c:tx>
            <c:strRef>
              <c:f>鴎台!$F$4</c:f>
              <c:strCache>
                <c:ptCount val="1"/>
                <c:pt idx="0">
                  <c:v>Xmas昼神幸郎ICO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鴎台!$G$4:$K$4</c:f>
              <c:numCache>
                <c:formatCode>General</c:formatCode>
                <c:ptCount val="5"/>
                <c:pt idx="0">
                  <c:v>104.90537999999999</c:v>
                </c:pt>
                <c:pt idx="1">
                  <c:v>102.3666307</c:v>
                </c:pt>
                <c:pt idx="2">
                  <c:v>97.751700830000004</c:v>
                </c:pt>
                <c:pt idx="3">
                  <c:v>97.751700830000004</c:v>
                </c:pt>
                <c:pt idx="4">
                  <c:v>108.43112189999999</c:v>
                </c:pt>
              </c:numCache>
            </c:numRef>
          </c:val>
          <c:extLst>
            <c:ext xmlns:c16="http://schemas.microsoft.com/office/drawing/2014/chart" uri="{C3380CC4-5D6E-409C-BE32-E72D297353CC}">
              <c16:uniqueId val="{00000000-32C3-4A29-A21D-455F1A8AE46A}"/>
            </c:ext>
          </c:extLst>
        </c:ser>
        <c:ser>
          <c:idx val="3"/>
          <c:order val="3"/>
          <c:tx>
            <c:strRef>
              <c:f>鴎台!$F$5</c:f>
              <c:strCache>
                <c:ptCount val="1"/>
                <c:pt idx="0">
                  <c:v>サバゲ星海光来ICO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鴎台!$G$5:$K$5</c:f>
              <c:numCache>
                <c:formatCode>General</c:formatCode>
                <c:ptCount val="5"/>
                <c:pt idx="0">
                  <c:v>107.35807</c:v>
                </c:pt>
                <c:pt idx="1">
                  <c:v>106.15323979999999</c:v>
                </c:pt>
                <c:pt idx="2">
                  <c:v>100</c:v>
                </c:pt>
                <c:pt idx="3">
                  <c:v>105.24603140000001</c:v>
                </c:pt>
                <c:pt idx="4">
                  <c:v>104.4965983</c:v>
                </c:pt>
              </c:numCache>
            </c:numRef>
          </c:val>
          <c:extLst>
            <c:ext xmlns:c16="http://schemas.microsoft.com/office/drawing/2014/chart" uri="{C3380CC4-5D6E-409C-BE32-E72D297353CC}">
              <c16:uniqueId val="{00000001-32C3-4A29-A21D-455F1A8AE46A}"/>
            </c:ext>
          </c:extLst>
        </c:ser>
        <c:ser>
          <c:idx val="4"/>
          <c:order val="4"/>
          <c:tx>
            <c:strRef>
              <c:f>鴎台!$F$6</c:f>
              <c:strCache>
                <c:ptCount val="1"/>
                <c:pt idx="0">
                  <c:v>花火星海光来ICO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鴎台!$G$6:$K$6</c:f>
              <c:numCache>
                <c:formatCode>General</c:formatCode>
                <c:ptCount val="5"/>
                <c:pt idx="0">
                  <c:v>107.9712425</c:v>
                </c:pt>
                <c:pt idx="1">
                  <c:v>102.3666307</c:v>
                </c:pt>
                <c:pt idx="2">
                  <c:v>100</c:v>
                </c:pt>
                <c:pt idx="3">
                  <c:v>105.24603140000001</c:v>
                </c:pt>
                <c:pt idx="4">
                  <c:v>108.9931967</c:v>
                </c:pt>
              </c:numCache>
            </c:numRef>
          </c:val>
          <c:extLst>
            <c:ext xmlns:c16="http://schemas.microsoft.com/office/drawing/2014/chart" uri="{C3380CC4-5D6E-409C-BE32-E72D297353CC}">
              <c16:uniqueId val="{00000002-32C3-4A29-A21D-455F1A8AE46A}"/>
            </c:ext>
          </c:extLst>
        </c:ser>
        <c:ser>
          <c:idx val="5"/>
          <c:order val="5"/>
          <c:tx>
            <c:strRef>
              <c:f>鴎台!$F$7</c:f>
              <c:strCache>
                <c:ptCount val="1"/>
                <c:pt idx="0">
                  <c:v>新年2星海光来ICO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鴎台!$G$7:$K$7</c:f>
              <c:numCache>
                <c:formatCode>General</c:formatCode>
                <c:ptCount val="5"/>
                <c:pt idx="0">
                  <c:v>109.81076</c:v>
                </c:pt>
                <c:pt idx="1">
                  <c:v>102.8399568</c:v>
                </c:pt>
                <c:pt idx="2">
                  <c:v>101.1241496</c:v>
                </c:pt>
                <c:pt idx="3">
                  <c:v>102.9977322</c:v>
                </c:pt>
                <c:pt idx="4">
                  <c:v>108.43112189999999</c:v>
                </c:pt>
              </c:numCache>
            </c:numRef>
          </c:val>
          <c:extLst>
            <c:ext xmlns:c16="http://schemas.microsoft.com/office/drawing/2014/chart" uri="{C3380CC4-5D6E-409C-BE32-E72D297353CC}">
              <c16:uniqueId val="{00000003-32C3-4A29-A21D-455F1A8AE46A}"/>
            </c:ext>
          </c:extLst>
        </c:ser>
        <c:ser>
          <c:idx val="6"/>
          <c:order val="6"/>
          <c:tx>
            <c:strRef>
              <c:f>鴎台!$F$8</c:f>
              <c:strCache>
                <c:ptCount val="1"/>
                <c:pt idx="0">
                  <c:v>職業体験2昼神幸郎ICO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鴎台!$G$8:$K$8</c:f>
              <c:numCache>
                <c:formatCode>General</c:formatCode>
                <c:ptCount val="5"/>
                <c:pt idx="0">
                  <c:v>105.5185525</c:v>
                </c:pt>
                <c:pt idx="1">
                  <c:v>100.47332609999999</c:v>
                </c:pt>
                <c:pt idx="2">
                  <c:v>97.751700830000004</c:v>
                </c:pt>
                <c:pt idx="3">
                  <c:v>97.002267779999997</c:v>
                </c:pt>
                <c:pt idx="4">
                  <c:v>111.8035706</c:v>
                </c:pt>
              </c:numCache>
            </c:numRef>
          </c:val>
          <c:extLst>
            <c:ext xmlns:c16="http://schemas.microsoft.com/office/drawing/2014/chart" uri="{C3380CC4-5D6E-409C-BE32-E72D297353CC}">
              <c16:uniqueId val="{00000004-32C3-4A29-A21D-455F1A8AE46A}"/>
            </c:ext>
          </c:extLst>
        </c:ser>
        <c:ser>
          <c:idx val="7"/>
          <c:order val="7"/>
          <c:tx>
            <c:strRef>
              <c:f>鴎台!$F$9</c:f>
              <c:strCache>
                <c:ptCount val="1"/>
                <c:pt idx="0">
                  <c:v>寝正月昼神幸郎ICO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鴎台!$G$9:$K$9</c:f>
              <c:numCache>
                <c:formatCode>General</c:formatCode>
                <c:ptCount val="5"/>
                <c:pt idx="0">
                  <c:v>105.5185525</c:v>
                </c:pt>
                <c:pt idx="1">
                  <c:v>102.3666307</c:v>
                </c:pt>
                <c:pt idx="2">
                  <c:v>97.751700830000004</c:v>
                </c:pt>
                <c:pt idx="3">
                  <c:v>100</c:v>
                </c:pt>
                <c:pt idx="4">
                  <c:v>111.2414958</c:v>
                </c:pt>
              </c:numCache>
            </c:numRef>
          </c:val>
          <c:extLst>
            <c:ext xmlns:c16="http://schemas.microsoft.com/office/drawing/2014/chart" uri="{C3380CC4-5D6E-409C-BE32-E72D297353CC}">
              <c16:uniqueId val="{00000005-32C3-4A29-A21D-455F1A8AE46A}"/>
            </c:ext>
          </c:extLst>
        </c:ser>
        <c:ser>
          <c:idx val="8"/>
          <c:order val="8"/>
          <c:tx>
            <c:strRef>
              <c:f>鴎台!$F$10</c:f>
              <c:strCache>
                <c:ptCount val="1"/>
                <c:pt idx="0">
                  <c:v>格ゲー星海光来ICO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鴎台!$G$10:$K$10</c:f>
              <c:numCache>
                <c:formatCode>General</c:formatCode>
                <c:ptCount val="5"/>
                <c:pt idx="0">
                  <c:v>108.58441500000001</c:v>
                </c:pt>
                <c:pt idx="1">
                  <c:v>107.5732182</c:v>
                </c:pt>
                <c:pt idx="2">
                  <c:v>101.1241496</c:v>
                </c:pt>
                <c:pt idx="3">
                  <c:v>105.24603140000001</c:v>
                </c:pt>
                <c:pt idx="4">
                  <c:v>106.74489749999999</c:v>
                </c:pt>
              </c:numCache>
            </c:numRef>
          </c:val>
          <c:extLst>
            <c:ext xmlns:c16="http://schemas.microsoft.com/office/drawing/2014/chart" uri="{C3380CC4-5D6E-409C-BE32-E72D297353CC}">
              <c16:uniqueId val="{00000000-C1D0-4128-BCB6-FDCDBE26AAD8}"/>
            </c:ext>
          </c:extLst>
        </c:ser>
        <c:ser>
          <c:idx val="9"/>
          <c:order val="9"/>
          <c:tx>
            <c:strRef>
              <c:f>鴎台!$F$11</c:f>
              <c:strCache>
                <c:ptCount val="1"/>
                <c:pt idx="0">
                  <c:v>文化祭星海光来ICO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鴎台!$G$1:$K$1</c:f>
              <c:strCache>
                <c:ptCount val="5"/>
                <c:pt idx="0">
                  <c:v>Q_RZS.AttackVal</c:v>
                </c:pt>
                <c:pt idx="1">
                  <c:v>Q_RZS.ServeVal</c:v>
                </c:pt>
                <c:pt idx="2">
                  <c:v>Q_RZS.TossVal</c:v>
                </c:pt>
                <c:pt idx="3">
                  <c:v>Q_RZS.ReceiveVal</c:v>
                </c:pt>
                <c:pt idx="4">
                  <c:v>Q_RZS.BlockVal</c:v>
                </c:pt>
              </c:strCache>
            </c:strRef>
          </c:cat>
          <c:val>
            <c:numRef>
              <c:f>鴎台!$G$11:$K$11</c:f>
              <c:numCache>
                <c:formatCode>General</c:formatCode>
                <c:ptCount val="5"/>
                <c:pt idx="0">
                  <c:v>107.9712425</c:v>
                </c:pt>
                <c:pt idx="1">
                  <c:v>104.7332614</c:v>
                </c:pt>
                <c:pt idx="2">
                  <c:v>101.1241496</c:v>
                </c:pt>
                <c:pt idx="3">
                  <c:v>102.9977322</c:v>
                </c:pt>
                <c:pt idx="4">
                  <c:v>106.1828227</c:v>
                </c:pt>
              </c:numCache>
            </c:numRef>
          </c:val>
          <c:extLst>
            <c:ext xmlns:c16="http://schemas.microsoft.com/office/drawing/2014/chart" uri="{C3380CC4-5D6E-409C-BE32-E72D297353CC}">
              <c16:uniqueId val="{00000000-AA66-46CE-A874-3C9B528F422C}"/>
            </c:ext>
          </c:extLst>
        </c:ser>
        <c:dLbls>
          <c:showLegendKey val="0"/>
          <c:showVal val="0"/>
          <c:showCatName val="0"/>
          <c:showSerName val="0"/>
          <c:showPercent val="0"/>
          <c:showBubbleSize val="0"/>
        </c:dLbls>
        <c:axId val="1377049328"/>
        <c:axId val="1377056528"/>
        <c:extLst/>
      </c:radarChart>
      <c:catAx>
        <c:axId val="1377049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77056528"/>
        <c:crosses val="autoZero"/>
        <c:auto val="1"/>
        <c:lblAlgn val="ctr"/>
        <c:lblOffset val="100"/>
        <c:noMultiLvlLbl val="0"/>
      </c:catAx>
      <c:valAx>
        <c:axId val="1377056528"/>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377049328"/>
        <c:crosses val="autoZero"/>
        <c:crossBetween val="between"/>
        <c:majorUnit val="10"/>
      </c:valAx>
      <c:spPr>
        <a:noFill/>
        <a:ln>
          <a:noFill/>
        </a:ln>
        <a:effectLst/>
      </c:spPr>
    </c:plotArea>
    <c:legend>
      <c:legendPos val="t"/>
      <c:layout>
        <c:manualLayout>
          <c:xMode val="edge"/>
          <c:yMode val="edge"/>
          <c:x val="0.68365318690218757"/>
          <c:y val="7.9454580940006375E-2"/>
          <c:w val="0.31634684716495792"/>
          <c:h val="0.92054547852343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戸美</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8.3356962204345852E-2"/>
          <c:y val="0.10841030518763738"/>
          <c:w val="0.4511613335114848"/>
          <c:h val="0.84512620210391765"/>
        </c:manualLayout>
      </c:layout>
      <c:radarChart>
        <c:radarStyle val="marker"/>
        <c:varyColors val="0"/>
        <c:ser>
          <c:idx val="0"/>
          <c:order val="0"/>
          <c:tx>
            <c:strRef>
              <c:f>戸美!$F$2</c:f>
              <c:strCache>
                <c:ptCount val="1"/>
                <c:pt idx="0">
                  <c:v>大将優ICO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戸美!$G$2:$K$2</c:f>
              <c:numCache>
                <c:formatCode>General</c:formatCode>
                <c:ptCount val="5"/>
                <c:pt idx="0">
                  <c:v>101.8395175</c:v>
                </c:pt>
                <c:pt idx="1">
                  <c:v>100.9466523</c:v>
                </c:pt>
                <c:pt idx="2">
                  <c:v>103.3724488</c:v>
                </c:pt>
                <c:pt idx="3">
                  <c:v>102.24829920000001</c:v>
                </c:pt>
                <c:pt idx="4">
                  <c:v>101.1241496</c:v>
                </c:pt>
              </c:numCache>
            </c:numRef>
          </c:val>
          <c:extLst>
            <c:ext xmlns:c16="http://schemas.microsoft.com/office/drawing/2014/chart" uri="{C3380CC4-5D6E-409C-BE32-E72D297353CC}">
              <c16:uniqueId val="{00000000-542F-4718-B185-121EE5D474E6}"/>
            </c:ext>
          </c:extLst>
        </c:ser>
        <c:ser>
          <c:idx val="1"/>
          <c:order val="1"/>
          <c:tx>
            <c:strRef>
              <c:f>戸美!$F$3</c:f>
              <c:strCache>
                <c:ptCount val="1"/>
                <c:pt idx="0">
                  <c:v>沼井和馬ICO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戸美!$G$3:$K$3</c:f>
              <c:numCache>
                <c:formatCode>General</c:formatCode>
                <c:ptCount val="5"/>
                <c:pt idx="0">
                  <c:v>100.6131725</c:v>
                </c:pt>
                <c:pt idx="1">
                  <c:v>97.160043160000001</c:v>
                </c:pt>
                <c:pt idx="2">
                  <c:v>101.1241496</c:v>
                </c:pt>
                <c:pt idx="3">
                  <c:v>100.7494331</c:v>
                </c:pt>
                <c:pt idx="4">
                  <c:v>101.1241496</c:v>
                </c:pt>
              </c:numCache>
            </c:numRef>
          </c:val>
          <c:extLst xmlns:c15="http://schemas.microsoft.com/office/drawing/2012/chart">
            <c:ext xmlns:c16="http://schemas.microsoft.com/office/drawing/2014/chart" uri="{C3380CC4-5D6E-409C-BE32-E72D297353CC}">
              <c16:uniqueId val="{00000008-542F-4718-B185-121EE5D474E6}"/>
            </c:ext>
          </c:extLst>
        </c:ser>
        <c:ser>
          <c:idx val="2"/>
          <c:order val="2"/>
          <c:tx>
            <c:strRef>
              <c:f>戸美!$F$4</c:f>
              <c:strCache>
                <c:ptCount val="1"/>
                <c:pt idx="0">
                  <c:v>潜尚保ICO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戸美!$G$4:$K$4</c:f>
              <c:numCache>
                <c:formatCode>General</c:formatCode>
                <c:ptCount val="5"/>
                <c:pt idx="0">
                  <c:v>99.386827499999995</c:v>
                </c:pt>
                <c:pt idx="1">
                  <c:v>97.633369299999998</c:v>
                </c:pt>
                <c:pt idx="2">
                  <c:v>98.875850420000006</c:v>
                </c:pt>
                <c:pt idx="3">
                  <c:v>96.252834719999996</c:v>
                </c:pt>
                <c:pt idx="4">
                  <c:v>100</c:v>
                </c:pt>
              </c:numCache>
            </c:numRef>
          </c:val>
          <c:extLst>
            <c:ext xmlns:c16="http://schemas.microsoft.com/office/drawing/2014/chart" uri="{C3380CC4-5D6E-409C-BE32-E72D297353CC}">
              <c16:uniqueId val="{00000001-542F-4718-B185-121EE5D474E6}"/>
            </c:ext>
          </c:extLst>
        </c:ser>
        <c:ser>
          <c:idx val="3"/>
          <c:order val="3"/>
          <c:tx>
            <c:strRef>
              <c:f>戸美!$F$5</c:f>
              <c:strCache>
                <c:ptCount val="1"/>
                <c:pt idx="0">
                  <c:v>高千穂恵也ICO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戸美!$G$5:$K$5</c:f>
              <c:numCache>
                <c:formatCode>General</c:formatCode>
                <c:ptCount val="5"/>
                <c:pt idx="0">
                  <c:v>100.6131725</c:v>
                </c:pt>
                <c:pt idx="1">
                  <c:v>100.47332609999999</c:v>
                </c:pt>
                <c:pt idx="2">
                  <c:v>98.875850420000006</c:v>
                </c:pt>
                <c:pt idx="3">
                  <c:v>95.503401670000002</c:v>
                </c:pt>
                <c:pt idx="4">
                  <c:v>98.313775629999995</c:v>
                </c:pt>
              </c:numCache>
            </c:numRef>
          </c:val>
          <c:extLst>
            <c:ext xmlns:c16="http://schemas.microsoft.com/office/drawing/2014/chart" uri="{C3380CC4-5D6E-409C-BE32-E72D297353CC}">
              <c16:uniqueId val="{00000002-542F-4718-B185-121EE5D474E6}"/>
            </c:ext>
          </c:extLst>
        </c:ser>
        <c:ser>
          <c:idx val="4"/>
          <c:order val="4"/>
          <c:tx>
            <c:strRef>
              <c:f>戸美!$F$6</c:f>
              <c:strCache>
                <c:ptCount val="1"/>
                <c:pt idx="0">
                  <c:v>広尾倖児ICO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戸美!$G$6:$K$6</c:f>
              <c:numCache>
                <c:formatCode>General</c:formatCode>
                <c:ptCount val="5"/>
                <c:pt idx="0">
                  <c:v>95.094620000000006</c:v>
                </c:pt>
                <c:pt idx="1">
                  <c:v>97.160043160000001</c:v>
                </c:pt>
                <c:pt idx="2">
                  <c:v>96.627551249999996</c:v>
                </c:pt>
                <c:pt idx="3">
                  <c:v>95.503401670000002</c:v>
                </c:pt>
                <c:pt idx="4">
                  <c:v>100</c:v>
                </c:pt>
              </c:numCache>
            </c:numRef>
          </c:val>
          <c:extLst xmlns:c15="http://schemas.microsoft.com/office/drawing/2012/chart">
            <c:ext xmlns:c16="http://schemas.microsoft.com/office/drawing/2014/chart" uri="{C3380CC4-5D6E-409C-BE32-E72D297353CC}">
              <c16:uniqueId val="{00000003-542F-4718-B185-121EE5D474E6}"/>
            </c:ext>
          </c:extLst>
        </c:ser>
        <c:ser>
          <c:idx val="5"/>
          <c:order val="5"/>
          <c:tx>
            <c:strRef>
              <c:f>戸美!$F$7</c:f>
              <c:strCache>
                <c:ptCount val="1"/>
                <c:pt idx="0">
                  <c:v>先島伊澄ICO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戸美!$G$7:$K$7</c:f>
              <c:numCache>
                <c:formatCode>General</c:formatCode>
                <c:ptCount val="5"/>
                <c:pt idx="0">
                  <c:v>94.481447500000002</c:v>
                </c:pt>
                <c:pt idx="1">
                  <c:v>96.213390880000006</c:v>
                </c:pt>
                <c:pt idx="2">
                  <c:v>105.6207479</c:v>
                </c:pt>
                <c:pt idx="3">
                  <c:v>95.503401670000002</c:v>
                </c:pt>
                <c:pt idx="4">
                  <c:v>96.627551249999996</c:v>
                </c:pt>
              </c:numCache>
            </c:numRef>
          </c:val>
          <c:extLst>
            <c:ext xmlns:c16="http://schemas.microsoft.com/office/drawing/2014/chart" uri="{C3380CC4-5D6E-409C-BE32-E72D297353CC}">
              <c16:uniqueId val="{00000004-542F-4718-B185-121EE5D474E6}"/>
            </c:ext>
          </c:extLst>
        </c:ser>
        <c:ser>
          <c:idx val="6"/>
          <c:order val="6"/>
          <c:tx>
            <c:strRef>
              <c:f>戸美!$F$8</c:f>
              <c:strCache>
                <c:ptCount val="1"/>
                <c:pt idx="0">
                  <c:v>背黒晃彦ICO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戸美!$G$8:$K$8</c:f>
              <c:numCache>
                <c:formatCode>General</c:formatCode>
                <c:ptCount val="5"/>
                <c:pt idx="0">
                  <c:v>95.707792499999996</c:v>
                </c:pt>
                <c:pt idx="1">
                  <c:v>92.900107890000001</c:v>
                </c:pt>
                <c:pt idx="2">
                  <c:v>96.627551249999996</c:v>
                </c:pt>
                <c:pt idx="3">
                  <c:v>94.753968610000001</c:v>
                </c:pt>
                <c:pt idx="4">
                  <c:v>100</c:v>
                </c:pt>
              </c:numCache>
            </c:numRef>
          </c:val>
          <c:extLst>
            <c:ext xmlns:c16="http://schemas.microsoft.com/office/drawing/2014/chart" uri="{C3380CC4-5D6E-409C-BE32-E72D297353CC}">
              <c16:uniqueId val="{00000005-542F-4718-B185-121EE5D474E6}"/>
            </c:ext>
          </c:extLst>
        </c:ser>
        <c:ser>
          <c:idx val="7"/>
          <c:order val="7"/>
          <c:tx>
            <c:strRef>
              <c:f>戸美!$F$9</c:f>
              <c:strCache>
                <c:ptCount val="1"/>
                <c:pt idx="0">
                  <c:v>赤間颯ICO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戸美!$G$9:$K$9</c:f>
              <c:numCache>
                <c:formatCode>General</c:formatCode>
                <c:ptCount val="5"/>
                <c:pt idx="0">
                  <c:v>95.094620000000006</c:v>
                </c:pt>
                <c:pt idx="1">
                  <c:v>95.266738599999996</c:v>
                </c:pt>
                <c:pt idx="2">
                  <c:v>98.875850420000006</c:v>
                </c:pt>
                <c:pt idx="3">
                  <c:v>102.9977322</c:v>
                </c:pt>
                <c:pt idx="4">
                  <c:v>95.503401670000002</c:v>
                </c:pt>
              </c:numCache>
            </c:numRef>
          </c:val>
          <c:extLst>
            <c:ext xmlns:c16="http://schemas.microsoft.com/office/drawing/2014/chart" uri="{C3380CC4-5D6E-409C-BE32-E72D297353CC}">
              <c16:uniqueId val="{00000006-542F-4718-B185-121EE5D474E6}"/>
            </c:ext>
          </c:extLst>
        </c:ser>
        <c:ser>
          <c:idx val="8"/>
          <c:order val="8"/>
          <c:tx>
            <c:strRef>
              <c:f>戸美!$F$10</c:f>
              <c:strCache>
                <c:ptCount val="1"/>
                <c:pt idx="0">
                  <c:v>新年大将優ICO</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戸美!$G$10:$K$10</c:f>
              <c:numCache>
                <c:formatCode>General</c:formatCode>
                <c:ptCount val="5"/>
                <c:pt idx="0">
                  <c:v>103.679035</c:v>
                </c:pt>
                <c:pt idx="1">
                  <c:v>102.8399568</c:v>
                </c:pt>
                <c:pt idx="2">
                  <c:v>104.4965983</c:v>
                </c:pt>
                <c:pt idx="3">
                  <c:v>103.74716530000001</c:v>
                </c:pt>
                <c:pt idx="4">
                  <c:v>103.3724488</c:v>
                </c:pt>
              </c:numCache>
            </c:numRef>
          </c:val>
          <c:extLst xmlns:c15="http://schemas.microsoft.com/office/drawing/2012/chart">
            <c:ext xmlns:c16="http://schemas.microsoft.com/office/drawing/2014/chart" uri="{C3380CC4-5D6E-409C-BE32-E72D297353CC}">
              <c16:uniqueId val="{00000007-542F-4718-B185-121EE5D474E6}"/>
            </c:ext>
          </c:extLst>
        </c:ser>
        <c:ser>
          <c:idx val="9"/>
          <c:order val="9"/>
          <c:tx>
            <c:strRef>
              <c:f>戸美!$F$11</c:f>
              <c:strCache>
                <c:ptCount val="1"/>
                <c:pt idx="0">
                  <c:v>バーガー潜尚保ICO</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戸美!$G$11:$K$11</c:f>
              <c:numCache>
                <c:formatCode>General</c:formatCode>
                <c:ptCount val="5"/>
                <c:pt idx="0">
                  <c:v>101.22634499999999</c:v>
                </c:pt>
                <c:pt idx="1">
                  <c:v>99.526673900000006</c:v>
                </c:pt>
                <c:pt idx="2">
                  <c:v>100</c:v>
                </c:pt>
                <c:pt idx="3">
                  <c:v>97.751700830000004</c:v>
                </c:pt>
                <c:pt idx="4">
                  <c:v>102.24829920000001</c:v>
                </c:pt>
              </c:numCache>
            </c:numRef>
          </c:val>
          <c:extLst xmlns:c15="http://schemas.microsoft.com/office/drawing/2012/chart">
            <c:ext xmlns:c16="http://schemas.microsoft.com/office/drawing/2014/chart" uri="{C3380CC4-5D6E-409C-BE32-E72D297353CC}">
              <c16:uniqueId val="{00000000-942F-42D4-8ED0-07961CB84ABB}"/>
            </c:ext>
          </c:extLst>
        </c:ser>
        <c:ser>
          <c:idx val="10"/>
          <c:order val="10"/>
          <c:tx>
            <c:strRef>
              <c:f>戸美!$F$12</c:f>
              <c:strCache>
                <c:ptCount val="1"/>
                <c:pt idx="0">
                  <c:v>カンフー大将優ICO</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戸美!$G$12:$K$12</c:f>
              <c:numCache>
                <c:formatCode>General</c:formatCode>
                <c:ptCount val="5"/>
                <c:pt idx="0">
                  <c:v>103.679035</c:v>
                </c:pt>
                <c:pt idx="1">
                  <c:v>105.2065875</c:v>
                </c:pt>
                <c:pt idx="2">
                  <c:v>102.24829920000001</c:v>
                </c:pt>
                <c:pt idx="3">
                  <c:v>105.24603140000001</c:v>
                </c:pt>
                <c:pt idx="4">
                  <c:v>101.1241496</c:v>
                </c:pt>
              </c:numCache>
            </c:numRef>
          </c:val>
          <c:extLst xmlns:c15="http://schemas.microsoft.com/office/drawing/2012/chart">
            <c:ext xmlns:c16="http://schemas.microsoft.com/office/drawing/2014/chart" uri="{C3380CC4-5D6E-409C-BE32-E72D297353CC}">
              <c16:uniqueId val="{00000000-785A-4659-AD84-AC992C23F4C4}"/>
            </c:ext>
          </c:extLst>
        </c:ser>
        <c:ser>
          <c:idx val="11"/>
          <c:order val="11"/>
          <c:tx>
            <c:strRef>
              <c:f>戸美!$F$13</c:f>
              <c:strCache>
                <c:ptCount val="1"/>
                <c:pt idx="0">
                  <c:v>カンフー広尾倖児ICO</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戸美!$G$13:$K$13</c:f>
              <c:numCache>
                <c:formatCode>General</c:formatCode>
                <c:ptCount val="5"/>
                <c:pt idx="0">
                  <c:v>96.934137500000006</c:v>
                </c:pt>
                <c:pt idx="1">
                  <c:v>98.106695439999996</c:v>
                </c:pt>
                <c:pt idx="2">
                  <c:v>97.751700830000004</c:v>
                </c:pt>
                <c:pt idx="3">
                  <c:v>97.002267779999997</c:v>
                </c:pt>
                <c:pt idx="4">
                  <c:v>103.3724488</c:v>
                </c:pt>
              </c:numCache>
            </c:numRef>
          </c:val>
          <c:extLst>
            <c:ext xmlns:c16="http://schemas.microsoft.com/office/drawing/2014/chart" uri="{C3380CC4-5D6E-409C-BE32-E72D297353CC}">
              <c16:uniqueId val="{00000000-169D-4722-A903-4208CA59AF2A}"/>
            </c:ext>
          </c:extLst>
        </c:ser>
        <c:ser>
          <c:idx val="12"/>
          <c:order val="12"/>
          <c:tx>
            <c:strRef>
              <c:f>戸美!$F$14</c:f>
              <c:strCache>
                <c:ptCount val="1"/>
                <c:pt idx="0">
                  <c:v>妖大将優ICO</c:v>
                </c:pt>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戸美!$G$14:$K$14</c:f>
              <c:numCache>
                <c:formatCode>General</c:formatCode>
                <c:ptCount val="5"/>
                <c:pt idx="0">
                  <c:v>105.5185525</c:v>
                </c:pt>
                <c:pt idx="1">
                  <c:v>100.47332609999999</c:v>
                </c:pt>
                <c:pt idx="2">
                  <c:v>102.24829920000001</c:v>
                </c:pt>
                <c:pt idx="3">
                  <c:v>105.9954644</c:v>
                </c:pt>
                <c:pt idx="4">
                  <c:v>105.05867309999999</c:v>
                </c:pt>
              </c:numCache>
            </c:numRef>
          </c:val>
          <c:extLst>
            <c:ext xmlns:c16="http://schemas.microsoft.com/office/drawing/2014/chart" uri="{C3380CC4-5D6E-409C-BE32-E72D297353CC}">
              <c16:uniqueId val="{00000001-169D-4722-A903-4208CA59AF2A}"/>
            </c:ext>
          </c:extLst>
        </c:ser>
        <c:ser>
          <c:idx val="13"/>
          <c:order val="13"/>
          <c:tx>
            <c:strRef>
              <c:f>戸美!$F$15</c:f>
              <c:strCache>
                <c:ptCount val="1"/>
                <c:pt idx="0">
                  <c:v>寝正月潜尚保ICO</c:v>
                </c:pt>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戸美!$G$15:$K$15</c:f>
              <c:numCache>
                <c:formatCode>General</c:formatCode>
                <c:ptCount val="5"/>
                <c:pt idx="0">
                  <c:v>103.06586249999999</c:v>
                </c:pt>
                <c:pt idx="1">
                  <c:v>99.526673900000006</c:v>
                </c:pt>
                <c:pt idx="2">
                  <c:v>101.1241496</c:v>
                </c:pt>
                <c:pt idx="3">
                  <c:v>100</c:v>
                </c:pt>
                <c:pt idx="4">
                  <c:v>104.4965983</c:v>
                </c:pt>
              </c:numCache>
            </c:numRef>
          </c:val>
          <c:extLst>
            <c:ext xmlns:c16="http://schemas.microsoft.com/office/drawing/2014/chart" uri="{C3380CC4-5D6E-409C-BE32-E72D297353CC}">
              <c16:uniqueId val="{00000000-CF3C-4847-B2E9-06910BD64C7A}"/>
            </c:ext>
          </c:extLst>
        </c:ser>
        <c:ser>
          <c:idx val="14"/>
          <c:order val="14"/>
          <c:tx>
            <c:strRef>
              <c:f>戸美!$F$16</c:f>
              <c:strCache>
                <c:ptCount val="1"/>
                <c:pt idx="0">
                  <c:v>梅雨2大将優ICO</c:v>
                </c:pt>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戸美!$G$1:$K$1</c:f>
              <c:strCache>
                <c:ptCount val="5"/>
                <c:pt idx="0">
                  <c:v>Q_RZS.AttackVal</c:v>
                </c:pt>
                <c:pt idx="1">
                  <c:v>Q_RZS.ServeVal</c:v>
                </c:pt>
                <c:pt idx="2">
                  <c:v>Q_RZS.TossVal</c:v>
                </c:pt>
                <c:pt idx="3">
                  <c:v>Q_RZS.ReceiveVal</c:v>
                </c:pt>
                <c:pt idx="4">
                  <c:v>Q_RZS.BlockVal</c:v>
                </c:pt>
              </c:strCache>
            </c:strRef>
          </c:cat>
          <c:val>
            <c:numRef>
              <c:f>戸美!$G$16:$K$16</c:f>
              <c:numCache>
                <c:formatCode>General</c:formatCode>
                <c:ptCount val="5"/>
                <c:pt idx="0">
                  <c:v>106.131725</c:v>
                </c:pt>
                <c:pt idx="1">
                  <c:v>102.8399568</c:v>
                </c:pt>
                <c:pt idx="2">
                  <c:v>105.6207479</c:v>
                </c:pt>
                <c:pt idx="3">
                  <c:v>105.9954644</c:v>
                </c:pt>
                <c:pt idx="4">
                  <c:v>105.6207479</c:v>
                </c:pt>
              </c:numCache>
            </c:numRef>
          </c:val>
          <c:extLst>
            <c:ext xmlns:c16="http://schemas.microsoft.com/office/drawing/2014/chart" uri="{C3380CC4-5D6E-409C-BE32-E72D297353CC}">
              <c16:uniqueId val="{00000000-FF63-4A66-88EC-9C02392FDE9B}"/>
            </c:ext>
          </c:extLst>
        </c:ser>
        <c:dLbls>
          <c:showLegendKey val="0"/>
          <c:showVal val="0"/>
          <c:showCatName val="0"/>
          <c:showSerName val="0"/>
          <c:showPercent val="0"/>
          <c:showBubbleSize val="0"/>
        </c:dLbls>
        <c:axId val="880915327"/>
        <c:axId val="880898047"/>
        <c:extLst/>
      </c:radarChart>
      <c:catAx>
        <c:axId val="88091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898047"/>
        <c:crosses val="autoZero"/>
        <c:auto val="1"/>
        <c:lblAlgn val="ctr"/>
        <c:lblOffset val="100"/>
        <c:noMultiLvlLbl val="0"/>
      </c:catAx>
      <c:valAx>
        <c:axId val="880898047"/>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915327"/>
        <c:crosses val="autoZero"/>
        <c:crossBetween val="between"/>
        <c:majorUnit val="10"/>
      </c:valAx>
      <c:spPr>
        <a:noFill/>
        <a:ln>
          <a:noFill/>
        </a:ln>
        <a:effectLst/>
      </c:spPr>
    </c:plotArea>
    <c:legend>
      <c:legendPos val="t"/>
      <c:layout>
        <c:manualLayout>
          <c:xMode val="edge"/>
          <c:yMode val="edge"/>
          <c:x val="0.58404151949619842"/>
          <c:y val="8.5532656164645074E-2"/>
          <c:w val="0.41595845075912735"/>
          <c:h val="0.91446738478315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椿原</a:t>
            </a:r>
            <a:endParaRPr lang="en-US" altLang="ja-JP"/>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ltLang="ja-JP"/>
        </a:p>
      </c:txPr>
    </c:title>
    <c:autoTitleDeleted val="0"/>
    <c:plotArea>
      <c:layout>
        <c:manualLayout>
          <c:layoutTarget val="inner"/>
          <c:xMode val="edge"/>
          <c:yMode val="edge"/>
          <c:x val="7.8648397812078399E-2"/>
          <c:y val="0.12602289141165207"/>
          <c:w val="0.42136720347733803"/>
          <c:h val="0.84043167360360438"/>
        </c:manualLayout>
      </c:layout>
      <c:radarChart>
        <c:radarStyle val="marker"/>
        <c:varyColors val="0"/>
        <c:ser>
          <c:idx val="0"/>
          <c:order val="0"/>
          <c:tx>
            <c:strRef>
              <c:f>椿原!$F$2</c:f>
              <c:strCache>
                <c:ptCount val="1"/>
                <c:pt idx="0">
                  <c:v>姫川葵ICO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椿原!$G$1:$K$1</c:f>
              <c:strCache>
                <c:ptCount val="5"/>
                <c:pt idx="0">
                  <c:v>Q_RZS.AttackVal</c:v>
                </c:pt>
                <c:pt idx="1">
                  <c:v>Q_RZS.ServeVal</c:v>
                </c:pt>
                <c:pt idx="2">
                  <c:v>Q_RZS.TossVal</c:v>
                </c:pt>
                <c:pt idx="3">
                  <c:v>Q_RZS.ReceiveVal</c:v>
                </c:pt>
                <c:pt idx="4">
                  <c:v>Q_RZS.BlockVal</c:v>
                </c:pt>
              </c:strCache>
            </c:strRef>
          </c:cat>
          <c:val>
            <c:numRef>
              <c:f>椿原!$G$2:$K$2</c:f>
              <c:numCache>
                <c:formatCode>General</c:formatCode>
                <c:ptCount val="5"/>
                <c:pt idx="0">
                  <c:v>98.773655000000005</c:v>
                </c:pt>
                <c:pt idx="1">
                  <c:v>103.78660910000001</c:v>
                </c:pt>
                <c:pt idx="2">
                  <c:v>100</c:v>
                </c:pt>
                <c:pt idx="3">
                  <c:v>97.751700830000004</c:v>
                </c:pt>
                <c:pt idx="4">
                  <c:v>95.503401670000002</c:v>
                </c:pt>
              </c:numCache>
            </c:numRef>
          </c:val>
          <c:extLst>
            <c:ext xmlns:c16="http://schemas.microsoft.com/office/drawing/2014/chart" uri="{C3380CC4-5D6E-409C-BE32-E72D297353CC}">
              <c16:uniqueId val="{00000000-8EC3-4830-85BC-1EB2C93661A2}"/>
            </c:ext>
          </c:extLst>
        </c:ser>
        <c:ser>
          <c:idx val="1"/>
          <c:order val="1"/>
          <c:tx>
            <c:strRef>
              <c:f>椿原!$F$3</c:f>
              <c:strCache>
                <c:ptCount val="1"/>
                <c:pt idx="0">
                  <c:v>当間義友ICO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椿原!$G$1:$K$1</c:f>
              <c:strCache>
                <c:ptCount val="5"/>
                <c:pt idx="0">
                  <c:v>Q_RZS.AttackVal</c:v>
                </c:pt>
                <c:pt idx="1">
                  <c:v>Q_RZS.ServeVal</c:v>
                </c:pt>
                <c:pt idx="2">
                  <c:v>Q_RZS.TossVal</c:v>
                </c:pt>
                <c:pt idx="3">
                  <c:v>Q_RZS.ReceiveVal</c:v>
                </c:pt>
                <c:pt idx="4">
                  <c:v>Q_RZS.BlockVal</c:v>
                </c:pt>
              </c:strCache>
            </c:strRef>
          </c:cat>
          <c:val>
            <c:numRef>
              <c:f>椿原!$G$3:$K$3</c:f>
              <c:numCache>
                <c:formatCode>General</c:formatCode>
                <c:ptCount val="5"/>
                <c:pt idx="0">
                  <c:v>93.868274999999997</c:v>
                </c:pt>
                <c:pt idx="1">
                  <c:v>93.846760180000004</c:v>
                </c:pt>
                <c:pt idx="2">
                  <c:v>96.627551249999996</c:v>
                </c:pt>
                <c:pt idx="3">
                  <c:v>94.753968610000001</c:v>
                </c:pt>
                <c:pt idx="4">
                  <c:v>101.1241496</c:v>
                </c:pt>
              </c:numCache>
            </c:numRef>
          </c:val>
          <c:extLst xmlns:c15="http://schemas.microsoft.com/office/drawing/2012/chart">
            <c:ext xmlns:c16="http://schemas.microsoft.com/office/drawing/2014/chart" uri="{C3380CC4-5D6E-409C-BE32-E72D297353CC}">
              <c16:uniqueId val="{00000000-51A7-4FAC-801C-225FE3E639F5}"/>
            </c:ext>
          </c:extLst>
        </c:ser>
        <c:ser>
          <c:idx val="2"/>
          <c:order val="2"/>
          <c:tx>
            <c:strRef>
              <c:f>椿原!$F$4</c:f>
              <c:strCache>
                <c:ptCount val="1"/>
                <c:pt idx="0">
                  <c:v>越後栄ICO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椿原!$G$1:$K$1</c:f>
              <c:strCache>
                <c:ptCount val="5"/>
                <c:pt idx="0">
                  <c:v>Q_RZS.AttackVal</c:v>
                </c:pt>
                <c:pt idx="1">
                  <c:v>Q_RZS.ServeVal</c:v>
                </c:pt>
                <c:pt idx="2">
                  <c:v>Q_RZS.TossVal</c:v>
                </c:pt>
                <c:pt idx="3">
                  <c:v>Q_RZS.ReceiveVal</c:v>
                </c:pt>
                <c:pt idx="4">
                  <c:v>Q_RZS.BlockVal</c:v>
                </c:pt>
              </c:strCache>
            </c:strRef>
          </c:cat>
          <c:val>
            <c:numRef>
              <c:f>椿原!$G$4:$K$4</c:f>
              <c:numCache>
                <c:formatCode>General</c:formatCode>
                <c:ptCount val="5"/>
                <c:pt idx="0">
                  <c:v>98.773655000000005</c:v>
                </c:pt>
                <c:pt idx="1">
                  <c:v>102.8399568</c:v>
                </c:pt>
                <c:pt idx="2">
                  <c:v>111.2414958</c:v>
                </c:pt>
                <c:pt idx="3">
                  <c:v>99.250566939999999</c:v>
                </c:pt>
                <c:pt idx="4">
                  <c:v>97.189626039999993</c:v>
                </c:pt>
              </c:numCache>
            </c:numRef>
          </c:val>
          <c:extLst>
            <c:ext xmlns:c16="http://schemas.microsoft.com/office/drawing/2014/chart" uri="{C3380CC4-5D6E-409C-BE32-E72D297353CC}">
              <c16:uniqueId val="{00000000-B89F-42D6-9809-4B03471E6063}"/>
            </c:ext>
          </c:extLst>
        </c:ser>
        <c:ser>
          <c:idx val="3"/>
          <c:order val="3"/>
          <c:tx>
            <c:strRef>
              <c:f>椿原!$F$5</c:f>
              <c:strCache>
                <c:ptCount val="1"/>
                <c:pt idx="0">
                  <c:v>貝掛亮文ICO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椿原!$G$1:$K$1</c:f>
              <c:strCache>
                <c:ptCount val="5"/>
                <c:pt idx="0">
                  <c:v>Q_RZS.AttackVal</c:v>
                </c:pt>
                <c:pt idx="1">
                  <c:v>Q_RZS.ServeVal</c:v>
                </c:pt>
                <c:pt idx="2">
                  <c:v>Q_RZS.TossVal</c:v>
                </c:pt>
                <c:pt idx="3">
                  <c:v>Q_RZS.ReceiveVal</c:v>
                </c:pt>
                <c:pt idx="4">
                  <c:v>Q_RZS.BlockVal</c:v>
                </c:pt>
              </c:strCache>
            </c:strRef>
          </c:cat>
          <c:val>
            <c:numRef>
              <c:f>椿原!$G$5:$K$5</c:f>
              <c:numCache>
                <c:formatCode>General</c:formatCode>
                <c:ptCount val="5"/>
                <c:pt idx="0">
                  <c:v>95.707792499999996</c:v>
                </c:pt>
                <c:pt idx="1">
                  <c:v>95.740064739999994</c:v>
                </c:pt>
                <c:pt idx="2">
                  <c:v>96.627551249999996</c:v>
                </c:pt>
                <c:pt idx="3">
                  <c:v>105.24603140000001</c:v>
                </c:pt>
                <c:pt idx="4">
                  <c:v>95.503401670000002</c:v>
                </c:pt>
              </c:numCache>
            </c:numRef>
          </c:val>
          <c:extLst>
            <c:ext xmlns:c16="http://schemas.microsoft.com/office/drawing/2014/chart" uri="{C3380CC4-5D6E-409C-BE32-E72D297353CC}">
              <c16:uniqueId val="{00000000-7D36-4AEC-A065-5CCA20DC56A2}"/>
            </c:ext>
          </c:extLst>
        </c:ser>
        <c:ser>
          <c:idx val="4"/>
          <c:order val="4"/>
          <c:tx>
            <c:strRef>
              <c:f>椿原!$F$6</c:f>
              <c:strCache>
                <c:ptCount val="1"/>
                <c:pt idx="0">
                  <c:v>丸山一喜ICO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椿原!$G$1:$K$1</c:f>
              <c:strCache>
                <c:ptCount val="5"/>
                <c:pt idx="0">
                  <c:v>Q_RZS.AttackVal</c:v>
                </c:pt>
                <c:pt idx="1">
                  <c:v>Q_RZS.ServeVal</c:v>
                </c:pt>
                <c:pt idx="2">
                  <c:v>Q_RZS.TossVal</c:v>
                </c:pt>
                <c:pt idx="3">
                  <c:v>Q_RZS.ReceiveVal</c:v>
                </c:pt>
                <c:pt idx="4">
                  <c:v>Q_RZS.BlockVal</c:v>
                </c:pt>
              </c:strCache>
            </c:strRef>
          </c:cat>
          <c:val>
            <c:numRef>
              <c:f>椿原!$G$6:$K$6</c:f>
              <c:numCache>
                <c:formatCode>General</c:formatCode>
                <c:ptCount val="5"/>
                <c:pt idx="0">
                  <c:v>100</c:v>
                </c:pt>
                <c:pt idx="1">
                  <c:v>98.106695439999996</c:v>
                </c:pt>
                <c:pt idx="2">
                  <c:v>97.751700830000004</c:v>
                </c:pt>
                <c:pt idx="3">
                  <c:v>97.751700830000004</c:v>
                </c:pt>
                <c:pt idx="4">
                  <c:v>100</c:v>
                </c:pt>
              </c:numCache>
            </c:numRef>
          </c:val>
          <c:extLst>
            <c:ext xmlns:c16="http://schemas.microsoft.com/office/drawing/2014/chart" uri="{C3380CC4-5D6E-409C-BE32-E72D297353CC}">
              <c16:uniqueId val="{00000001-7D36-4AEC-A065-5CCA20DC56A2}"/>
            </c:ext>
          </c:extLst>
        </c:ser>
        <c:ser>
          <c:idx val="5"/>
          <c:order val="5"/>
          <c:tx>
            <c:strRef>
              <c:f>椿原!$F$7</c:f>
              <c:strCache>
                <c:ptCount val="1"/>
                <c:pt idx="0">
                  <c:v>舞子侑志ICO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椿原!$G$1:$K$1</c:f>
              <c:strCache>
                <c:ptCount val="5"/>
                <c:pt idx="0">
                  <c:v>Q_RZS.AttackVal</c:v>
                </c:pt>
                <c:pt idx="1">
                  <c:v>Q_RZS.ServeVal</c:v>
                </c:pt>
                <c:pt idx="2">
                  <c:v>Q_RZS.TossVal</c:v>
                </c:pt>
                <c:pt idx="3">
                  <c:v>Q_RZS.ReceiveVal</c:v>
                </c:pt>
                <c:pt idx="4">
                  <c:v>Q_RZS.BlockVal</c:v>
                </c:pt>
              </c:strCache>
            </c:strRef>
          </c:cat>
          <c:val>
            <c:numRef>
              <c:f>椿原!$G$7:$K$7</c:f>
              <c:numCache>
                <c:formatCode>General</c:formatCode>
                <c:ptCount val="5"/>
                <c:pt idx="0">
                  <c:v>97.547309999999996</c:v>
                </c:pt>
                <c:pt idx="1">
                  <c:v>94.320086320000001</c:v>
                </c:pt>
                <c:pt idx="2">
                  <c:v>96.627551249999996</c:v>
                </c:pt>
                <c:pt idx="3">
                  <c:v>98.501133890000006</c:v>
                </c:pt>
                <c:pt idx="4">
                  <c:v>98.875850420000006</c:v>
                </c:pt>
              </c:numCache>
            </c:numRef>
          </c:val>
          <c:extLst xmlns:c15="http://schemas.microsoft.com/office/drawing/2012/chart">
            <c:ext xmlns:c16="http://schemas.microsoft.com/office/drawing/2014/chart" uri="{C3380CC4-5D6E-409C-BE32-E72D297353CC}">
              <c16:uniqueId val="{00000002-7D36-4AEC-A065-5CCA20DC56A2}"/>
            </c:ext>
          </c:extLst>
        </c:ser>
        <c:ser>
          <c:idx val="6"/>
          <c:order val="6"/>
          <c:tx>
            <c:strRef>
              <c:f>椿原!$F$8</c:f>
              <c:strCache>
                <c:ptCount val="1"/>
                <c:pt idx="0">
                  <c:v>寺泊基希ICO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椿原!$G$1:$K$1</c:f>
              <c:strCache>
                <c:ptCount val="5"/>
                <c:pt idx="0">
                  <c:v>Q_RZS.AttackVal</c:v>
                </c:pt>
                <c:pt idx="1">
                  <c:v>Q_RZS.ServeVal</c:v>
                </c:pt>
                <c:pt idx="2">
                  <c:v>Q_RZS.TossVal</c:v>
                </c:pt>
                <c:pt idx="3">
                  <c:v>Q_RZS.ReceiveVal</c:v>
                </c:pt>
                <c:pt idx="4">
                  <c:v>Q_RZS.BlockVal</c:v>
                </c:pt>
              </c:strCache>
            </c:strRef>
          </c:cat>
          <c:val>
            <c:numRef>
              <c:f>椿原!$G$8:$K$8</c:f>
              <c:numCache>
                <c:formatCode>General</c:formatCode>
                <c:ptCount val="5"/>
                <c:pt idx="0">
                  <c:v>101.8395175</c:v>
                </c:pt>
                <c:pt idx="1">
                  <c:v>95.740064739999994</c:v>
                </c:pt>
                <c:pt idx="2">
                  <c:v>96.627551249999996</c:v>
                </c:pt>
                <c:pt idx="3">
                  <c:v>94.753968610000001</c:v>
                </c:pt>
                <c:pt idx="4">
                  <c:v>98.875850420000006</c:v>
                </c:pt>
              </c:numCache>
            </c:numRef>
          </c:val>
          <c:extLst xmlns:c15="http://schemas.microsoft.com/office/drawing/2012/chart">
            <c:ext xmlns:c16="http://schemas.microsoft.com/office/drawing/2014/chart" uri="{C3380CC4-5D6E-409C-BE32-E72D297353CC}">
              <c16:uniqueId val="{00000003-7D36-4AEC-A065-5CCA20DC56A2}"/>
            </c:ext>
          </c:extLst>
        </c:ser>
        <c:ser>
          <c:idx val="7"/>
          <c:order val="7"/>
          <c:tx>
            <c:strRef>
              <c:f>椿原!$F$9</c:f>
              <c:strCache>
                <c:ptCount val="1"/>
                <c:pt idx="0">
                  <c:v>花火姫川葵ICO</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椿原!$G$1:$K$1</c:f>
              <c:strCache>
                <c:ptCount val="5"/>
                <c:pt idx="0">
                  <c:v>Q_RZS.AttackVal</c:v>
                </c:pt>
                <c:pt idx="1">
                  <c:v>Q_RZS.ServeVal</c:v>
                </c:pt>
                <c:pt idx="2">
                  <c:v>Q_RZS.TossVal</c:v>
                </c:pt>
                <c:pt idx="3">
                  <c:v>Q_RZS.ReceiveVal</c:v>
                </c:pt>
                <c:pt idx="4">
                  <c:v>Q_RZS.BlockVal</c:v>
                </c:pt>
              </c:strCache>
            </c:strRef>
          </c:cat>
          <c:val>
            <c:numRef>
              <c:f>椿原!$G$9:$K$9</c:f>
              <c:numCache>
                <c:formatCode>General</c:formatCode>
                <c:ptCount val="5"/>
                <c:pt idx="0">
                  <c:v>100.6131725</c:v>
                </c:pt>
                <c:pt idx="1">
                  <c:v>105.6799137</c:v>
                </c:pt>
                <c:pt idx="2">
                  <c:v>101.1241496</c:v>
                </c:pt>
                <c:pt idx="3">
                  <c:v>99.250566939999999</c:v>
                </c:pt>
                <c:pt idx="4">
                  <c:v>97.751700830000004</c:v>
                </c:pt>
              </c:numCache>
            </c:numRef>
          </c:val>
          <c:extLst xmlns:c15="http://schemas.microsoft.com/office/drawing/2012/chart">
            <c:ext xmlns:c16="http://schemas.microsoft.com/office/drawing/2014/chart" uri="{C3380CC4-5D6E-409C-BE32-E72D297353CC}">
              <c16:uniqueId val="{00000000-3040-487F-B5E2-F857A7B9DD3F}"/>
            </c:ext>
          </c:extLst>
        </c:ser>
        <c:dLbls>
          <c:showLegendKey val="0"/>
          <c:showVal val="0"/>
          <c:showCatName val="0"/>
          <c:showSerName val="0"/>
          <c:showPercent val="0"/>
          <c:showBubbleSize val="0"/>
        </c:dLbls>
        <c:axId val="703731935"/>
        <c:axId val="703752575"/>
        <c:extLst/>
      </c:radarChart>
      <c:catAx>
        <c:axId val="7037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03752575"/>
        <c:crosses val="autoZero"/>
        <c:auto val="1"/>
        <c:lblAlgn val="ctr"/>
        <c:lblOffset val="100"/>
        <c:noMultiLvlLbl val="0"/>
      </c:catAx>
      <c:valAx>
        <c:axId val="703752575"/>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703731935"/>
        <c:crosses val="autoZero"/>
        <c:crossBetween val="between"/>
        <c:majorUnit val="10"/>
      </c:valAx>
      <c:spPr>
        <a:noFill/>
        <a:ln>
          <a:noFill/>
        </a:ln>
        <a:effectLst/>
      </c:spPr>
    </c:plotArea>
    <c:legend>
      <c:legendPos val="r"/>
      <c:layout>
        <c:manualLayout>
          <c:xMode val="edge"/>
          <c:yMode val="edge"/>
          <c:x val="0.61970321106786908"/>
          <c:y val="0.10216386782327679"/>
          <c:w val="0.35439961602283865"/>
          <c:h val="0.861667997662421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生川</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7.8561669996474306E-2"/>
          <c:y val="0.14300140641593556"/>
          <c:w val="0.42206413797155951"/>
          <c:h val="0.82464050286545287"/>
        </c:manualLayout>
      </c:layout>
      <c:radarChart>
        <c:radarStyle val="marker"/>
        <c:varyColors val="0"/>
        <c:ser>
          <c:idx val="0"/>
          <c:order val="0"/>
          <c:tx>
            <c:strRef>
              <c:f>生川!$F$2</c:f>
              <c:strCache>
                <c:ptCount val="1"/>
                <c:pt idx="0">
                  <c:v>強羅昌己ICO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生川!$G$1:$K$1</c:f>
              <c:strCache>
                <c:ptCount val="5"/>
                <c:pt idx="0">
                  <c:v>Q_RZS.AttackVal</c:v>
                </c:pt>
                <c:pt idx="1">
                  <c:v>Q_RZS.ServeVal</c:v>
                </c:pt>
                <c:pt idx="2">
                  <c:v>Q_RZS.TossVal</c:v>
                </c:pt>
                <c:pt idx="3">
                  <c:v>Q_RZS.ReceiveVal</c:v>
                </c:pt>
                <c:pt idx="4">
                  <c:v>Q_RZS.BlockVal</c:v>
                </c:pt>
              </c:strCache>
            </c:strRef>
          </c:cat>
          <c:val>
            <c:numRef>
              <c:f>生川!$G$2:$K$2</c:f>
              <c:numCache>
                <c:formatCode>General</c:formatCode>
                <c:ptCount val="5"/>
                <c:pt idx="0">
                  <c:v>99.386827499999995</c:v>
                </c:pt>
                <c:pt idx="1">
                  <c:v>101.89330459999999</c:v>
                </c:pt>
                <c:pt idx="2">
                  <c:v>101.1241496</c:v>
                </c:pt>
                <c:pt idx="3">
                  <c:v>100</c:v>
                </c:pt>
                <c:pt idx="4">
                  <c:v>101.1241496</c:v>
                </c:pt>
              </c:numCache>
            </c:numRef>
          </c:val>
          <c:extLst>
            <c:ext xmlns:c16="http://schemas.microsoft.com/office/drawing/2014/chart" uri="{C3380CC4-5D6E-409C-BE32-E72D297353CC}">
              <c16:uniqueId val="{00000008-C0C2-4FF3-9582-D7D170228049}"/>
            </c:ext>
          </c:extLst>
        </c:ser>
        <c:ser>
          <c:idx val="1"/>
          <c:order val="1"/>
          <c:tx>
            <c:strRef>
              <c:f>生川!$F$3</c:f>
              <c:strCache>
                <c:ptCount val="1"/>
                <c:pt idx="0">
                  <c:v>芦谷洋平ICO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生川!$G$1:$K$1</c:f>
              <c:strCache>
                <c:ptCount val="5"/>
                <c:pt idx="0">
                  <c:v>Q_RZS.AttackVal</c:v>
                </c:pt>
                <c:pt idx="1">
                  <c:v>Q_RZS.ServeVal</c:v>
                </c:pt>
                <c:pt idx="2">
                  <c:v>Q_RZS.TossVal</c:v>
                </c:pt>
                <c:pt idx="3">
                  <c:v>Q_RZS.ReceiveVal</c:v>
                </c:pt>
                <c:pt idx="4">
                  <c:v>Q_RZS.BlockVal</c:v>
                </c:pt>
              </c:strCache>
            </c:strRef>
          </c:cat>
          <c:val>
            <c:numRef>
              <c:f>生川!$G$3:$K$3</c:f>
              <c:numCache>
                <c:formatCode>General</c:formatCode>
                <c:ptCount val="5"/>
                <c:pt idx="0">
                  <c:v>99.386827499999995</c:v>
                </c:pt>
                <c:pt idx="1">
                  <c:v>97.633369299999998</c:v>
                </c:pt>
                <c:pt idx="2">
                  <c:v>104.4965983</c:v>
                </c:pt>
                <c:pt idx="3">
                  <c:v>94.753968610000001</c:v>
                </c:pt>
                <c:pt idx="4">
                  <c:v>97.189626039999993</c:v>
                </c:pt>
              </c:numCache>
            </c:numRef>
          </c:val>
          <c:extLst>
            <c:ext xmlns:c16="http://schemas.microsoft.com/office/drawing/2014/chart" uri="{C3380CC4-5D6E-409C-BE32-E72D297353CC}">
              <c16:uniqueId val="{00000000-799C-4EBD-B17B-9A060E1C8A45}"/>
            </c:ext>
          </c:extLst>
        </c:ser>
        <c:ser>
          <c:idx val="2"/>
          <c:order val="2"/>
          <c:tx>
            <c:strRef>
              <c:f>生川!$F$4</c:f>
              <c:strCache>
                <c:ptCount val="1"/>
                <c:pt idx="0">
                  <c:v>仙石伸吾ICO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生川!$G$1:$K$1</c:f>
              <c:strCache>
                <c:ptCount val="5"/>
                <c:pt idx="0">
                  <c:v>Q_RZS.AttackVal</c:v>
                </c:pt>
                <c:pt idx="1">
                  <c:v>Q_RZS.ServeVal</c:v>
                </c:pt>
                <c:pt idx="2">
                  <c:v>Q_RZS.TossVal</c:v>
                </c:pt>
                <c:pt idx="3">
                  <c:v>Q_RZS.ReceiveVal</c:v>
                </c:pt>
                <c:pt idx="4">
                  <c:v>Q_RZS.BlockVal</c:v>
                </c:pt>
              </c:strCache>
            </c:strRef>
          </c:cat>
          <c:val>
            <c:numRef>
              <c:f>生川!$G$4:$K$4</c:f>
              <c:numCache>
                <c:formatCode>General</c:formatCode>
                <c:ptCount val="5"/>
                <c:pt idx="0">
                  <c:v>96.320965000000001</c:v>
                </c:pt>
                <c:pt idx="1">
                  <c:v>97.160043160000001</c:v>
                </c:pt>
                <c:pt idx="2">
                  <c:v>96.627551249999996</c:v>
                </c:pt>
                <c:pt idx="3">
                  <c:v>94.753968610000001</c:v>
                </c:pt>
                <c:pt idx="4">
                  <c:v>98.875850420000006</c:v>
                </c:pt>
              </c:numCache>
            </c:numRef>
          </c:val>
          <c:extLst>
            <c:ext xmlns:c16="http://schemas.microsoft.com/office/drawing/2014/chart" uri="{C3380CC4-5D6E-409C-BE32-E72D297353CC}">
              <c16:uniqueId val="{00000000-C7C3-45A5-8CC0-84D4222E0FDD}"/>
            </c:ext>
          </c:extLst>
        </c:ser>
        <c:ser>
          <c:idx val="3"/>
          <c:order val="3"/>
          <c:tx>
            <c:strRef>
              <c:f>生川!$F$5</c:f>
              <c:strCache>
                <c:ptCount val="1"/>
                <c:pt idx="0">
                  <c:v>中川俊美ICO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生川!$G$1:$K$1</c:f>
              <c:strCache>
                <c:ptCount val="5"/>
                <c:pt idx="0">
                  <c:v>Q_RZS.AttackVal</c:v>
                </c:pt>
                <c:pt idx="1">
                  <c:v>Q_RZS.ServeVal</c:v>
                </c:pt>
                <c:pt idx="2">
                  <c:v>Q_RZS.TossVal</c:v>
                </c:pt>
                <c:pt idx="3">
                  <c:v>Q_RZS.ReceiveVal</c:v>
                </c:pt>
                <c:pt idx="4">
                  <c:v>Q_RZS.BlockVal</c:v>
                </c:pt>
              </c:strCache>
            </c:strRef>
          </c:cat>
          <c:val>
            <c:numRef>
              <c:f>生川!$G$5:$K$5</c:f>
              <c:numCache>
                <c:formatCode>General</c:formatCode>
                <c:ptCount val="5"/>
                <c:pt idx="0">
                  <c:v>94.481447500000002</c:v>
                </c:pt>
                <c:pt idx="1">
                  <c:v>95.740064739999994</c:v>
                </c:pt>
                <c:pt idx="2">
                  <c:v>100</c:v>
                </c:pt>
                <c:pt idx="3">
                  <c:v>102.9977322</c:v>
                </c:pt>
                <c:pt idx="4">
                  <c:v>95.503401670000002</c:v>
                </c:pt>
              </c:numCache>
            </c:numRef>
          </c:val>
          <c:extLst>
            <c:ext xmlns:c16="http://schemas.microsoft.com/office/drawing/2014/chart" uri="{C3380CC4-5D6E-409C-BE32-E72D297353CC}">
              <c16:uniqueId val="{00000000-845B-40F4-99E9-3333D8E9781D}"/>
            </c:ext>
          </c:extLst>
        </c:ser>
        <c:ser>
          <c:idx val="4"/>
          <c:order val="4"/>
          <c:tx>
            <c:strRef>
              <c:f>生川!$F$6</c:f>
              <c:strCache>
                <c:ptCount val="1"/>
                <c:pt idx="0">
                  <c:v>七沢健吾ICO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生川!$G$1:$K$1</c:f>
              <c:strCache>
                <c:ptCount val="5"/>
                <c:pt idx="0">
                  <c:v>Q_RZS.AttackVal</c:v>
                </c:pt>
                <c:pt idx="1">
                  <c:v>Q_RZS.ServeVal</c:v>
                </c:pt>
                <c:pt idx="2">
                  <c:v>Q_RZS.TossVal</c:v>
                </c:pt>
                <c:pt idx="3">
                  <c:v>Q_RZS.ReceiveVal</c:v>
                </c:pt>
                <c:pt idx="4">
                  <c:v>Q_RZS.BlockVal</c:v>
                </c:pt>
              </c:strCache>
            </c:strRef>
          </c:cat>
          <c:val>
            <c:numRef>
              <c:f>生川!$G$6:$K$6</c:f>
              <c:numCache>
                <c:formatCode>General</c:formatCode>
                <c:ptCount val="5"/>
                <c:pt idx="0">
                  <c:v>92.641930000000002</c:v>
                </c:pt>
                <c:pt idx="1">
                  <c:v>96.213390880000006</c:v>
                </c:pt>
                <c:pt idx="2">
                  <c:v>104.4965983</c:v>
                </c:pt>
                <c:pt idx="3">
                  <c:v>94.004535559999994</c:v>
                </c:pt>
                <c:pt idx="4">
                  <c:v>95.503401670000002</c:v>
                </c:pt>
              </c:numCache>
            </c:numRef>
          </c:val>
          <c:extLst>
            <c:ext xmlns:c16="http://schemas.microsoft.com/office/drawing/2014/chart" uri="{C3380CC4-5D6E-409C-BE32-E72D297353CC}">
              <c16:uniqueId val="{00000001-845B-40F4-99E9-3333D8E9781D}"/>
            </c:ext>
          </c:extLst>
        </c:ser>
        <c:ser>
          <c:idx val="5"/>
          <c:order val="5"/>
          <c:tx>
            <c:strRef>
              <c:f>生川!$F$7</c:f>
              <c:strCache>
                <c:ptCount val="1"/>
                <c:pt idx="0">
                  <c:v>伊勢原裕次ICO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生川!$G$1:$K$1</c:f>
              <c:strCache>
                <c:ptCount val="5"/>
                <c:pt idx="0">
                  <c:v>Q_RZS.AttackVal</c:v>
                </c:pt>
                <c:pt idx="1">
                  <c:v>Q_RZS.ServeVal</c:v>
                </c:pt>
                <c:pt idx="2">
                  <c:v>Q_RZS.TossVal</c:v>
                </c:pt>
                <c:pt idx="3">
                  <c:v>Q_RZS.ReceiveVal</c:v>
                </c:pt>
                <c:pt idx="4">
                  <c:v>Q_RZS.BlockVal</c:v>
                </c:pt>
              </c:strCache>
            </c:strRef>
          </c:cat>
          <c:val>
            <c:numRef>
              <c:f>生川!$G$7:$K$7</c:f>
              <c:numCache>
                <c:formatCode>General</c:formatCode>
                <c:ptCount val="5"/>
                <c:pt idx="0">
                  <c:v>95.707792499999996</c:v>
                </c:pt>
                <c:pt idx="1">
                  <c:v>93.846760180000004</c:v>
                </c:pt>
                <c:pt idx="2">
                  <c:v>96.627551249999996</c:v>
                </c:pt>
                <c:pt idx="3">
                  <c:v>94.753968610000001</c:v>
                </c:pt>
                <c:pt idx="4">
                  <c:v>98.875850420000006</c:v>
                </c:pt>
              </c:numCache>
            </c:numRef>
          </c:val>
          <c:extLst>
            <c:ext xmlns:c16="http://schemas.microsoft.com/office/drawing/2014/chart" uri="{C3380CC4-5D6E-409C-BE32-E72D297353CC}">
              <c16:uniqueId val="{00000000-39BF-47C2-A70A-F96062F0B5C1}"/>
            </c:ext>
          </c:extLst>
        </c:ser>
        <c:ser>
          <c:idx val="6"/>
          <c:order val="6"/>
          <c:tx>
            <c:strRef>
              <c:f>生川!$F$8</c:f>
              <c:strCache>
                <c:ptCount val="1"/>
                <c:pt idx="0">
                  <c:v>湯河浩二ICO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生川!$G$1:$K$1</c:f>
              <c:strCache>
                <c:ptCount val="5"/>
                <c:pt idx="0">
                  <c:v>Q_RZS.AttackVal</c:v>
                </c:pt>
                <c:pt idx="1">
                  <c:v>Q_RZS.ServeVal</c:v>
                </c:pt>
                <c:pt idx="2">
                  <c:v>Q_RZS.TossVal</c:v>
                </c:pt>
                <c:pt idx="3">
                  <c:v>Q_RZS.ReceiveVal</c:v>
                </c:pt>
                <c:pt idx="4">
                  <c:v>Q_RZS.BlockVal</c:v>
                </c:pt>
              </c:strCache>
            </c:strRef>
          </c:cat>
          <c:val>
            <c:numRef>
              <c:f>生川!$G$8:$K$8</c:f>
              <c:numCache>
                <c:formatCode>General</c:formatCode>
                <c:ptCount val="5"/>
                <c:pt idx="0">
                  <c:v>100</c:v>
                </c:pt>
                <c:pt idx="1">
                  <c:v>99.526673900000006</c:v>
                </c:pt>
                <c:pt idx="2">
                  <c:v>101.1241496</c:v>
                </c:pt>
                <c:pt idx="3">
                  <c:v>97.751700830000004</c:v>
                </c:pt>
                <c:pt idx="4">
                  <c:v>101.1241496</c:v>
                </c:pt>
              </c:numCache>
            </c:numRef>
          </c:val>
          <c:extLst>
            <c:ext xmlns:c16="http://schemas.microsoft.com/office/drawing/2014/chart" uri="{C3380CC4-5D6E-409C-BE32-E72D297353CC}">
              <c16:uniqueId val="{00000000-8283-43FA-B589-CBEBE539C4F4}"/>
            </c:ext>
          </c:extLst>
        </c:ser>
        <c:dLbls>
          <c:showLegendKey val="0"/>
          <c:showVal val="0"/>
          <c:showCatName val="0"/>
          <c:showSerName val="0"/>
          <c:showPercent val="0"/>
          <c:showBubbleSize val="0"/>
        </c:dLbls>
        <c:axId val="1797304960"/>
        <c:axId val="1797305920"/>
      </c:radarChart>
      <c:catAx>
        <c:axId val="17973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97305920"/>
        <c:crosses val="autoZero"/>
        <c:auto val="1"/>
        <c:lblAlgn val="ctr"/>
        <c:lblOffset val="100"/>
        <c:noMultiLvlLbl val="0"/>
      </c:catAx>
      <c:valAx>
        <c:axId val="1797305920"/>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97304960"/>
        <c:crosses val="autoZero"/>
        <c:crossBetween val="between"/>
        <c:majorUnit val="10"/>
      </c:valAx>
      <c:spPr>
        <a:noFill/>
        <a:ln>
          <a:noFill/>
        </a:ln>
        <a:effectLst/>
      </c:spPr>
    </c:plotArea>
    <c:legend>
      <c:legendPos val="t"/>
      <c:layout>
        <c:manualLayout>
          <c:xMode val="edge"/>
          <c:yMode val="edge"/>
          <c:x val="0.77321626774265162"/>
          <c:y val="8.4323114761277573E-2"/>
          <c:w val="0.14922614617202698"/>
          <c:h val="0.915676913411339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森然</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8.5813656340167785E-2"/>
          <c:y val="0.17398036074508144"/>
          <c:w val="0.40128055345013214"/>
          <c:h val="0.79711697387266578"/>
        </c:manualLayout>
      </c:layout>
      <c:radarChart>
        <c:radarStyle val="marker"/>
        <c:varyColors val="0"/>
        <c:ser>
          <c:idx val="0"/>
          <c:order val="0"/>
          <c:tx>
            <c:strRef>
              <c:f>森然!$F$2</c:f>
              <c:strCache>
                <c:ptCount val="1"/>
                <c:pt idx="0">
                  <c:v>千鹿谷栄吉ICO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森然!$G$1:$K$1</c:f>
              <c:strCache>
                <c:ptCount val="5"/>
                <c:pt idx="0">
                  <c:v>Q_RZS.AttackVal</c:v>
                </c:pt>
                <c:pt idx="1">
                  <c:v>Q_RZS.ServeVal</c:v>
                </c:pt>
                <c:pt idx="2">
                  <c:v>Q_RZS.TossVal</c:v>
                </c:pt>
                <c:pt idx="3">
                  <c:v>Q_RZS.ReceiveVal</c:v>
                </c:pt>
                <c:pt idx="4">
                  <c:v>Q_RZS.BlockVal</c:v>
                </c:pt>
              </c:strCache>
            </c:strRef>
          </c:cat>
          <c:val>
            <c:numRef>
              <c:f>森然!$G$2:$K$2</c:f>
              <c:numCache>
                <c:formatCode>General</c:formatCode>
                <c:ptCount val="5"/>
                <c:pt idx="0">
                  <c:v>103.06586249999999</c:v>
                </c:pt>
                <c:pt idx="1">
                  <c:v>100</c:v>
                </c:pt>
                <c:pt idx="2">
                  <c:v>100</c:v>
                </c:pt>
                <c:pt idx="3">
                  <c:v>96.252834719999996</c:v>
                </c:pt>
                <c:pt idx="4">
                  <c:v>103.3724488</c:v>
                </c:pt>
              </c:numCache>
            </c:numRef>
          </c:val>
          <c:extLst>
            <c:ext xmlns:c16="http://schemas.microsoft.com/office/drawing/2014/chart" uri="{C3380CC4-5D6E-409C-BE32-E72D297353CC}">
              <c16:uniqueId val="{00000000-8651-4CDB-BBF2-20D815649ED8}"/>
            </c:ext>
          </c:extLst>
        </c:ser>
        <c:ser>
          <c:idx val="1"/>
          <c:order val="1"/>
          <c:tx>
            <c:strRef>
              <c:f>森然!$F$3</c:f>
              <c:strCache>
                <c:ptCount val="1"/>
                <c:pt idx="0">
                  <c:v>小鹿野大樹ICO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森然!$G$1:$K$1</c:f>
              <c:strCache>
                <c:ptCount val="5"/>
                <c:pt idx="0">
                  <c:v>Q_RZS.AttackVal</c:v>
                </c:pt>
                <c:pt idx="1">
                  <c:v>Q_RZS.ServeVal</c:v>
                </c:pt>
                <c:pt idx="2">
                  <c:v>Q_RZS.TossVal</c:v>
                </c:pt>
                <c:pt idx="3">
                  <c:v>Q_RZS.ReceiveVal</c:v>
                </c:pt>
                <c:pt idx="4">
                  <c:v>Q_RZS.BlockVal</c:v>
                </c:pt>
              </c:strCache>
            </c:strRef>
          </c:cat>
          <c:val>
            <c:numRef>
              <c:f>森然!$G$3:$K$3</c:f>
              <c:numCache>
                <c:formatCode>General</c:formatCode>
                <c:ptCount val="5"/>
                <c:pt idx="0">
                  <c:v>101.8395175</c:v>
                </c:pt>
                <c:pt idx="1">
                  <c:v>99.053347720000005</c:v>
                </c:pt>
                <c:pt idx="2">
                  <c:v>103.3724488</c:v>
                </c:pt>
                <c:pt idx="3">
                  <c:v>97.751700830000004</c:v>
                </c:pt>
                <c:pt idx="4">
                  <c:v>98.875850420000006</c:v>
                </c:pt>
              </c:numCache>
            </c:numRef>
          </c:val>
          <c:extLst>
            <c:ext xmlns:c16="http://schemas.microsoft.com/office/drawing/2014/chart" uri="{C3380CC4-5D6E-409C-BE32-E72D297353CC}">
              <c16:uniqueId val="{00000001-8651-4CDB-BBF2-20D815649ED8}"/>
            </c:ext>
          </c:extLst>
        </c:ser>
        <c:ser>
          <c:idx val="2"/>
          <c:order val="2"/>
          <c:tx>
            <c:strRef>
              <c:f>森然!$F$4</c:f>
              <c:strCache>
                <c:ptCount val="1"/>
                <c:pt idx="0">
                  <c:v>赤谷勇ICO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森然!$G$1:$K$1</c:f>
              <c:strCache>
                <c:ptCount val="5"/>
                <c:pt idx="0">
                  <c:v>Q_RZS.AttackVal</c:v>
                </c:pt>
                <c:pt idx="1">
                  <c:v>Q_RZS.ServeVal</c:v>
                </c:pt>
                <c:pt idx="2">
                  <c:v>Q_RZS.TossVal</c:v>
                </c:pt>
                <c:pt idx="3">
                  <c:v>Q_RZS.ReceiveVal</c:v>
                </c:pt>
                <c:pt idx="4">
                  <c:v>Q_RZS.BlockVal</c:v>
                </c:pt>
              </c:strCache>
            </c:strRef>
          </c:cat>
          <c:val>
            <c:numRef>
              <c:f>森然!$G$4:$K$4</c:f>
              <c:numCache>
                <c:formatCode>General</c:formatCode>
                <c:ptCount val="5"/>
                <c:pt idx="0">
                  <c:v>94.481447500000002</c:v>
                </c:pt>
                <c:pt idx="1">
                  <c:v>94.793412459999999</c:v>
                </c:pt>
                <c:pt idx="2">
                  <c:v>102.24829920000001</c:v>
                </c:pt>
                <c:pt idx="3">
                  <c:v>103.74716530000001</c:v>
                </c:pt>
                <c:pt idx="4">
                  <c:v>94.941326880000005</c:v>
                </c:pt>
              </c:numCache>
            </c:numRef>
          </c:val>
          <c:extLst>
            <c:ext xmlns:c16="http://schemas.microsoft.com/office/drawing/2014/chart" uri="{C3380CC4-5D6E-409C-BE32-E72D297353CC}">
              <c16:uniqueId val="{00000000-086F-475E-AA29-08A27745EE83}"/>
            </c:ext>
          </c:extLst>
        </c:ser>
        <c:ser>
          <c:idx val="3"/>
          <c:order val="3"/>
          <c:tx>
            <c:strRef>
              <c:f>森然!$F$5</c:f>
              <c:strCache>
                <c:ptCount val="1"/>
                <c:pt idx="0">
                  <c:v>児玉勝ICO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森然!$G$1:$K$1</c:f>
              <c:strCache>
                <c:ptCount val="5"/>
                <c:pt idx="0">
                  <c:v>Q_RZS.AttackVal</c:v>
                </c:pt>
                <c:pt idx="1">
                  <c:v>Q_RZS.ServeVal</c:v>
                </c:pt>
                <c:pt idx="2">
                  <c:v>Q_RZS.TossVal</c:v>
                </c:pt>
                <c:pt idx="3">
                  <c:v>Q_RZS.ReceiveVal</c:v>
                </c:pt>
                <c:pt idx="4">
                  <c:v>Q_RZS.BlockVal</c:v>
                </c:pt>
              </c:strCache>
            </c:strRef>
          </c:cat>
          <c:val>
            <c:numRef>
              <c:f>森然!$G$5:$K$5</c:f>
              <c:numCache>
                <c:formatCode>General</c:formatCode>
                <c:ptCount val="5"/>
                <c:pt idx="0">
                  <c:v>96.934137500000006</c:v>
                </c:pt>
                <c:pt idx="1">
                  <c:v>95.740064739999994</c:v>
                </c:pt>
                <c:pt idx="2">
                  <c:v>96.627551249999996</c:v>
                </c:pt>
                <c:pt idx="3">
                  <c:v>98.501133890000006</c:v>
                </c:pt>
                <c:pt idx="4">
                  <c:v>97.189626039999993</c:v>
                </c:pt>
              </c:numCache>
            </c:numRef>
          </c:val>
          <c:extLst>
            <c:ext xmlns:c16="http://schemas.microsoft.com/office/drawing/2014/chart" uri="{C3380CC4-5D6E-409C-BE32-E72D297353CC}">
              <c16:uniqueId val="{00000000-A42B-4B1C-A15C-749C393ABF33}"/>
            </c:ext>
          </c:extLst>
        </c:ser>
        <c:ser>
          <c:idx val="4"/>
          <c:order val="4"/>
          <c:tx>
            <c:strRef>
              <c:f>森然!$F$6</c:f>
              <c:strCache>
                <c:ptCount val="1"/>
                <c:pt idx="0">
                  <c:v>名栗翔太ICO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森然!$G$1:$K$1</c:f>
              <c:strCache>
                <c:ptCount val="5"/>
                <c:pt idx="0">
                  <c:v>Q_RZS.AttackVal</c:v>
                </c:pt>
                <c:pt idx="1">
                  <c:v>Q_RZS.ServeVal</c:v>
                </c:pt>
                <c:pt idx="2">
                  <c:v>Q_RZS.TossVal</c:v>
                </c:pt>
                <c:pt idx="3">
                  <c:v>Q_RZS.ReceiveVal</c:v>
                </c:pt>
                <c:pt idx="4">
                  <c:v>Q_RZS.BlockVal</c:v>
                </c:pt>
              </c:strCache>
            </c:strRef>
          </c:cat>
          <c:val>
            <c:numRef>
              <c:f>森然!$G$6:$K$6</c:f>
              <c:numCache>
                <c:formatCode>General</c:formatCode>
                <c:ptCount val="5"/>
                <c:pt idx="0">
                  <c:v>94.481447500000002</c:v>
                </c:pt>
                <c:pt idx="1">
                  <c:v>96.213390880000006</c:v>
                </c:pt>
                <c:pt idx="2">
                  <c:v>105.6207479</c:v>
                </c:pt>
                <c:pt idx="3">
                  <c:v>97.751700830000004</c:v>
                </c:pt>
                <c:pt idx="4">
                  <c:v>96.065476459999999</c:v>
                </c:pt>
              </c:numCache>
            </c:numRef>
          </c:val>
          <c:extLst>
            <c:ext xmlns:c16="http://schemas.microsoft.com/office/drawing/2014/chart" uri="{C3380CC4-5D6E-409C-BE32-E72D297353CC}">
              <c16:uniqueId val="{00000000-D925-41E6-B7B6-C10D5D84F03E}"/>
            </c:ext>
          </c:extLst>
        </c:ser>
        <c:ser>
          <c:idx val="5"/>
          <c:order val="5"/>
          <c:tx>
            <c:strRef>
              <c:f>森然!$F$7</c:f>
              <c:strCache>
                <c:ptCount val="1"/>
                <c:pt idx="0">
                  <c:v>島府典明ICO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森然!$G$1:$K$1</c:f>
              <c:strCache>
                <c:ptCount val="5"/>
                <c:pt idx="0">
                  <c:v>Q_RZS.AttackVal</c:v>
                </c:pt>
                <c:pt idx="1">
                  <c:v>Q_RZS.ServeVal</c:v>
                </c:pt>
                <c:pt idx="2">
                  <c:v>Q_RZS.TossVal</c:v>
                </c:pt>
                <c:pt idx="3">
                  <c:v>Q_RZS.ReceiveVal</c:v>
                </c:pt>
                <c:pt idx="4">
                  <c:v>Q_RZS.BlockVal</c:v>
                </c:pt>
              </c:strCache>
            </c:strRef>
          </c:cat>
          <c:val>
            <c:numRef>
              <c:f>森然!$G$7:$K$7</c:f>
              <c:numCache>
                <c:formatCode>General</c:formatCode>
                <c:ptCount val="5"/>
                <c:pt idx="0">
                  <c:v>95.707792499999996</c:v>
                </c:pt>
                <c:pt idx="1">
                  <c:v>92.900107890000001</c:v>
                </c:pt>
                <c:pt idx="2">
                  <c:v>102.24829920000001</c:v>
                </c:pt>
                <c:pt idx="3">
                  <c:v>94.004535559999994</c:v>
                </c:pt>
                <c:pt idx="4">
                  <c:v>97.189626039999993</c:v>
                </c:pt>
              </c:numCache>
            </c:numRef>
          </c:val>
          <c:extLst>
            <c:ext xmlns:c16="http://schemas.microsoft.com/office/drawing/2014/chart" uri="{C3380CC4-5D6E-409C-BE32-E72D297353CC}">
              <c16:uniqueId val="{00000000-B12C-40E1-9A81-6C879C3BF203}"/>
            </c:ext>
          </c:extLst>
        </c:ser>
        <c:ser>
          <c:idx val="6"/>
          <c:order val="6"/>
          <c:tx>
            <c:strRef>
              <c:f>森然!$F$8</c:f>
              <c:strCache>
                <c:ptCount val="1"/>
                <c:pt idx="0">
                  <c:v>吉川和孝ICO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森然!$G$1:$K$1</c:f>
              <c:strCache>
                <c:ptCount val="5"/>
                <c:pt idx="0">
                  <c:v>Q_RZS.AttackVal</c:v>
                </c:pt>
                <c:pt idx="1">
                  <c:v>Q_RZS.ServeVal</c:v>
                </c:pt>
                <c:pt idx="2">
                  <c:v>Q_RZS.TossVal</c:v>
                </c:pt>
                <c:pt idx="3">
                  <c:v>Q_RZS.ReceiveVal</c:v>
                </c:pt>
                <c:pt idx="4">
                  <c:v>Q_RZS.BlockVal</c:v>
                </c:pt>
              </c:strCache>
            </c:strRef>
          </c:cat>
          <c:val>
            <c:numRef>
              <c:f>森然!$G$8:$K$8</c:f>
              <c:numCache>
                <c:formatCode>General</c:formatCode>
                <c:ptCount val="5"/>
                <c:pt idx="0">
                  <c:v>94.481447500000002</c:v>
                </c:pt>
                <c:pt idx="1">
                  <c:v>93.846760180000004</c:v>
                </c:pt>
                <c:pt idx="2">
                  <c:v>97.751700830000004</c:v>
                </c:pt>
                <c:pt idx="3">
                  <c:v>94.004535559999994</c:v>
                </c:pt>
                <c:pt idx="4">
                  <c:v>97.751700830000004</c:v>
                </c:pt>
              </c:numCache>
            </c:numRef>
          </c:val>
          <c:extLst>
            <c:ext xmlns:c16="http://schemas.microsoft.com/office/drawing/2014/chart" uri="{C3380CC4-5D6E-409C-BE32-E72D297353CC}">
              <c16:uniqueId val="{00000000-6329-4A7B-90AA-01E28BF1366C}"/>
            </c:ext>
          </c:extLst>
        </c:ser>
        <c:dLbls>
          <c:showLegendKey val="0"/>
          <c:showVal val="0"/>
          <c:showCatName val="0"/>
          <c:showSerName val="0"/>
          <c:showPercent val="0"/>
          <c:showBubbleSize val="0"/>
        </c:dLbls>
        <c:axId val="1797304960"/>
        <c:axId val="1797305920"/>
      </c:radarChart>
      <c:catAx>
        <c:axId val="179730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97305920"/>
        <c:crosses val="autoZero"/>
        <c:auto val="1"/>
        <c:lblAlgn val="ctr"/>
        <c:lblOffset val="100"/>
        <c:noMultiLvlLbl val="0"/>
      </c:catAx>
      <c:valAx>
        <c:axId val="1797305920"/>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in"/>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1797304960"/>
        <c:crosses val="autoZero"/>
        <c:crossBetween val="between"/>
        <c:majorUnit val="10"/>
      </c:valAx>
      <c:spPr>
        <a:noFill/>
        <a:ln>
          <a:noFill/>
        </a:ln>
        <a:effectLst/>
      </c:spPr>
    </c:plotArea>
    <c:legend>
      <c:legendPos val="t"/>
      <c:layout>
        <c:manualLayout>
          <c:xMode val="edge"/>
          <c:yMode val="edge"/>
          <c:x val="0.60919673130987384"/>
          <c:y val="8.6353008230892703E-2"/>
          <c:w val="0.3908032686901261"/>
          <c:h val="0.881312403591052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ja-JP" altLang="en-US"/>
              <a:t>早流川</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ja-JP"/>
        </a:p>
      </c:txPr>
    </c:title>
    <c:autoTitleDeleted val="0"/>
    <c:plotArea>
      <c:layout>
        <c:manualLayout>
          <c:layoutTarget val="inner"/>
          <c:xMode val="edge"/>
          <c:yMode val="edge"/>
          <c:x val="7.9019028871391117E-2"/>
          <c:y val="0.16757414787777808"/>
          <c:w val="0.4068223691866103"/>
          <c:h val="0.80407206206318604"/>
        </c:manualLayout>
      </c:layout>
      <c:radarChart>
        <c:radarStyle val="marker"/>
        <c:varyColors val="0"/>
        <c:ser>
          <c:idx val="0"/>
          <c:order val="0"/>
          <c:tx>
            <c:strRef>
              <c:f>早流川!$F$2</c:f>
              <c:strCache>
                <c:ptCount val="1"/>
                <c:pt idx="0">
                  <c:v>白峰周ICO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早流川!$G$1:$K$1</c:f>
              <c:strCache>
                <c:ptCount val="5"/>
                <c:pt idx="0">
                  <c:v>Q_RZS.AttackVal</c:v>
                </c:pt>
                <c:pt idx="1">
                  <c:v>Q_RZS.ServeVal</c:v>
                </c:pt>
                <c:pt idx="2">
                  <c:v>Q_RZS.TossVal</c:v>
                </c:pt>
                <c:pt idx="3">
                  <c:v>Q_RZS.ReceiveVal</c:v>
                </c:pt>
                <c:pt idx="4">
                  <c:v>Q_RZS.BlockVal</c:v>
                </c:pt>
              </c:strCache>
            </c:strRef>
          </c:cat>
          <c:val>
            <c:numRef>
              <c:f>早流川!$G$2:$K$2</c:f>
              <c:numCache>
                <c:formatCode>General</c:formatCode>
                <c:ptCount val="5"/>
                <c:pt idx="0">
                  <c:v>98.160482500000001</c:v>
                </c:pt>
                <c:pt idx="1">
                  <c:v>100.9466523</c:v>
                </c:pt>
                <c:pt idx="2">
                  <c:v>108.9931967</c:v>
                </c:pt>
                <c:pt idx="3">
                  <c:v>99.250566939999999</c:v>
                </c:pt>
                <c:pt idx="4">
                  <c:v>100</c:v>
                </c:pt>
              </c:numCache>
            </c:numRef>
          </c:val>
          <c:extLst>
            <c:ext xmlns:c16="http://schemas.microsoft.com/office/drawing/2014/chart" uri="{C3380CC4-5D6E-409C-BE32-E72D297353CC}">
              <c16:uniqueId val="{00000000-2FF8-43EA-9A00-B54A93746CED}"/>
            </c:ext>
          </c:extLst>
        </c:ser>
        <c:ser>
          <c:idx val="1"/>
          <c:order val="1"/>
          <c:tx>
            <c:strRef>
              <c:f>早流川!$F$3</c:f>
              <c:strCache>
                <c:ptCount val="1"/>
                <c:pt idx="0">
                  <c:v>和倉久彦ICO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早流川!$G$1:$K$1</c:f>
              <c:strCache>
                <c:ptCount val="5"/>
                <c:pt idx="0">
                  <c:v>Q_RZS.AttackVal</c:v>
                </c:pt>
                <c:pt idx="1">
                  <c:v>Q_RZS.ServeVal</c:v>
                </c:pt>
                <c:pt idx="2">
                  <c:v>Q_RZS.TossVal</c:v>
                </c:pt>
                <c:pt idx="3">
                  <c:v>Q_RZS.ReceiveVal</c:v>
                </c:pt>
                <c:pt idx="4">
                  <c:v>Q_RZS.BlockVal</c:v>
                </c:pt>
              </c:strCache>
            </c:strRef>
          </c:cat>
          <c:val>
            <c:numRef>
              <c:f>早流川!$G$3:$K$3</c:f>
              <c:numCache>
                <c:formatCode>General</c:formatCode>
                <c:ptCount val="5"/>
                <c:pt idx="0">
                  <c:v>94.481447500000002</c:v>
                </c:pt>
                <c:pt idx="1">
                  <c:v>97.160043160000001</c:v>
                </c:pt>
                <c:pt idx="2">
                  <c:v>96.627551249999996</c:v>
                </c:pt>
                <c:pt idx="3">
                  <c:v>96.252834719999996</c:v>
                </c:pt>
                <c:pt idx="4">
                  <c:v>100</c:v>
                </c:pt>
              </c:numCache>
            </c:numRef>
          </c:val>
          <c:extLst>
            <c:ext xmlns:c16="http://schemas.microsoft.com/office/drawing/2014/chart" uri="{C3380CC4-5D6E-409C-BE32-E72D297353CC}">
              <c16:uniqueId val="{00000000-9E27-4B7E-BB47-7AAEC4F86A57}"/>
            </c:ext>
          </c:extLst>
        </c:ser>
        <c:ser>
          <c:idx val="2"/>
          <c:order val="2"/>
          <c:tx>
            <c:strRef>
              <c:f>早流川!$F$4</c:f>
              <c:strCache>
                <c:ptCount val="1"/>
                <c:pt idx="0">
                  <c:v>金沢伊織ICO</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早流川!$G$1:$K$1</c:f>
              <c:strCache>
                <c:ptCount val="5"/>
                <c:pt idx="0">
                  <c:v>Q_RZS.AttackVal</c:v>
                </c:pt>
                <c:pt idx="1">
                  <c:v>Q_RZS.ServeVal</c:v>
                </c:pt>
                <c:pt idx="2">
                  <c:v>Q_RZS.TossVal</c:v>
                </c:pt>
                <c:pt idx="3">
                  <c:v>Q_RZS.ReceiveVal</c:v>
                </c:pt>
                <c:pt idx="4">
                  <c:v>Q_RZS.BlockVal</c:v>
                </c:pt>
              </c:strCache>
            </c:strRef>
          </c:cat>
          <c:val>
            <c:numRef>
              <c:f>早流川!$G$4:$K$4</c:f>
              <c:numCache>
                <c:formatCode>General</c:formatCode>
                <c:ptCount val="5"/>
                <c:pt idx="0">
                  <c:v>99.386827499999995</c:v>
                </c:pt>
                <c:pt idx="1">
                  <c:v>98.106695439999996</c:v>
                </c:pt>
                <c:pt idx="2">
                  <c:v>96.627551249999996</c:v>
                </c:pt>
                <c:pt idx="3">
                  <c:v>94.004535559999994</c:v>
                </c:pt>
                <c:pt idx="4">
                  <c:v>101.6862244</c:v>
                </c:pt>
              </c:numCache>
            </c:numRef>
          </c:val>
          <c:extLst>
            <c:ext xmlns:c16="http://schemas.microsoft.com/office/drawing/2014/chart" uri="{C3380CC4-5D6E-409C-BE32-E72D297353CC}">
              <c16:uniqueId val="{00000000-A6E6-4005-ACF5-E7B276A9918A}"/>
            </c:ext>
          </c:extLst>
        </c:ser>
        <c:ser>
          <c:idx val="3"/>
          <c:order val="3"/>
          <c:tx>
            <c:strRef>
              <c:f>早流川!$F$5</c:f>
              <c:strCache>
                <c:ptCount val="1"/>
                <c:pt idx="0">
                  <c:v>志賀智也ICO</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早流川!$G$1:$K$1</c:f>
              <c:strCache>
                <c:ptCount val="5"/>
                <c:pt idx="0">
                  <c:v>Q_RZS.AttackVal</c:v>
                </c:pt>
                <c:pt idx="1">
                  <c:v>Q_RZS.ServeVal</c:v>
                </c:pt>
                <c:pt idx="2">
                  <c:v>Q_RZS.TossVal</c:v>
                </c:pt>
                <c:pt idx="3">
                  <c:v>Q_RZS.ReceiveVal</c:v>
                </c:pt>
                <c:pt idx="4">
                  <c:v>Q_RZS.BlockVal</c:v>
                </c:pt>
              </c:strCache>
            </c:strRef>
          </c:cat>
          <c:val>
            <c:numRef>
              <c:f>早流川!$G$5:$K$5</c:f>
              <c:numCache>
                <c:formatCode>General</c:formatCode>
                <c:ptCount val="5"/>
                <c:pt idx="0">
                  <c:v>96.320965000000001</c:v>
                </c:pt>
                <c:pt idx="1">
                  <c:v>94.320086320000001</c:v>
                </c:pt>
                <c:pt idx="2">
                  <c:v>96.627551249999996</c:v>
                </c:pt>
                <c:pt idx="3">
                  <c:v>93.255102500000007</c:v>
                </c:pt>
                <c:pt idx="4">
                  <c:v>98.313775629999995</c:v>
                </c:pt>
              </c:numCache>
            </c:numRef>
          </c:val>
          <c:extLst>
            <c:ext xmlns:c16="http://schemas.microsoft.com/office/drawing/2014/chart" uri="{C3380CC4-5D6E-409C-BE32-E72D297353CC}">
              <c16:uniqueId val="{00000000-2CA8-404D-92A8-320067AABA35}"/>
            </c:ext>
          </c:extLst>
        </c:ser>
        <c:ser>
          <c:idx val="4"/>
          <c:order val="4"/>
          <c:tx>
            <c:strRef>
              <c:f>早流川!$F$6</c:f>
              <c:strCache>
                <c:ptCount val="1"/>
                <c:pt idx="0">
                  <c:v>輪島友和ICO</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早流川!$G$1:$K$1</c:f>
              <c:strCache>
                <c:ptCount val="5"/>
                <c:pt idx="0">
                  <c:v>Q_RZS.AttackVal</c:v>
                </c:pt>
                <c:pt idx="1">
                  <c:v>Q_RZS.ServeVal</c:v>
                </c:pt>
                <c:pt idx="2">
                  <c:v>Q_RZS.TossVal</c:v>
                </c:pt>
                <c:pt idx="3">
                  <c:v>Q_RZS.ReceiveVal</c:v>
                </c:pt>
                <c:pt idx="4">
                  <c:v>Q_RZS.BlockVal</c:v>
                </c:pt>
              </c:strCache>
            </c:strRef>
          </c:cat>
          <c:val>
            <c:numRef>
              <c:f>早流川!$G$6:$K$6</c:f>
              <c:numCache>
                <c:formatCode>General</c:formatCode>
                <c:ptCount val="5"/>
                <c:pt idx="0">
                  <c:v>95.707792499999996</c:v>
                </c:pt>
                <c:pt idx="1">
                  <c:v>96.213390880000006</c:v>
                </c:pt>
                <c:pt idx="2">
                  <c:v>104.4965983</c:v>
                </c:pt>
                <c:pt idx="3">
                  <c:v>105.9954644</c:v>
                </c:pt>
                <c:pt idx="4">
                  <c:v>95.503401670000002</c:v>
                </c:pt>
              </c:numCache>
            </c:numRef>
          </c:val>
          <c:extLst>
            <c:ext xmlns:c16="http://schemas.microsoft.com/office/drawing/2014/chart" uri="{C3380CC4-5D6E-409C-BE32-E72D297353CC}">
              <c16:uniqueId val="{00000001-2CA8-404D-92A8-320067AABA35}"/>
            </c:ext>
          </c:extLst>
        </c:ser>
        <c:ser>
          <c:idx val="5"/>
          <c:order val="5"/>
          <c:tx>
            <c:strRef>
              <c:f>早流川!$F$7</c:f>
              <c:strCache>
                <c:ptCount val="1"/>
                <c:pt idx="0">
                  <c:v>深谷謙朗ICO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早流川!$G$1:$K$1</c:f>
              <c:strCache>
                <c:ptCount val="5"/>
                <c:pt idx="0">
                  <c:v>Q_RZS.AttackVal</c:v>
                </c:pt>
                <c:pt idx="1">
                  <c:v>Q_RZS.ServeVal</c:v>
                </c:pt>
                <c:pt idx="2">
                  <c:v>Q_RZS.TossVal</c:v>
                </c:pt>
                <c:pt idx="3">
                  <c:v>Q_RZS.ReceiveVal</c:v>
                </c:pt>
                <c:pt idx="4">
                  <c:v>Q_RZS.BlockVal</c:v>
                </c:pt>
              </c:strCache>
            </c:strRef>
          </c:cat>
          <c:val>
            <c:numRef>
              <c:f>早流川!$G$7:$K$7</c:f>
              <c:numCache>
                <c:formatCode>General</c:formatCode>
                <c:ptCount val="5"/>
                <c:pt idx="0">
                  <c:v>100.6131725</c:v>
                </c:pt>
                <c:pt idx="1">
                  <c:v>95.740064739999994</c:v>
                </c:pt>
                <c:pt idx="2">
                  <c:v>97.751700830000004</c:v>
                </c:pt>
                <c:pt idx="3">
                  <c:v>100.7494331</c:v>
                </c:pt>
                <c:pt idx="4">
                  <c:v>101.1241496</c:v>
                </c:pt>
              </c:numCache>
            </c:numRef>
          </c:val>
          <c:extLst>
            <c:ext xmlns:c16="http://schemas.microsoft.com/office/drawing/2014/chart" uri="{C3380CC4-5D6E-409C-BE32-E72D297353CC}">
              <c16:uniqueId val="{00000000-030B-4321-A275-A6608D94F0AB}"/>
            </c:ext>
          </c:extLst>
        </c:ser>
        <c:ser>
          <c:idx val="6"/>
          <c:order val="6"/>
          <c:tx>
            <c:strRef>
              <c:f>早流川!$F$8</c:f>
              <c:strCache>
                <c:ptCount val="1"/>
                <c:pt idx="0">
                  <c:v>山代総司ICO</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早流川!$G$1:$K$1</c:f>
              <c:strCache>
                <c:ptCount val="5"/>
                <c:pt idx="0">
                  <c:v>Q_RZS.AttackVal</c:v>
                </c:pt>
                <c:pt idx="1">
                  <c:v>Q_RZS.ServeVal</c:v>
                </c:pt>
                <c:pt idx="2">
                  <c:v>Q_RZS.TossVal</c:v>
                </c:pt>
                <c:pt idx="3">
                  <c:v>Q_RZS.ReceiveVal</c:v>
                </c:pt>
                <c:pt idx="4">
                  <c:v>Q_RZS.BlockVal</c:v>
                </c:pt>
              </c:strCache>
            </c:strRef>
          </c:cat>
          <c:val>
            <c:numRef>
              <c:f>早流川!$G$8:$K$8</c:f>
              <c:numCache>
                <c:formatCode>General</c:formatCode>
                <c:ptCount val="5"/>
                <c:pt idx="0">
                  <c:v>97.547309999999996</c:v>
                </c:pt>
                <c:pt idx="1">
                  <c:v>95.266738599999996</c:v>
                </c:pt>
                <c:pt idx="2">
                  <c:v>101.1241496</c:v>
                </c:pt>
                <c:pt idx="3">
                  <c:v>94.004535559999994</c:v>
                </c:pt>
                <c:pt idx="4">
                  <c:v>98.313775629999995</c:v>
                </c:pt>
              </c:numCache>
            </c:numRef>
          </c:val>
          <c:extLst>
            <c:ext xmlns:c16="http://schemas.microsoft.com/office/drawing/2014/chart" uri="{C3380CC4-5D6E-409C-BE32-E72D297353CC}">
              <c16:uniqueId val="{00000000-7298-40AE-8D38-57F1A3B5E94C}"/>
            </c:ext>
          </c:extLst>
        </c:ser>
        <c:dLbls>
          <c:showLegendKey val="0"/>
          <c:showVal val="0"/>
          <c:showCatName val="0"/>
          <c:showSerName val="0"/>
          <c:showPercent val="0"/>
          <c:showBubbleSize val="0"/>
        </c:dLbls>
        <c:axId val="880915327"/>
        <c:axId val="880898047"/>
        <c:extLst/>
      </c:radarChart>
      <c:catAx>
        <c:axId val="880915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898047"/>
        <c:crosses val="autoZero"/>
        <c:auto val="1"/>
        <c:lblAlgn val="ctr"/>
        <c:lblOffset val="100"/>
        <c:noMultiLvlLbl val="0"/>
      </c:catAx>
      <c:valAx>
        <c:axId val="880898047"/>
        <c:scaling>
          <c:orientation val="minMax"/>
          <c:max val="130"/>
          <c:min val="9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crossAx val="880915327"/>
        <c:crosses val="autoZero"/>
        <c:crossBetween val="between"/>
        <c:majorUnit val="10"/>
      </c:valAx>
      <c:spPr>
        <a:noFill/>
        <a:ln>
          <a:noFill/>
        </a:ln>
        <a:effectLst/>
      </c:spPr>
    </c:plotArea>
    <c:legend>
      <c:legendPos val="t"/>
      <c:layout>
        <c:manualLayout>
          <c:xMode val="edge"/>
          <c:yMode val="edge"/>
          <c:x val="0.58628285688426873"/>
          <c:y val="0"/>
          <c:w val="0.41343592826758718"/>
          <c:h val="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ja-JP"/>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ja-JP"/>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13" Type="http://schemas.openxmlformats.org/officeDocument/2006/relationships/chart" Target="../charts/chart16.xml"/><Relationship Id="rId18" Type="http://schemas.openxmlformats.org/officeDocument/2006/relationships/chart" Target="../charts/chart2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17" Type="http://schemas.openxmlformats.org/officeDocument/2006/relationships/chart" Target="../charts/chart20.xml"/><Relationship Id="rId2" Type="http://schemas.openxmlformats.org/officeDocument/2006/relationships/chart" Target="../charts/chart5.xml"/><Relationship Id="rId16" Type="http://schemas.openxmlformats.org/officeDocument/2006/relationships/chart" Target="../charts/chart19.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5" Type="http://schemas.openxmlformats.org/officeDocument/2006/relationships/chart" Target="../charts/chart18.xml"/><Relationship Id="rId10" Type="http://schemas.openxmlformats.org/officeDocument/2006/relationships/chart" Target="../charts/chart13.xml"/><Relationship Id="rId19" Type="http://schemas.openxmlformats.org/officeDocument/2006/relationships/chart" Target="../charts/chart22.xml"/><Relationship Id="rId4" Type="http://schemas.openxmlformats.org/officeDocument/2006/relationships/chart" Target="../charts/chart7.xml"/><Relationship Id="rId9" Type="http://schemas.openxmlformats.org/officeDocument/2006/relationships/chart" Target="../charts/chart12.xml"/><Relationship Id="rId14"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2</xdr:colOff>
      <xdr:row>0</xdr:row>
      <xdr:rowOff>7948</xdr:rowOff>
    </xdr:from>
    <xdr:to>
      <xdr:col>48</xdr:col>
      <xdr:colOff>127000</xdr:colOff>
      <xdr:row>186</xdr:row>
      <xdr:rowOff>158750</xdr:rowOff>
    </xdr:to>
    <xdr:graphicFrame macro="">
      <xdr:nvGraphicFramePr>
        <xdr:cNvPr id="2" name="ScatterPlotStat">
          <a:extLst>
            <a:ext uri="{FF2B5EF4-FFF2-40B4-BE49-F238E27FC236}">
              <a16:creationId xmlns:a16="http://schemas.microsoft.com/office/drawing/2014/main" id="{503409DF-D82F-44AA-9151-1779908691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36194</xdr:colOff>
      <xdr:row>1</xdr:row>
      <xdr:rowOff>77587</xdr:rowOff>
    </xdr:from>
    <xdr:to>
      <xdr:col>12</xdr:col>
      <xdr:colOff>30480</xdr:colOff>
      <xdr:row>39</xdr:row>
      <xdr:rowOff>175260</xdr:rowOff>
    </xdr:to>
    <xdr:graphicFrame macro="">
      <xdr:nvGraphicFramePr>
        <xdr:cNvPr id="2" name="グラフ 1">
          <a:extLst>
            <a:ext uri="{FF2B5EF4-FFF2-40B4-BE49-F238E27FC236}">
              <a16:creationId xmlns:a16="http://schemas.microsoft.com/office/drawing/2014/main" id="{57586E83-EF7A-4D0F-9B3B-E4750536B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30481</xdr:colOff>
      <xdr:row>69</xdr:row>
      <xdr:rowOff>175261</xdr:rowOff>
    </xdr:from>
    <xdr:to>
      <xdr:col>12</xdr:col>
      <xdr:colOff>190501</xdr:colOff>
      <xdr:row>110</xdr:row>
      <xdr:rowOff>198121</xdr:rowOff>
    </xdr:to>
    <xdr:graphicFrame macro="">
      <xdr:nvGraphicFramePr>
        <xdr:cNvPr id="3" name="中央値比較">
          <a:extLst>
            <a:ext uri="{FF2B5EF4-FFF2-40B4-BE49-F238E27FC236}">
              <a16:creationId xmlns:a16="http://schemas.microsoft.com/office/drawing/2014/main" id="{8B489FDA-2559-D30B-905D-55D05F594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16475</xdr:colOff>
      <xdr:row>7</xdr:row>
      <xdr:rowOff>71621</xdr:rowOff>
    </xdr:from>
    <xdr:to>
      <xdr:col>24</xdr:col>
      <xdr:colOff>666750</xdr:colOff>
      <xdr:row>43</xdr:row>
      <xdr:rowOff>177274</xdr:rowOff>
    </xdr:to>
    <xdr:graphicFrame macro="">
      <xdr:nvGraphicFramePr>
        <xdr:cNvPr id="3" name="グラフ 5">
          <a:extLst>
            <a:ext uri="{FF2B5EF4-FFF2-40B4-BE49-F238E27FC236}">
              <a16:creationId xmlns:a16="http://schemas.microsoft.com/office/drawing/2014/main" id="{3B13568B-F46A-F75C-0611-198D8D7D6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65813</xdr:colOff>
      <xdr:row>54</xdr:row>
      <xdr:rowOff>86234</xdr:rowOff>
    </xdr:from>
    <xdr:to>
      <xdr:col>22</xdr:col>
      <xdr:colOff>666749</xdr:colOff>
      <xdr:row>90</xdr:row>
      <xdr:rowOff>155886</xdr:rowOff>
    </xdr:to>
    <xdr:graphicFrame macro="">
      <xdr:nvGraphicFramePr>
        <xdr:cNvPr id="6" name="グラフ 3">
          <a:extLst>
            <a:ext uri="{FF2B5EF4-FFF2-40B4-BE49-F238E27FC236}">
              <a16:creationId xmlns:a16="http://schemas.microsoft.com/office/drawing/2014/main" id="{C77E146B-9CB6-3DDC-9A80-111AB8D49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43898</xdr:colOff>
      <xdr:row>99</xdr:row>
      <xdr:rowOff>20745</xdr:rowOff>
    </xdr:from>
    <xdr:to>
      <xdr:col>23</xdr:col>
      <xdr:colOff>31750</xdr:colOff>
      <xdr:row>135</xdr:row>
      <xdr:rowOff>126398</xdr:rowOff>
    </xdr:to>
    <xdr:graphicFrame macro="">
      <xdr:nvGraphicFramePr>
        <xdr:cNvPr id="8" name="グラフ 2">
          <a:extLst>
            <a:ext uri="{FF2B5EF4-FFF2-40B4-BE49-F238E27FC236}">
              <a16:creationId xmlns:a16="http://schemas.microsoft.com/office/drawing/2014/main" id="{91334573-FB11-1AE6-6970-E21689CA6D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23941</xdr:colOff>
      <xdr:row>139</xdr:row>
      <xdr:rowOff>103978</xdr:rowOff>
    </xdr:from>
    <xdr:to>
      <xdr:col>22</xdr:col>
      <xdr:colOff>666750</xdr:colOff>
      <xdr:row>176</xdr:row>
      <xdr:rowOff>2565</xdr:rowOff>
    </xdr:to>
    <xdr:graphicFrame macro="">
      <xdr:nvGraphicFramePr>
        <xdr:cNvPr id="10" name="グラフ 2">
          <a:extLst>
            <a:ext uri="{FF2B5EF4-FFF2-40B4-BE49-F238E27FC236}">
              <a16:creationId xmlns:a16="http://schemas.microsoft.com/office/drawing/2014/main" id="{1A5DC113-54C8-C5CC-A8A9-9290C9AB6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17621</xdr:colOff>
      <xdr:row>182</xdr:row>
      <xdr:rowOff>112521</xdr:rowOff>
    </xdr:from>
    <xdr:to>
      <xdr:col>17</xdr:col>
      <xdr:colOff>617220</xdr:colOff>
      <xdr:row>212</xdr:row>
      <xdr:rowOff>171825</xdr:rowOff>
    </xdr:to>
    <xdr:graphicFrame macro="">
      <xdr:nvGraphicFramePr>
        <xdr:cNvPr id="12" name="グラフ 1">
          <a:extLst>
            <a:ext uri="{FF2B5EF4-FFF2-40B4-BE49-F238E27FC236}">
              <a16:creationId xmlns:a16="http://schemas.microsoft.com/office/drawing/2014/main" id="{31792360-873C-F352-3679-EB23D0FC8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71465</xdr:colOff>
      <xdr:row>217</xdr:row>
      <xdr:rowOff>103566</xdr:rowOff>
    </xdr:from>
    <xdr:to>
      <xdr:col>18</xdr:col>
      <xdr:colOff>41414</xdr:colOff>
      <xdr:row>247</xdr:row>
      <xdr:rowOff>192374</xdr:rowOff>
    </xdr:to>
    <xdr:graphicFrame macro="">
      <xdr:nvGraphicFramePr>
        <xdr:cNvPr id="13" name="グラフ 1">
          <a:extLst>
            <a:ext uri="{FF2B5EF4-FFF2-40B4-BE49-F238E27FC236}">
              <a16:creationId xmlns:a16="http://schemas.microsoft.com/office/drawing/2014/main" id="{3141C6A8-014F-8ED9-6FB6-CB03F19BC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727108</xdr:colOff>
      <xdr:row>254</xdr:row>
      <xdr:rowOff>33673</xdr:rowOff>
    </xdr:from>
    <xdr:to>
      <xdr:col>17</xdr:col>
      <xdr:colOff>731519</xdr:colOff>
      <xdr:row>283</xdr:row>
      <xdr:rowOff>160021</xdr:rowOff>
    </xdr:to>
    <xdr:graphicFrame macro="">
      <xdr:nvGraphicFramePr>
        <xdr:cNvPr id="14" name="グラフ 1">
          <a:extLst>
            <a:ext uri="{FF2B5EF4-FFF2-40B4-BE49-F238E27FC236}">
              <a16:creationId xmlns:a16="http://schemas.microsoft.com/office/drawing/2014/main" id="{D4EAD471-E4B1-5A82-6710-CBBB4FE5F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86008</xdr:colOff>
      <xdr:row>286</xdr:row>
      <xdr:rowOff>56461</xdr:rowOff>
    </xdr:from>
    <xdr:to>
      <xdr:col>18</xdr:col>
      <xdr:colOff>15240</xdr:colOff>
      <xdr:row>316</xdr:row>
      <xdr:rowOff>129541</xdr:rowOff>
    </xdr:to>
    <xdr:graphicFrame macro="">
      <xdr:nvGraphicFramePr>
        <xdr:cNvPr id="16" name="グラフ 1">
          <a:extLst>
            <a:ext uri="{FF2B5EF4-FFF2-40B4-BE49-F238E27FC236}">
              <a16:creationId xmlns:a16="http://schemas.microsoft.com/office/drawing/2014/main" id="{990E3F1E-1C57-277B-33CB-3EB3185835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722357</xdr:colOff>
      <xdr:row>321</xdr:row>
      <xdr:rowOff>41134</xdr:rowOff>
    </xdr:from>
    <xdr:to>
      <xdr:col>17</xdr:col>
      <xdr:colOff>716280</xdr:colOff>
      <xdr:row>351</xdr:row>
      <xdr:rowOff>125485</xdr:rowOff>
    </xdr:to>
    <xdr:graphicFrame macro="">
      <xdr:nvGraphicFramePr>
        <xdr:cNvPr id="18" name="グラフ 1">
          <a:extLst>
            <a:ext uri="{FF2B5EF4-FFF2-40B4-BE49-F238E27FC236}">
              <a16:creationId xmlns:a16="http://schemas.microsoft.com/office/drawing/2014/main" id="{5DC1409F-93A8-D98B-49D7-833FDF07C2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663789</xdr:colOff>
      <xdr:row>357</xdr:row>
      <xdr:rowOff>33113</xdr:rowOff>
    </xdr:from>
    <xdr:to>
      <xdr:col>22</xdr:col>
      <xdr:colOff>682624</xdr:colOff>
      <xdr:row>393</xdr:row>
      <xdr:rowOff>141250</xdr:rowOff>
    </xdr:to>
    <xdr:graphicFrame macro="">
      <xdr:nvGraphicFramePr>
        <xdr:cNvPr id="19" name="グラフ 1">
          <a:extLst>
            <a:ext uri="{FF2B5EF4-FFF2-40B4-BE49-F238E27FC236}">
              <a16:creationId xmlns:a16="http://schemas.microsoft.com/office/drawing/2014/main" id="{CA065884-82F7-2A3B-7F73-5BDE3595E5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15462</xdr:colOff>
      <xdr:row>467</xdr:row>
      <xdr:rowOff>15605</xdr:rowOff>
    </xdr:from>
    <xdr:to>
      <xdr:col>23</xdr:col>
      <xdr:colOff>-1</xdr:colOff>
      <xdr:row>497</xdr:row>
      <xdr:rowOff>30480</xdr:rowOff>
    </xdr:to>
    <xdr:graphicFrame macro="">
      <xdr:nvGraphicFramePr>
        <xdr:cNvPr id="21" name="グラフ 1">
          <a:extLst>
            <a:ext uri="{FF2B5EF4-FFF2-40B4-BE49-F238E27FC236}">
              <a16:creationId xmlns:a16="http://schemas.microsoft.com/office/drawing/2014/main" id="{24310887-E30F-1E08-6EAD-4035597ED6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xdr:col>
      <xdr:colOff>24777</xdr:colOff>
      <xdr:row>535</xdr:row>
      <xdr:rowOff>9350</xdr:rowOff>
    </xdr:from>
    <xdr:to>
      <xdr:col>22</xdr:col>
      <xdr:colOff>642937</xdr:colOff>
      <xdr:row>571</xdr:row>
      <xdr:rowOff>115002</xdr:rowOff>
    </xdr:to>
    <xdr:graphicFrame macro="">
      <xdr:nvGraphicFramePr>
        <xdr:cNvPr id="23" name="グラフ 1">
          <a:extLst>
            <a:ext uri="{FF2B5EF4-FFF2-40B4-BE49-F238E27FC236}">
              <a16:creationId xmlns:a16="http://schemas.microsoft.com/office/drawing/2014/main" id="{0AFCEFCE-A3EA-E74D-A6C8-25A8B2888D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20137</xdr:colOff>
      <xdr:row>575</xdr:row>
      <xdr:rowOff>109361</xdr:rowOff>
    </xdr:from>
    <xdr:to>
      <xdr:col>18</xdr:col>
      <xdr:colOff>15240</xdr:colOff>
      <xdr:row>605</xdr:row>
      <xdr:rowOff>170860</xdr:rowOff>
    </xdr:to>
    <xdr:graphicFrame macro="">
      <xdr:nvGraphicFramePr>
        <xdr:cNvPr id="25" name="グラフ 1">
          <a:extLst>
            <a:ext uri="{FF2B5EF4-FFF2-40B4-BE49-F238E27FC236}">
              <a16:creationId xmlns:a16="http://schemas.microsoft.com/office/drawing/2014/main" id="{588D1C79-28D0-6F70-CB3F-38B8D7047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698207</xdr:colOff>
      <xdr:row>610</xdr:row>
      <xdr:rowOff>112121</xdr:rowOff>
    </xdr:from>
    <xdr:to>
      <xdr:col>17</xdr:col>
      <xdr:colOff>693420</xdr:colOff>
      <xdr:row>641</xdr:row>
      <xdr:rowOff>15883</xdr:rowOff>
    </xdr:to>
    <xdr:graphicFrame macro="">
      <xdr:nvGraphicFramePr>
        <xdr:cNvPr id="30" name="グラフ 1">
          <a:extLst>
            <a:ext uri="{FF2B5EF4-FFF2-40B4-BE49-F238E27FC236}">
              <a16:creationId xmlns:a16="http://schemas.microsoft.com/office/drawing/2014/main" id="{506057FB-3614-4FFE-458E-E632D64E6A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6307</xdr:colOff>
      <xdr:row>643</xdr:row>
      <xdr:rowOff>173381</xdr:rowOff>
    </xdr:from>
    <xdr:to>
      <xdr:col>17</xdr:col>
      <xdr:colOff>641902</xdr:colOff>
      <xdr:row>674</xdr:row>
      <xdr:rowOff>76200</xdr:rowOff>
    </xdr:to>
    <xdr:graphicFrame macro="">
      <xdr:nvGraphicFramePr>
        <xdr:cNvPr id="32" name="グラフ 1">
          <a:extLst>
            <a:ext uri="{FF2B5EF4-FFF2-40B4-BE49-F238E27FC236}">
              <a16:creationId xmlns:a16="http://schemas.microsoft.com/office/drawing/2014/main" id="{C98269BC-A256-E058-42EE-922EEA39FC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10158</xdr:colOff>
      <xdr:row>500</xdr:row>
      <xdr:rowOff>106198</xdr:rowOff>
    </xdr:from>
    <xdr:to>
      <xdr:col>17</xdr:col>
      <xdr:colOff>708659</xdr:colOff>
      <xdr:row>530</xdr:row>
      <xdr:rowOff>152400</xdr:rowOff>
    </xdr:to>
    <xdr:graphicFrame macro="">
      <xdr:nvGraphicFramePr>
        <xdr:cNvPr id="2" name="グラフ 1">
          <a:extLst>
            <a:ext uri="{FF2B5EF4-FFF2-40B4-BE49-F238E27FC236}">
              <a16:creationId xmlns:a16="http://schemas.microsoft.com/office/drawing/2014/main" id="{08D4D6CD-AAE1-898F-12F2-447C6D25B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30480</xdr:colOff>
      <xdr:row>399</xdr:row>
      <xdr:rowOff>53340</xdr:rowOff>
    </xdr:from>
    <xdr:to>
      <xdr:col>17</xdr:col>
      <xdr:colOff>579120</xdr:colOff>
      <xdr:row>429</xdr:row>
      <xdr:rowOff>152400</xdr:rowOff>
    </xdr:to>
    <xdr:graphicFrame macro="">
      <xdr:nvGraphicFramePr>
        <xdr:cNvPr id="28" name="グラフ 1">
          <a:extLst>
            <a:ext uri="{FF2B5EF4-FFF2-40B4-BE49-F238E27FC236}">
              <a16:creationId xmlns:a16="http://schemas.microsoft.com/office/drawing/2014/main" id="{4796A4E2-98F3-4E87-A05A-9BC516F5FD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0</xdr:col>
      <xdr:colOff>716280</xdr:colOff>
      <xdr:row>432</xdr:row>
      <xdr:rowOff>30480</xdr:rowOff>
    </xdr:from>
    <xdr:to>
      <xdr:col>17</xdr:col>
      <xdr:colOff>708660</xdr:colOff>
      <xdr:row>462</xdr:row>
      <xdr:rowOff>114831</xdr:rowOff>
    </xdr:to>
    <xdr:graphicFrame macro="">
      <xdr:nvGraphicFramePr>
        <xdr:cNvPr id="35" name="グラフ 1">
          <a:extLst>
            <a:ext uri="{FF2B5EF4-FFF2-40B4-BE49-F238E27FC236}">
              <a16:creationId xmlns:a16="http://schemas.microsoft.com/office/drawing/2014/main" id="{9AEF2C06-1B98-46D0-9191-4EDDB5CA34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0</xdr:col>
      <xdr:colOff>723900</xdr:colOff>
      <xdr:row>679</xdr:row>
      <xdr:rowOff>38100</xdr:rowOff>
    </xdr:from>
    <xdr:to>
      <xdr:col>17</xdr:col>
      <xdr:colOff>662940</xdr:colOff>
      <xdr:row>709</xdr:row>
      <xdr:rowOff>127003</xdr:rowOff>
    </xdr:to>
    <xdr:graphicFrame macro="">
      <xdr:nvGraphicFramePr>
        <xdr:cNvPr id="40" name="グラフ 1">
          <a:extLst>
            <a:ext uri="{FF2B5EF4-FFF2-40B4-BE49-F238E27FC236}">
              <a16:creationId xmlns:a16="http://schemas.microsoft.com/office/drawing/2014/main" id="{6C2DB5FC-F792-4B26-A2E5-D113595C3C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16</xdr:col>
      <xdr:colOff>352425</xdr:colOff>
      <xdr:row>10</xdr:row>
      <xdr:rowOff>9525</xdr:rowOff>
    </xdr:from>
    <xdr:to>
      <xdr:col>27</xdr:col>
      <xdr:colOff>304800</xdr:colOff>
      <xdr:row>19</xdr:row>
      <xdr:rowOff>47625</xdr:rowOff>
    </xdr:to>
    <xdr:sp macro="" textlink="">
      <xdr:nvSpPr>
        <xdr:cNvPr id="2" name="吹き出し: 角を丸めた四角形 1">
          <a:extLst>
            <a:ext uri="{FF2B5EF4-FFF2-40B4-BE49-F238E27FC236}">
              <a16:creationId xmlns:a16="http://schemas.microsoft.com/office/drawing/2014/main" id="{A23C6FB6-1107-4588-A959-21C8CF9C5E6F}"/>
            </a:ext>
          </a:extLst>
        </xdr:cNvPr>
        <xdr:cNvSpPr/>
      </xdr:nvSpPr>
      <xdr:spPr>
        <a:xfrm>
          <a:off x="10487025" y="1819275"/>
          <a:ext cx="6905625" cy="1666875"/>
        </a:xfrm>
        <a:prstGeom prst="wedgeRoundRectCallout">
          <a:avLst>
            <a:gd name="adj1" fmla="val -56145"/>
            <a:gd name="adj2" fmla="val -49265"/>
            <a:gd name="adj3" fmla="val 16667"/>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marL="171450" indent="-171450" algn="l">
            <a:buFont typeface="Arial" panose="020B0604020202020204" pitchFamily="34" charset="0"/>
            <a:buChar char="•"/>
          </a:pPr>
          <a:r>
            <a:rPr kumimoji="1" lang="en-US" altLang="ja-JP" sz="1100"/>
            <a:t>Lv1</a:t>
          </a:r>
          <a:r>
            <a:rPr kumimoji="1" lang="ja-JP" altLang="en-US" sz="1100"/>
            <a:t>から成長するにつれてどれくらい能力値が増えるかをまとめたものです。</a:t>
          </a:r>
          <a:r>
            <a:rPr kumimoji="1" lang="en-US" altLang="ja-JP" sz="1100"/>
            <a:t>Lv</a:t>
          </a:r>
          <a:r>
            <a:rPr kumimoji="1" lang="ja-JP" altLang="en-US" sz="1100"/>
            <a:t>が歯抜けなのは面倒臭</a:t>
          </a:r>
          <a:r>
            <a:rPr kumimoji="1" lang="en-US" altLang="ja-JP" sz="1100"/>
            <a:t>…</a:t>
          </a:r>
          <a:r>
            <a:rPr kumimoji="1" lang="ja-JP" altLang="en-US" sz="1100"/>
            <a:t>写す手間の割には得られるものが少ないため、割愛しています。</a:t>
          </a:r>
          <a:endParaRPr kumimoji="1" lang="en-US" altLang="ja-JP" sz="1100"/>
        </a:p>
        <a:p>
          <a:pPr marL="171450" indent="-171450" algn="l">
            <a:buFont typeface="Arial" panose="020B0604020202020204" pitchFamily="34" charset="0"/>
            <a:buChar char="•"/>
          </a:pPr>
          <a:r>
            <a:rPr kumimoji="1" lang="ja-JP" altLang="en-US" sz="1100"/>
            <a:t>恐らく成長度合いは全選手固定です。</a:t>
          </a:r>
          <a:endParaRPr kumimoji="1" lang="en-US" altLang="ja-JP" sz="1100"/>
        </a:p>
        <a:p>
          <a:pPr marL="171450" indent="-171450" algn="l">
            <a:buFont typeface="Arial" panose="020B0604020202020204" pitchFamily="34" charset="0"/>
            <a:buChar char="•"/>
          </a:pPr>
          <a:r>
            <a:rPr kumimoji="1" lang="ja-JP" altLang="en-US" sz="1100"/>
            <a:t>幸運とメンタルは</a:t>
          </a:r>
          <a:r>
            <a:rPr kumimoji="1" lang="en-US" altLang="ja-JP" sz="1100"/>
            <a:t>Stat99</a:t>
          </a:r>
          <a:r>
            <a:rPr kumimoji="1" lang="ja-JP" altLang="en-US" sz="1100"/>
            <a:t>の幸運とメンタルが最大値で、成長してもそれ以上上がることはありません。</a:t>
          </a:r>
          <a:endParaRPr kumimoji="1" lang="en-US" altLang="ja-JP" sz="1100"/>
        </a:p>
        <a:p>
          <a:pPr marL="171450" indent="-171450" algn="l">
            <a:buFont typeface="Arial" panose="020B0604020202020204" pitchFamily="34" charset="0"/>
            <a:buChar char="•"/>
          </a:pPr>
          <a:r>
            <a:rPr kumimoji="1" lang="ja-JP" altLang="en-US" sz="1100"/>
            <a:t>☆の方の幸運とメンタルは小数点以下の数値はわからないので目安です。</a:t>
          </a:r>
          <a:endParaRPr kumimoji="1" lang="en-US" altLang="ja-JP" sz="1100"/>
        </a:p>
        <a:p>
          <a:pPr marL="171450" indent="-171450" algn="l">
            <a:buFont typeface="Arial" panose="020B0604020202020204" pitchFamily="34" charset="0"/>
            <a:buChar char="•"/>
          </a:pPr>
          <a:r>
            <a:rPr kumimoji="1" lang="ja-JP" altLang="en-US" sz="1100"/>
            <a:t>幸運とメンタルの初期値の端数が</a:t>
          </a:r>
          <a:r>
            <a:rPr kumimoji="1" lang="en-US" altLang="ja-JP" sz="1100"/>
            <a:t>0.36</a:t>
          </a:r>
          <a:r>
            <a:rPr kumimoji="1" lang="ja-JP" altLang="en-US" sz="1100"/>
            <a:t>あるため、</a:t>
          </a:r>
          <a:r>
            <a:rPr kumimoji="1" lang="en-US" altLang="ja-JP" sz="1100"/>
            <a:t>Lv99</a:t>
          </a:r>
          <a:r>
            <a:rPr kumimoji="1" lang="ja-JP" altLang="en-US" sz="1100"/>
            <a:t>の時点で幸運は</a:t>
          </a:r>
          <a:r>
            <a:rPr kumimoji="1" lang="en-US" altLang="ja-JP" sz="1100"/>
            <a:t>11</a:t>
          </a:r>
          <a:r>
            <a:rPr kumimoji="1" lang="ja-JP" altLang="en-US" sz="1100"/>
            <a:t>、メンタルは</a:t>
          </a:r>
          <a:r>
            <a:rPr kumimoji="1" lang="en-US" altLang="ja-JP" sz="1100"/>
            <a:t>15</a:t>
          </a:r>
          <a:r>
            <a:rPr kumimoji="1" lang="ja-JP" altLang="en-US" sz="1100"/>
            <a:t>上がります。</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作成者" refreshedDate="46276.956423379626" createdVersion="8" refreshedVersion="8" minRefreshableVersion="3" recordCount="430" xr:uid="{7A19E10A-3247-4F0C-AE58-91B7AC8A9247}">
  <cacheSource type="worksheet">
    <worksheetSource name="Q_Stat"/>
  </cacheSource>
  <cacheFields count="26">
    <cacheField name="No." numFmtId="0">
      <sharedItems containsSemiMixedTypes="0" containsString="0" containsNumber="1" containsInteger="1" minValue="1" maxValue="430"/>
    </cacheField>
    <cacheField name="服装" numFmtId="0">
      <sharedItems count="50">
        <s v="ユニフォーム"/>
        <s v="制服"/>
        <s v="夏祭り"/>
        <s v="1周年"/>
        <s v="王冠"/>
        <s v="ジャージ"/>
        <s v="遊園地"/>
        <s v="ハロウィン"/>
        <s v="和装体験"/>
        <s v="格ゲー"/>
        <s v="Xmas"/>
        <s v="2周年"/>
        <s v="中学生"/>
        <s v="文化祭3"/>
        <s v="水着"/>
        <s v="職業体験"/>
        <s v="花火"/>
        <s v="アート2"/>
        <s v="焼き芋"/>
        <s v="寝正月"/>
        <s v="思い出"/>
        <s v="雪遊び"/>
        <s v="スパイ"/>
        <s v="バーガー"/>
        <s v="文化祭2"/>
        <s v="新年"/>
        <s v="RPG"/>
        <s v="仮装"/>
        <s v="Xmas3"/>
        <s v="プール掃除"/>
        <s v="文化祭"/>
        <s v="新年2"/>
        <s v="梅雨"/>
        <s v="Xmas2"/>
        <s v="夏祭り2"/>
        <s v="サバゲ"/>
        <s v="探偵"/>
        <s v="妖"/>
        <s v="キャンプ"/>
        <s v="路地裏"/>
        <s v="サバゲ2"/>
        <s v="水着2"/>
        <s v="梅雨2"/>
        <s v="甲冑"/>
        <s v="職業体験2"/>
        <s v="バカンス"/>
        <s v="路地裏2"/>
        <s v="カンフー"/>
        <s v="アート"/>
        <s v="3周年"/>
      </sharedItems>
    </cacheField>
    <cacheField name="名前" numFmtId="0">
      <sharedItems/>
    </cacheField>
    <cacheField name="じゃんけん" numFmtId="0">
      <sharedItems count="3">
        <s v="チョキ"/>
        <s v="グー"/>
        <s v="パー"/>
      </sharedItems>
    </cacheField>
    <cacheField name="ポジション" numFmtId="0">
      <sharedItems count="4">
        <s v="MB"/>
        <s v="S"/>
        <s v="Li"/>
        <s v="WS"/>
      </sharedItems>
    </cacheField>
    <cacheField name="高校" numFmtId="0">
      <sharedItems count="19">
        <s v="烏野"/>
        <s v="音駒"/>
        <s v="伊達工"/>
        <s v="青城"/>
        <s v="常波"/>
        <s v="扇南"/>
        <s v="角川"/>
        <s v="条善寺"/>
        <s v="和久南"/>
        <s v="白鳥沢"/>
        <s v="生川"/>
        <s v="森然"/>
        <s v="稲荷崎"/>
        <s v="梟谷"/>
        <s v="椿原"/>
        <s v="鴎台"/>
        <s v="井闥山"/>
        <s v="戸美"/>
        <s v="早流川"/>
      </sharedItems>
    </cacheField>
    <cacheField name="レアリティ" numFmtId="0">
      <sharedItems count="2">
        <s v="ICONIC"/>
        <s v="YELL"/>
      </sharedItems>
    </cacheField>
    <cacheField name="スパイク" numFmtId="0">
      <sharedItems containsSemiMixedTypes="0" containsString="0" containsNumber="1" containsInteger="1" minValue="111" maxValue="141"/>
    </cacheField>
    <cacheField name="サーブ" numFmtId="0">
      <sharedItems containsSemiMixedTypes="0" containsString="0" containsNumber="1" containsInteger="1" minValue="110" maxValue="140"/>
    </cacheField>
    <cacheField name="セッティング" numFmtId="0">
      <sharedItems containsSemiMixedTypes="0" containsString="0" containsNumber="1" containsInteger="1" minValue="110" maxValue="140"/>
    </cacheField>
    <cacheField name="頭脳" numFmtId="0">
      <sharedItems containsSemiMixedTypes="0" containsString="0" containsNumber="1" containsInteger="1" minValue="112" maxValue="138"/>
    </cacheField>
    <cacheField name="幸運" numFmtId="0">
      <sharedItems containsSemiMixedTypes="0" containsString="0" containsNumber="1" containsInteger="1" minValue="97" maxValue="101"/>
    </cacheField>
    <cacheField name="ブロック" numFmtId="0">
      <sharedItems containsSemiMixedTypes="0" containsString="0" containsNumber="1" containsInteger="1" minValue="110" maxValue="138"/>
    </cacheField>
    <cacheField name="レシーブ" numFmtId="0">
      <sharedItems containsSemiMixedTypes="0" containsString="0" containsNumber="1" containsInteger="1" minValue="110" maxValue="142"/>
    </cacheField>
    <cacheField name="バネ" numFmtId="0">
      <sharedItems containsSemiMixedTypes="0" containsString="0" containsNumber="1" containsInteger="1" minValue="112" maxValue="138"/>
    </cacheField>
    <cacheField name="スピード" numFmtId="0">
      <sharedItems containsSemiMixedTypes="0" containsString="0" containsNumber="1" containsInteger="1" minValue="111" maxValue="134"/>
    </cacheField>
    <cacheField name="メンタル" numFmtId="0">
      <sharedItems containsSemiMixedTypes="0" containsString="0" containsNumber="1" containsInteger="1" minValue="26" maxValue="51"/>
    </cacheField>
    <cacheField name="攻撃力" numFmtId="0">
      <sharedItems containsSemiMixedTypes="0" containsString="0" containsNumber="1" containsInteger="1" minValue="451" maxValue="540"/>
    </cacheField>
    <cacheField name="守備力" numFmtId="0">
      <sharedItems containsSemiMixedTypes="0" containsString="0" containsNumber="1" containsInteger="1" minValue="450" maxValue="520"/>
    </cacheField>
    <cacheField name="TotalStat" numFmtId="0">
      <sharedItems containsSemiMixedTypes="0" containsString="0" containsNumber="1" containsInteger="1" minValue="1046" maxValue="1157"/>
    </cacheField>
    <cacheField name="AttackVal" numFmtId="0">
      <sharedItems containsSemiMixedTypes="0" containsString="0" containsNumber="1" containsInteger="1" minValue="209" maxValue="242"/>
    </cacheField>
    <cacheField name="ServeVal" numFmtId="0">
      <sharedItems containsSemiMixedTypes="0" containsString="0" containsNumber="1" containsInteger="1" minValue="321" maxValue="373"/>
    </cacheField>
    <cacheField name="TossVal" numFmtId="0">
      <sharedItems containsSemiMixedTypes="0" containsString="0" containsNumber="1" containsInteger="1" minValue="110" maxValue="140"/>
    </cacheField>
    <cacheField name="ReceiveVal" numFmtId="0">
      <sharedItems containsSemiMixedTypes="0" containsString="0" containsNumber="1" containsInteger="1" minValue="223" maxValue="276"/>
    </cacheField>
    <cacheField name="BlockVal" numFmtId="0">
      <sharedItems containsSemiMixedTypes="0" containsString="0" containsNumber="1" containsInteger="1" minValue="224" maxValue="270"/>
    </cacheField>
    <cacheField name="よみがな"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作成者" refreshedDate="46276.956423263888" createdVersion="5" refreshedVersion="8" minRefreshableVersion="3" recordCount="0" supportSubquery="1" supportAdvancedDrill="1" xr:uid="{86DF958B-38EF-4DD0-895A-1323B7F48EEA}">
  <cacheSource type="external" connectionId="1">
    <extLst>
      <ext xmlns:x14="http://schemas.microsoft.com/office/spreadsheetml/2009/9/main" uri="{F057638F-6D5F-4e77-A914-E7F072B9BCA8}">
        <x14:sourceConnection name="ThisWorkbookDataModel"/>
      </ext>
    </extLst>
  </cacheSource>
  <cacheFields count="15">
    <cacheField name="[Q_Stat].[服装].[服装]" caption="服装" numFmtId="0" hierarchy="1" level="1">
      <sharedItems containsSemiMixedTypes="0" containsNonDate="0" containsString="0"/>
    </cacheField>
    <cacheField name="[Q_Stat].[レアリティ].[レアリティ]" caption="レアリティ" numFmtId="0" hierarchy="6" level="1">
      <sharedItems containsSemiMixedTypes="0" containsNonDate="0" containsString="0"/>
    </cacheField>
    <cacheField name="[Measures].[スパイク/中央値]" caption="スパイク/中央値" numFmtId="0" hierarchy="27" level="32767"/>
    <cacheField name="[Q_Stat].[ポジション].[ポジション]" caption="ポジション" numFmtId="0" hierarchy="4" level="1">
      <sharedItems containsSemiMixedTypes="0" containsNonDate="0" containsString="0"/>
    </cacheField>
    <cacheField name="[Measures].[サーブ/中央値]" caption="サーブ/中央値" numFmtId="0" hierarchy="28" level="32767"/>
    <cacheField name="[Measures].[セッティング/中央値]" caption="セッティング/中央値" numFmtId="0" hierarchy="29" level="32767"/>
    <cacheField name="[Measures].[頭脳/中央値]" caption="頭脳/中央値" numFmtId="0" hierarchy="30" level="32767"/>
    <cacheField name="[Measures].[幸運/中央値]" caption="幸運/中央値" numFmtId="0" hierarchy="31" level="32767"/>
    <cacheField name="[Measures].[ブロック/中央値]" caption="ブロック/中央値" numFmtId="0" hierarchy="32" level="32767"/>
    <cacheField name="[Measures].[レシーブ/中央値]" caption="レシーブ/中央値" numFmtId="0" hierarchy="33" level="32767"/>
    <cacheField name="[Measures].[スピード/中央値]" caption="スピード/中央値" numFmtId="0" hierarchy="34" level="32767"/>
    <cacheField name="[Measures].[メンタル/中央値]" caption="メンタル/中央値" numFmtId="0" hierarchy="35" level="32767"/>
    <cacheField name="[Measures].[バネ/中央値]" caption="バネ/中央値" numFmtId="0" hierarchy="36" level="32767"/>
    <cacheField name="[Measures].[合計/中央値]" caption="合計/中央値" numFmtId="0" hierarchy="37" level="32767"/>
    <cacheField name="[Q_Stat].[高校].[高校]" caption="高校" numFmtId="0" hierarchy="5" level="1">
      <sharedItems count="19">
        <s v="伊達工"/>
        <s v="井闥山"/>
        <s v="稲荷崎"/>
        <s v="烏野"/>
        <s v="鴎台"/>
        <s v="音駒"/>
        <s v="角川"/>
        <s v="戸美"/>
        <s v="常波"/>
        <s v="条善寺"/>
        <s v="森然"/>
        <s v="生川"/>
        <s v="青城"/>
        <s v="扇南"/>
        <s v="早流川"/>
        <s v="椿原"/>
        <s v="白鳥沢"/>
        <s v="和久南"/>
        <s v="梟谷"/>
      </sharedItems>
      <extLst>
        <ext xmlns:x15="http://schemas.microsoft.com/office/spreadsheetml/2010/11/main" uri="{4F2E5C28-24EA-4eb8-9CBF-B6C8F9C3D259}">
          <x15:cachedUniqueNames>
            <x15:cachedUniqueName index="0" name="[Q_Stat].[高校].&amp;[伊達工]"/>
            <x15:cachedUniqueName index="1" name="[Q_Stat].[高校].&amp;[井闥山]"/>
            <x15:cachedUniqueName index="2" name="[Q_Stat].[高校].&amp;[稲荷崎]"/>
            <x15:cachedUniqueName index="3" name="[Q_Stat].[高校].&amp;[烏野]"/>
            <x15:cachedUniqueName index="4" name="[Q_Stat].[高校].&amp;[鴎台]"/>
            <x15:cachedUniqueName index="5" name="[Q_Stat].[高校].&amp;[音駒]"/>
            <x15:cachedUniqueName index="6" name="[Q_Stat].[高校].&amp;[角川]"/>
            <x15:cachedUniqueName index="7" name="[Q_Stat].[高校].&amp;[戸美]"/>
            <x15:cachedUniqueName index="8" name="[Q_Stat].[高校].&amp;[常波]"/>
            <x15:cachedUniqueName index="9" name="[Q_Stat].[高校].&amp;[条善寺]"/>
            <x15:cachedUniqueName index="10" name="[Q_Stat].[高校].&amp;[森然]"/>
            <x15:cachedUniqueName index="11" name="[Q_Stat].[高校].&amp;[生川]"/>
            <x15:cachedUniqueName index="12" name="[Q_Stat].[高校].&amp;[青城]"/>
            <x15:cachedUniqueName index="13" name="[Q_Stat].[高校].&amp;[扇南]"/>
            <x15:cachedUniqueName index="14" name="[Q_Stat].[高校].&amp;[早流川]"/>
            <x15:cachedUniqueName index="15" name="[Q_Stat].[高校].&amp;[椿原]"/>
            <x15:cachedUniqueName index="16" name="[Q_Stat].[高校].&amp;[白鳥沢]"/>
            <x15:cachedUniqueName index="17" name="[Q_Stat].[高校].&amp;[和久南]"/>
            <x15:cachedUniqueName index="18" name="[Q_Stat].[高校].&amp;[梟谷]"/>
          </x15:cachedUniqueNames>
        </ext>
      </extLst>
    </cacheField>
  </cacheFields>
  <cacheHierarchies count="41">
    <cacheHierarchy uniqueName="[Q_Stat].[No.]" caption="No." attribute="1" defaultMemberUniqueName="[Q_Stat].[No.].[All]" allUniqueName="[Q_Stat].[No.].[All]" dimensionUniqueName="[Q_Stat]" displayFolder="" count="0" memberValueDatatype="20" unbalanced="0"/>
    <cacheHierarchy uniqueName="[Q_Stat].[服装]" caption="服装" attribute="1" defaultMemberUniqueName="[Q_Stat].[服装].[All]" allUniqueName="[Q_Stat].[服装].[All]" dimensionUniqueName="[Q_Stat]" displayFolder="" count="2" memberValueDatatype="130" unbalanced="0">
      <fieldsUsage count="2">
        <fieldUsage x="-1"/>
        <fieldUsage x="0"/>
      </fieldsUsage>
    </cacheHierarchy>
    <cacheHierarchy uniqueName="[Q_Stat].[名前]" caption="名前" attribute="1" defaultMemberUniqueName="[Q_Stat].[名前].[All]" allUniqueName="[Q_Stat].[名前].[All]" dimensionUniqueName="[Q_Stat]" displayFolder="" count="0" memberValueDatatype="130" unbalanced="0"/>
    <cacheHierarchy uniqueName="[Q_Stat].[じゃんけん]" caption="じゃんけん" attribute="1" defaultMemberUniqueName="[Q_Stat].[じゃんけん].[All]" allUniqueName="[Q_Stat].[じゃんけん].[All]" dimensionUniqueName="[Q_Stat]" displayFolder="" count="0" memberValueDatatype="130" unbalanced="0"/>
    <cacheHierarchy uniqueName="[Q_Stat].[ポジション]" caption="ポジション" attribute="1" defaultMemberUniqueName="[Q_Stat].[ポジション].[All]" allUniqueName="[Q_Stat].[ポジション].[All]" dimensionUniqueName="[Q_Stat]" displayFolder="" count="2" memberValueDatatype="130" unbalanced="0">
      <fieldsUsage count="2">
        <fieldUsage x="-1"/>
        <fieldUsage x="3"/>
      </fieldsUsage>
    </cacheHierarchy>
    <cacheHierarchy uniqueName="[Q_Stat].[高校]" caption="高校" attribute="1" defaultMemberUniqueName="[Q_Stat].[高校].[All]" allUniqueName="[Q_Stat].[高校].[All]" dimensionUniqueName="[Q_Stat]" displayFolder="" count="2" memberValueDatatype="130" unbalanced="0">
      <fieldsUsage count="2">
        <fieldUsage x="-1"/>
        <fieldUsage x="14"/>
      </fieldsUsage>
    </cacheHierarchy>
    <cacheHierarchy uniqueName="[Q_Stat].[レアリティ]" caption="レアリティ" attribute="1" defaultMemberUniqueName="[Q_Stat].[レアリティ].[All]" allUniqueName="[Q_Stat].[レアリティ].[All]" dimensionUniqueName="[Q_Stat]" displayFolder="" count="2" memberValueDatatype="130" unbalanced="0">
      <fieldsUsage count="2">
        <fieldUsage x="-1"/>
        <fieldUsage x="1"/>
      </fieldsUsage>
    </cacheHierarchy>
    <cacheHierarchy uniqueName="[Q_Stat].[スパイク]" caption="スパイク" attribute="1" defaultMemberUniqueName="[Q_Stat].[スパイク].[All]" allUniqueName="[Q_Stat].[スパイク].[All]" dimensionUniqueName="[Q_Stat]" displayFolder="" count="0" memberValueDatatype="20" unbalanced="0"/>
    <cacheHierarchy uniqueName="[Q_Stat].[サーブ]" caption="サーブ" attribute="1" defaultMemberUniqueName="[Q_Stat].[サーブ].[All]" allUniqueName="[Q_Stat].[サーブ].[All]" dimensionUniqueName="[Q_Stat]" displayFolder="" count="0" memberValueDatatype="20" unbalanced="0"/>
    <cacheHierarchy uniqueName="[Q_Stat].[セッティング]" caption="セッティング" attribute="1" defaultMemberUniqueName="[Q_Stat].[セッティング].[All]" allUniqueName="[Q_Stat].[セッティング].[All]" dimensionUniqueName="[Q_Stat]" displayFolder="" count="0" memberValueDatatype="20" unbalanced="0"/>
    <cacheHierarchy uniqueName="[Q_Stat].[頭脳]" caption="頭脳" attribute="1" defaultMemberUniqueName="[Q_Stat].[頭脳].[All]" allUniqueName="[Q_Stat].[頭脳].[All]" dimensionUniqueName="[Q_Stat]" displayFolder="" count="0" memberValueDatatype="20" unbalanced="0"/>
    <cacheHierarchy uniqueName="[Q_Stat].[幸運]" caption="幸運" attribute="1" defaultMemberUniqueName="[Q_Stat].[幸運].[All]" allUniqueName="[Q_Stat].[幸運].[All]" dimensionUniqueName="[Q_Stat]" displayFolder="" count="0" memberValueDatatype="20" unbalanced="0"/>
    <cacheHierarchy uniqueName="[Q_Stat].[ブロック]" caption="ブロック" attribute="1" defaultMemberUniqueName="[Q_Stat].[ブロック].[All]" allUniqueName="[Q_Stat].[ブロック].[All]" dimensionUniqueName="[Q_Stat]" displayFolder="" count="0" memberValueDatatype="20" unbalanced="0"/>
    <cacheHierarchy uniqueName="[Q_Stat].[レシーブ]" caption="レシーブ" attribute="1" defaultMemberUniqueName="[Q_Stat].[レシーブ].[All]" allUniqueName="[Q_Stat].[レシーブ].[All]" dimensionUniqueName="[Q_Stat]" displayFolder="" count="0" memberValueDatatype="20" unbalanced="0"/>
    <cacheHierarchy uniqueName="[Q_Stat].[バネ]" caption="バネ" attribute="1" defaultMemberUniqueName="[Q_Stat].[バネ].[All]" allUniqueName="[Q_Stat].[バネ].[All]" dimensionUniqueName="[Q_Stat]" displayFolder="" count="0" memberValueDatatype="20" unbalanced="0"/>
    <cacheHierarchy uniqueName="[Q_Stat].[スピード]" caption="スピード" attribute="1" defaultMemberUniqueName="[Q_Stat].[スピード].[All]" allUniqueName="[Q_Stat].[スピード].[All]" dimensionUniqueName="[Q_Stat]" displayFolder="" count="0" memberValueDatatype="20" unbalanced="0"/>
    <cacheHierarchy uniqueName="[Q_Stat].[メンタル]" caption="メンタル" attribute="1" defaultMemberUniqueName="[Q_Stat].[メンタル].[All]" allUniqueName="[Q_Stat].[メンタル].[All]" dimensionUniqueName="[Q_Stat]" displayFolder="" count="0" memberValueDatatype="20" unbalanced="0"/>
    <cacheHierarchy uniqueName="[Q_Stat].[攻撃力]" caption="攻撃力" attribute="1" defaultMemberUniqueName="[Q_Stat].[攻撃力].[All]" allUniqueName="[Q_Stat].[攻撃力].[All]" dimensionUniqueName="[Q_Stat]" displayFolder="" count="0" memberValueDatatype="20" unbalanced="0"/>
    <cacheHierarchy uniqueName="[Q_Stat].[守備力]" caption="守備力" attribute="1" defaultMemberUniqueName="[Q_Stat].[守備力].[All]" allUniqueName="[Q_Stat].[守備力].[All]" dimensionUniqueName="[Q_Stat]" displayFolder="" count="0" memberValueDatatype="20" unbalanced="0"/>
    <cacheHierarchy uniqueName="[Q_Stat].[TotalStat]" caption="TotalStat" attribute="1" defaultMemberUniqueName="[Q_Stat].[TotalStat].[All]" allUniqueName="[Q_Stat].[TotalStat].[All]" dimensionUniqueName="[Q_Stat]" displayFolder="" count="0" memberValueDatatype="20" unbalanced="0"/>
    <cacheHierarchy uniqueName="[Q_Stat].[AttackVal]" caption="AttackVal" attribute="1" defaultMemberUniqueName="[Q_Stat].[AttackVal].[All]" allUniqueName="[Q_Stat].[AttackVal].[All]" dimensionUniqueName="[Q_Stat]" displayFolder="" count="0" memberValueDatatype="20" unbalanced="0"/>
    <cacheHierarchy uniqueName="[Q_Stat].[ServeVal]" caption="ServeVal" attribute="1" defaultMemberUniqueName="[Q_Stat].[ServeVal].[All]" allUniqueName="[Q_Stat].[ServeVal].[All]" dimensionUniqueName="[Q_Stat]" displayFolder="" count="0" memberValueDatatype="20" unbalanced="0"/>
    <cacheHierarchy uniqueName="[Q_Stat].[TossVal]" caption="TossVal" attribute="1" defaultMemberUniqueName="[Q_Stat].[TossVal].[All]" allUniqueName="[Q_Stat].[TossVal].[All]" dimensionUniqueName="[Q_Stat]" displayFolder="" count="0" memberValueDatatype="20" unbalanced="0"/>
    <cacheHierarchy uniqueName="[Q_Stat].[ReceiveVal]" caption="ReceiveVal" attribute="1" defaultMemberUniqueName="[Q_Stat].[ReceiveVal].[All]" allUniqueName="[Q_Stat].[ReceiveVal].[All]" dimensionUniqueName="[Q_Stat]" displayFolder="" count="0" memberValueDatatype="20" unbalanced="0"/>
    <cacheHierarchy uniqueName="[Q_Stat].[BlockVal]" caption="BlockVal" attribute="1" defaultMemberUniqueName="[Q_Stat].[BlockVal].[All]" allUniqueName="[Q_Stat].[BlockVal].[All]" dimensionUniqueName="[Q_Stat]" displayFolder="" count="0" memberValueDatatype="20" unbalanced="0"/>
    <cacheHierarchy uniqueName="[Q_Stat].[よみがな]" caption="よみがな" attribute="1" defaultMemberUniqueName="[Q_Stat].[よみがな].[All]" allUniqueName="[Q_Stat].[よみがな].[All]" dimensionUniqueName="[Q_Stat]" displayFolder="" count="0" memberValueDatatype="130" unbalanced="0"/>
    <cacheHierarchy uniqueName="[Measures].[合計 / スパイク]" caption="合計 / スパイク" measure="1" displayFolder="" measureGroup="Q_Stat" count="0">
      <extLst>
        <ext xmlns:x15="http://schemas.microsoft.com/office/spreadsheetml/2010/11/main" uri="{B97F6D7D-B522-45F9-BDA1-12C45D357490}">
          <x15:cacheHierarchy aggregatedColumn="7"/>
        </ext>
      </extLst>
    </cacheHierarchy>
    <cacheHierarchy uniqueName="[Measures].[スパイク/中央値]" caption="スパイク/中央値" measure="1" displayFolder="" measureGroup="Q_Stat" count="0" oneField="1">
      <fieldsUsage count="1">
        <fieldUsage x="2"/>
      </fieldsUsage>
    </cacheHierarchy>
    <cacheHierarchy uniqueName="[Measures].[サーブ/中央値]" caption="サーブ/中央値" measure="1" displayFolder="" measureGroup="Q_Stat" count="0" oneField="1">
      <fieldsUsage count="1">
        <fieldUsage x="4"/>
      </fieldsUsage>
    </cacheHierarchy>
    <cacheHierarchy uniqueName="[Measures].[セッティング/中央値]" caption="セッティング/中央値" measure="1" displayFolder="" measureGroup="Q_Stat" count="0" oneField="1">
      <fieldsUsage count="1">
        <fieldUsage x="5"/>
      </fieldsUsage>
    </cacheHierarchy>
    <cacheHierarchy uniqueName="[Measures].[頭脳/中央値]" caption="頭脳/中央値" measure="1" displayFolder="" measureGroup="Q_Stat" count="0" oneField="1">
      <fieldsUsage count="1">
        <fieldUsage x="6"/>
      </fieldsUsage>
    </cacheHierarchy>
    <cacheHierarchy uniqueName="[Measures].[幸運/中央値]" caption="幸運/中央値" measure="1" displayFolder="" measureGroup="Q_Stat" count="0" oneField="1">
      <fieldsUsage count="1">
        <fieldUsage x="7"/>
      </fieldsUsage>
    </cacheHierarchy>
    <cacheHierarchy uniqueName="[Measures].[ブロック/中央値]" caption="ブロック/中央値" measure="1" displayFolder="" measureGroup="Q_Stat" count="0" oneField="1">
      <fieldsUsage count="1">
        <fieldUsage x="8"/>
      </fieldsUsage>
    </cacheHierarchy>
    <cacheHierarchy uniqueName="[Measures].[レシーブ/中央値]" caption="レシーブ/中央値" measure="1" displayFolder="" measureGroup="Q_Stat" count="0" oneField="1">
      <fieldsUsage count="1">
        <fieldUsage x="9"/>
      </fieldsUsage>
    </cacheHierarchy>
    <cacheHierarchy uniqueName="[Measures].[スピード/中央値]" caption="スピード/中央値" measure="1" displayFolder="" measureGroup="Q_Stat" count="0" oneField="1">
      <fieldsUsage count="1">
        <fieldUsage x="10"/>
      </fieldsUsage>
    </cacheHierarchy>
    <cacheHierarchy uniqueName="[Measures].[メンタル/中央値]" caption="メンタル/中央値" measure="1" displayFolder="" measureGroup="Q_Stat" count="0" oneField="1">
      <fieldsUsage count="1">
        <fieldUsage x="11"/>
      </fieldsUsage>
    </cacheHierarchy>
    <cacheHierarchy uniqueName="[Measures].[バネ/中央値]" caption="バネ/中央値" measure="1" displayFolder="" measureGroup="Q_Stat" count="0" oneField="1">
      <fieldsUsage count="1">
        <fieldUsage x="12"/>
      </fieldsUsage>
    </cacheHierarchy>
    <cacheHierarchy uniqueName="[Measures].[合計/中央値]" caption="合計/中央値" measure="1" displayFolder="" measureGroup="Q_Stat" count="0" oneField="1">
      <fieldsUsage count="1">
        <fieldUsage x="13"/>
      </fieldsUsage>
    </cacheHierarchy>
    <cacheHierarchy uniqueName="[Measures].[__XL_Count Q_Stat]" caption="__XL_Count Q_Stat" measure="1" displayFolder="" measureGroup="Q_Stat" count="0" hidden="1"/>
    <cacheHierarchy uniqueName="[Measures].[__メジャーが定義されていません]" caption="__メジャーが定義されていません" measure="1" displayFolder="" count="0" hidden="1"/>
    <cacheHierarchy uniqueName="[セット1]" caption="セット1" set="1" parentSet="5" displayFolder="" count="0" unbalanced="0" unbalancedGroup="0">
      <extLst>
        <ext xmlns:x14="http://schemas.microsoft.com/office/spreadsheetml/2009/9/main" uri="{8CF416AD-EC4C-4aba-99F5-12A058AE0983}">
          <x14:cacheHierarchy flattenHierarchies="0" hierarchizeDistinct="0"/>
        </ext>
      </extLst>
    </cacheHierarchy>
  </cacheHierarchies>
  <kpis count="0"/>
  <calculatedMembers count="1">
    <calculatedMember name="[セット1]" mdx="{([Q_Stat].[高校].&amp;[鴎台]),([Q_Stat].[高校].&amp;[井闥山]),([Q_Stat].[高校].&amp;[白鳥沢]),([Q_Stat].[高校].&amp;[梟谷]),([Q_Stat].[高校].&amp;[稲荷崎]),([Q_Stat].[高校].&amp;[戸美]),([Q_Stat].[高校].&amp;[椿原]),([Q_Stat].[高校].&amp;[伊達工]),([Q_Stat].[高校].&amp;[和久南]),([Q_Stat].[高校].&amp;[条善寺]),([Q_Stat].[高校].&amp;[音駒]),([Q_Stat].[高校].&amp;[扇南]),([Q_Stat].[高校].&amp;[烏野]),([Q_Stat].[高校].&amp;[角川]),([Q_Stat].[高校].&amp;[青城]),([Q_Stat].[高校].&amp;[常波])}" set="1">
      <extLst>
        <ext xmlns:x14="http://schemas.microsoft.com/office/spreadsheetml/2009/9/main" uri="{0C70D0D5-359C-4a49-802D-23BBF952B5CE}">
          <x14:calculatedMember flattenHierarchies="0" hierarchizeDistinct="0">
            <x14:tupleSet rowCount="16">
              <x14:headers>
                <x14:header uniqueName="[Q_Stat].[高校].[高校]" hierarchyName="[Q_Stat].[高校]"/>
              </x14:headers>
              <x14:rows>
                <x14:row>
                  <x14:rowItem u="[Q_Stat].[高校].&amp;[鴎台]" d="鴎台"/>
                </x14:row>
                <x14:row>
                  <x14:rowItem u="[Q_Stat].[高校].&amp;[井闥山]" d="井闥山"/>
                </x14:row>
                <x14:row>
                  <x14:rowItem u="[Q_Stat].[高校].&amp;[白鳥沢]" d="白鳥沢"/>
                </x14:row>
                <x14:row>
                  <x14:rowItem u="[Q_Stat].[高校].&amp;[梟谷]" d="梟谷"/>
                </x14:row>
                <x14:row>
                  <x14:rowItem u="[Q_Stat].[高校].&amp;[稲荷崎]" d="稲荷崎"/>
                </x14:row>
                <x14:row>
                  <x14:rowItem u="[Q_Stat].[高校].&amp;[戸美]" d="戸美"/>
                </x14:row>
                <x14:row>
                  <x14:rowItem u="[Q_Stat].[高校].&amp;[椿原]" d="椿原"/>
                </x14:row>
                <x14:row>
                  <x14:rowItem u="[Q_Stat].[高校].&amp;[伊達工]" d="伊達工"/>
                </x14:row>
                <x14:row>
                  <x14:rowItem u="[Q_Stat].[高校].&amp;[和久南]" d="和久南"/>
                </x14:row>
                <x14:row>
                  <x14:rowItem u="[Q_Stat].[高校].&amp;[条善寺]" d="条善寺"/>
                </x14:row>
                <x14:row>
                  <x14:rowItem u="[Q_Stat].[高校].&amp;[音駒]" d="音駒"/>
                </x14:row>
                <x14:row>
                  <x14:rowItem u="[Q_Stat].[高校].&amp;[扇南]" d="扇南"/>
                </x14:row>
                <x14:row>
                  <x14:rowItem u="[Q_Stat].[高校].&amp;[烏野]" d="烏野"/>
                </x14:row>
                <x14:row>
                  <x14:rowItem u="[Q_Stat].[高校].&amp;[角川]" d="角川"/>
                </x14:row>
                <x14:row>
                  <x14:rowItem u="[Q_Stat].[高校].&amp;[青城]" d="青城"/>
                </x14:row>
                <x14:row>
                  <x14:rowItem u="[Q_Stat].[高校].&amp;[常波]" d="常波"/>
                </x14:row>
              </x14:rows>
            </x14:tupleSet>
          </x14:calculatedMember>
        </ext>
      </extLst>
    </calculatedMember>
  </calculatedMembers>
  <dimensions count="2">
    <dimension measure="1" name="Measures" uniqueName="[Measures]" caption="Measures"/>
    <dimension name="Q_Stat" uniqueName="[Q_Stat]" caption="Q_Stat"/>
  </dimensions>
  <measureGroups count="1">
    <measureGroup name="Q_Stat" caption="Q_Stat"/>
  </measureGroups>
  <maps count="1">
    <map measureGroup="0" dimension="1"/>
  </maps>
  <extLst>
    <ext xmlns:x14="http://schemas.microsoft.com/office/spreadsheetml/2009/9/main" uri="{725AE2AE-9491-48be-B2B4-4EB974FC3084}">
      <x14:pivotCacheDefinition pivotCacheId="16743200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0">
  <r>
    <n v="1"/>
    <x v="0"/>
    <s v="日向翔陽"/>
    <x v="0"/>
    <x v="0"/>
    <x v="0"/>
    <x v="0"/>
    <n v="115"/>
    <n v="112"/>
    <n v="112"/>
    <n v="114"/>
    <n v="97"/>
    <n v="123"/>
    <n v="112"/>
    <n v="129"/>
    <n v="129"/>
    <n v="26"/>
    <n v="453"/>
    <n v="493"/>
    <n v="1069"/>
    <n v="212"/>
    <n v="323"/>
    <n v="112"/>
    <n v="241"/>
    <n v="252"/>
    <s v="ひなたしょうよう"/>
  </r>
  <r>
    <n v="2"/>
    <x v="1"/>
    <s v="日向翔陽"/>
    <x v="0"/>
    <x v="0"/>
    <x v="0"/>
    <x v="0"/>
    <n v="118"/>
    <n v="113"/>
    <n v="113"/>
    <n v="115"/>
    <n v="97"/>
    <n v="126"/>
    <n v="113"/>
    <n v="132"/>
    <n v="130"/>
    <n v="26"/>
    <n v="459"/>
    <n v="501"/>
    <n v="1083"/>
    <n v="215"/>
    <n v="325"/>
    <n v="113"/>
    <n v="243"/>
    <n v="258"/>
    <s v="ひなたしょうよう"/>
  </r>
  <r>
    <n v="3"/>
    <x v="2"/>
    <s v="日向翔陽"/>
    <x v="1"/>
    <x v="0"/>
    <x v="0"/>
    <x v="0"/>
    <n v="118"/>
    <n v="111"/>
    <n v="111"/>
    <n v="113"/>
    <n v="97"/>
    <n v="128"/>
    <n v="115"/>
    <n v="134"/>
    <n v="130"/>
    <n v="26"/>
    <n v="453"/>
    <n v="507"/>
    <n v="1083"/>
    <n v="215"/>
    <n v="321"/>
    <n v="111"/>
    <n v="245"/>
    <n v="262"/>
    <s v="ひなたしょうよう"/>
  </r>
  <r>
    <n v="4"/>
    <x v="3"/>
    <s v="日向翔陽"/>
    <x v="2"/>
    <x v="0"/>
    <x v="0"/>
    <x v="0"/>
    <n v="118"/>
    <n v="113"/>
    <n v="116"/>
    <n v="113"/>
    <n v="97"/>
    <n v="123"/>
    <n v="116"/>
    <n v="129"/>
    <n v="133"/>
    <n v="26"/>
    <n v="460"/>
    <n v="501"/>
    <n v="1084"/>
    <n v="215"/>
    <n v="323"/>
    <n v="116"/>
    <n v="249"/>
    <n v="252"/>
    <s v="ひなたしょうよう"/>
  </r>
  <r>
    <n v="5"/>
    <x v="4"/>
    <s v="日向翔陽"/>
    <x v="0"/>
    <x v="0"/>
    <x v="0"/>
    <x v="0"/>
    <n v="121"/>
    <n v="113"/>
    <n v="114"/>
    <n v="115"/>
    <n v="97"/>
    <n v="128"/>
    <n v="114"/>
    <n v="134"/>
    <n v="131"/>
    <n v="26"/>
    <n v="463"/>
    <n v="507"/>
    <n v="1093"/>
    <n v="218"/>
    <n v="325"/>
    <n v="114"/>
    <n v="245"/>
    <n v="262"/>
    <s v="ひなたしょうよう"/>
  </r>
  <r>
    <n v="6"/>
    <x v="5"/>
    <s v="日向翔陽"/>
    <x v="1"/>
    <x v="0"/>
    <x v="0"/>
    <x v="0"/>
    <n v="120"/>
    <n v="113"/>
    <n v="114"/>
    <n v="115"/>
    <n v="97"/>
    <n v="128"/>
    <n v="116"/>
    <n v="133"/>
    <n v="132"/>
    <n v="26"/>
    <n v="462"/>
    <n v="509"/>
    <n v="1094"/>
    <n v="217"/>
    <n v="325"/>
    <n v="114"/>
    <n v="248"/>
    <n v="261"/>
    <s v="ひなたしょうよう"/>
  </r>
  <r>
    <n v="7"/>
    <x v="6"/>
    <s v="日向翔陽"/>
    <x v="2"/>
    <x v="0"/>
    <x v="0"/>
    <x v="0"/>
    <n v="120"/>
    <n v="113"/>
    <n v="114"/>
    <n v="116"/>
    <n v="97"/>
    <n v="129"/>
    <n v="114"/>
    <n v="135"/>
    <n v="132"/>
    <n v="26"/>
    <n v="463"/>
    <n v="510"/>
    <n v="1096"/>
    <n v="217"/>
    <n v="326"/>
    <n v="114"/>
    <n v="246"/>
    <n v="264"/>
    <s v="ひなたしょうよう"/>
  </r>
  <r>
    <n v="8"/>
    <x v="7"/>
    <s v="日向翔陽"/>
    <x v="0"/>
    <x v="0"/>
    <x v="0"/>
    <x v="0"/>
    <n v="122"/>
    <n v="114"/>
    <n v="115"/>
    <n v="116"/>
    <n v="97"/>
    <n v="130"/>
    <n v="116"/>
    <n v="136"/>
    <n v="132"/>
    <n v="26"/>
    <n v="467"/>
    <n v="514"/>
    <n v="1104"/>
    <n v="219"/>
    <n v="327"/>
    <n v="115"/>
    <n v="248"/>
    <n v="266"/>
    <s v="ひなたしょうよう"/>
  </r>
  <r>
    <n v="9"/>
    <x v="8"/>
    <s v="日向翔陽"/>
    <x v="1"/>
    <x v="0"/>
    <x v="0"/>
    <x v="0"/>
    <n v="124"/>
    <n v="114"/>
    <n v="115"/>
    <n v="116"/>
    <n v="97"/>
    <n v="129"/>
    <n v="115"/>
    <n v="136"/>
    <n v="133"/>
    <n v="26"/>
    <n v="469"/>
    <n v="513"/>
    <n v="1105"/>
    <n v="221"/>
    <n v="327"/>
    <n v="115"/>
    <n v="248"/>
    <n v="265"/>
    <s v="ひなたしょうよう"/>
  </r>
  <r>
    <n v="10"/>
    <x v="9"/>
    <s v="日向翔陽"/>
    <x v="2"/>
    <x v="0"/>
    <x v="0"/>
    <x v="0"/>
    <n v="123"/>
    <n v="115"/>
    <n v="116"/>
    <n v="117"/>
    <n v="97"/>
    <n v="132"/>
    <n v="117"/>
    <n v="138"/>
    <n v="133"/>
    <n v="26"/>
    <n v="471"/>
    <n v="520"/>
    <n v="1114"/>
    <n v="220"/>
    <n v="329"/>
    <n v="116"/>
    <n v="250"/>
    <n v="270"/>
    <s v="ひなたしょうよう"/>
  </r>
  <r>
    <n v="11"/>
    <x v="0"/>
    <s v="影山飛雄"/>
    <x v="0"/>
    <x v="1"/>
    <x v="0"/>
    <x v="0"/>
    <n v="123"/>
    <n v="123"/>
    <n v="129"/>
    <n v="123"/>
    <n v="101"/>
    <n v="115"/>
    <n v="120"/>
    <n v="115"/>
    <n v="115"/>
    <n v="31"/>
    <n v="498"/>
    <n v="465"/>
    <n v="1095"/>
    <n v="224"/>
    <n v="347"/>
    <n v="129"/>
    <n v="235"/>
    <n v="230"/>
    <s v="かげやまとびお"/>
  </r>
  <r>
    <n v="12"/>
    <x v="1"/>
    <s v="影山飛雄"/>
    <x v="0"/>
    <x v="1"/>
    <x v="0"/>
    <x v="0"/>
    <n v="124"/>
    <n v="126"/>
    <n v="132"/>
    <n v="126"/>
    <n v="101"/>
    <n v="116"/>
    <n v="121"/>
    <n v="116"/>
    <n v="116"/>
    <n v="31"/>
    <n v="508"/>
    <n v="469"/>
    <n v="1109"/>
    <n v="225"/>
    <n v="353"/>
    <n v="132"/>
    <n v="237"/>
    <n v="232"/>
    <s v="かげやまとびお"/>
  </r>
  <r>
    <n v="13"/>
    <x v="2"/>
    <s v="影山飛雄"/>
    <x v="1"/>
    <x v="1"/>
    <x v="0"/>
    <x v="0"/>
    <n v="122"/>
    <n v="128"/>
    <n v="132"/>
    <n v="128"/>
    <n v="101"/>
    <n v="114"/>
    <n v="123"/>
    <n v="114"/>
    <n v="116"/>
    <n v="31"/>
    <n v="510"/>
    <n v="467"/>
    <n v="1109"/>
    <n v="223"/>
    <n v="357"/>
    <n v="132"/>
    <n v="239"/>
    <n v="228"/>
    <s v="かげやまとびお"/>
  </r>
  <r>
    <n v="14"/>
    <x v="10"/>
    <s v="影山飛雄"/>
    <x v="2"/>
    <x v="1"/>
    <x v="0"/>
    <x v="0"/>
    <n v="125"/>
    <n v="128"/>
    <n v="135"/>
    <n v="128"/>
    <n v="101"/>
    <n v="117"/>
    <n v="121"/>
    <n v="117"/>
    <n v="116"/>
    <n v="31"/>
    <n v="516"/>
    <n v="471"/>
    <n v="1119"/>
    <n v="226"/>
    <n v="357"/>
    <n v="135"/>
    <n v="237"/>
    <n v="234"/>
    <s v="かげやまとびお"/>
  </r>
  <r>
    <n v="15"/>
    <x v="3"/>
    <s v="影山飛雄"/>
    <x v="0"/>
    <x v="1"/>
    <x v="0"/>
    <x v="0"/>
    <n v="127"/>
    <n v="127"/>
    <n v="134"/>
    <n v="127"/>
    <n v="101"/>
    <n v="118"/>
    <n v="121"/>
    <n v="117"/>
    <n v="116"/>
    <n v="31"/>
    <n v="515"/>
    <n v="472"/>
    <n v="1119"/>
    <n v="228"/>
    <n v="355"/>
    <n v="134"/>
    <n v="237"/>
    <n v="235"/>
    <s v="かげやまとびお"/>
  </r>
  <r>
    <n v="16"/>
    <x v="4"/>
    <s v="影山飛雄"/>
    <x v="1"/>
    <x v="1"/>
    <x v="0"/>
    <x v="0"/>
    <n v="125"/>
    <n v="129"/>
    <n v="133"/>
    <n v="126"/>
    <n v="101"/>
    <n v="116"/>
    <n v="124"/>
    <n v="117"/>
    <n v="118"/>
    <n v="31"/>
    <n v="513"/>
    <n v="475"/>
    <n v="1120"/>
    <n v="226"/>
    <n v="356"/>
    <n v="133"/>
    <n v="242"/>
    <n v="233"/>
    <s v="かげやまとびお"/>
  </r>
  <r>
    <n v="17"/>
    <x v="5"/>
    <s v="影山飛雄"/>
    <x v="2"/>
    <x v="1"/>
    <x v="0"/>
    <x v="0"/>
    <n v="126"/>
    <n v="130"/>
    <n v="137"/>
    <n v="129"/>
    <n v="101"/>
    <n v="118"/>
    <n v="122"/>
    <n v="118"/>
    <n v="117"/>
    <n v="31"/>
    <n v="522"/>
    <n v="475"/>
    <n v="1129"/>
    <n v="227"/>
    <n v="360"/>
    <n v="137"/>
    <n v="239"/>
    <n v="236"/>
    <s v="かげやまとびお"/>
  </r>
  <r>
    <n v="18"/>
    <x v="11"/>
    <s v="影山飛雄"/>
    <x v="0"/>
    <x v="1"/>
    <x v="0"/>
    <x v="0"/>
    <n v="126"/>
    <n v="130"/>
    <n v="136"/>
    <n v="130"/>
    <n v="101"/>
    <n v="118"/>
    <n v="123"/>
    <n v="118"/>
    <n v="118"/>
    <n v="31"/>
    <n v="522"/>
    <n v="477"/>
    <n v="1131"/>
    <n v="227"/>
    <n v="361"/>
    <n v="136"/>
    <n v="241"/>
    <n v="236"/>
    <s v="かげやまとびお"/>
  </r>
  <r>
    <n v="19"/>
    <x v="12"/>
    <s v="影山飛雄"/>
    <x v="1"/>
    <x v="1"/>
    <x v="0"/>
    <x v="0"/>
    <n v="128"/>
    <n v="129"/>
    <n v="136"/>
    <n v="129"/>
    <n v="101"/>
    <n v="119"/>
    <n v="122"/>
    <n v="119"/>
    <n v="117"/>
    <n v="31"/>
    <n v="522"/>
    <n v="477"/>
    <n v="1131"/>
    <n v="229"/>
    <n v="359"/>
    <n v="136"/>
    <n v="239"/>
    <n v="238"/>
    <s v="かげやまとびお"/>
  </r>
  <r>
    <n v="20"/>
    <x v="13"/>
    <s v="影山飛雄"/>
    <x v="2"/>
    <x v="1"/>
    <x v="0"/>
    <x v="0"/>
    <n v="127"/>
    <n v="131"/>
    <n v="139"/>
    <n v="131"/>
    <n v="101"/>
    <n v="119"/>
    <n v="123"/>
    <n v="119"/>
    <n v="118"/>
    <n v="31"/>
    <n v="528"/>
    <n v="479"/>
    <n v="1139"/>
    <n v="228"/>
    <n v="363"/>
    <n v="139"/>
    <n v="241"/>
    <n v="238"/>
    <s v="かげやまとびお"/>
  </r>
  <r>
    <n v="21"/>
    <x v="9"/>
    <s v="影山飛雄"/>
    <x v="0"/>
    <x v="1"/>
    <x v="0"/>
    <x v="0"/>
    <n v="127"/>
    <n v="132"/>
    <n v="137"/>
    <n v="132"/>
    <n v="101"/>
    <n v="119"/>
    <n v="124"/>
    <n v="119"/>
    <n v="119"/>
    <n v="31"/>
    <n v="528"/>
    <n v="481"/>
    <n v="1141"/>
    <n v="228"/>
    <n v="365"/>
    <n v="137"/>
    <n v="243"/>
    <n v="238"/>
    <s v="かげやまとびお"/>
  </r>
  <r>
    <n v="22"/>
    <x v="0"/>
    <s v="月島蛍"/>
    <x v="0"/>
    <x v="0"/>
    <x v="0"/>
    <x v="0"/>
    <n v="116"/>
    <n v="112"/>
    <n v="112"/>
    <n v="126"/>
    <n v="97"/>
    <n v="127"/>
    <n v="114"/>
    <n v="116"/>
    <n v="115"/>
    <n v="36"/>
    <n v="466"/>
    <n v="472"/>
    <n v="1071"/>
    <n v="213"/>
    <n v="335"/>
    <n v="112"/>
    <n v="229"/>
    <n v="243"/>
    <s v="つきしまけい"/>
  </r>
  <r>
    <n v="23"/>
    <x v="14"/>
    <s v="月島蛍"/>
    <x v="1"/>
    <x v="0"/>
    <x v="0"/>
    <x v="0"/>
    <n v="119"/>
    <n v="113"/>
    <n v="113"/>
    <n v="127"/>
    <n v="97"/>
    <n v="130"/>
    <n v="115"/>
    <n v="119"/>
    <n v="116"/>
    <n v="36"/>
    <n v="472"/>
    <n v="480"/>
    <n v="1085"/>
    <n v="216"/>
    <n v="337"/>
    <n v="113"/>
    <n v="231"/>
    <n v="249"/>
    <s v="つきしまけい"/>
  </r>
  <r>
    <n v="24"/>
    <x v="15"/>
    <s v="月島蛍"/>
    <x v="2"/>
    <x v="0"/>
    <x v="0"/>
    <x v="0"/>
    <n v="122"/>
    <n v="115"/>
    <n v="113"/>
    <n v="128"/>
    <n v="97"/>
    <n v="128"/>
    <n v="113"/>
    <n v="118"/>
    <n v="115"/>
    <n v="36"/>
    <n v="478"/>
    <n v="474"/>
    <n v="1085"/>
    <n v="219"/>
    <n v="340"/>
    <n v="113"/>
    <n v="228"/>
    <n v="246"/>
    <s v="つきしまけい"/>
  </r>
  <r>
    <n v="25"/>
    <x v="3"/>
    <s v="月島蛍"/>
    <x v="2"/>
    <x v="0"/>
    <x v="0"/>
    <x v="0"/>
    <n v="121"/>
    <n v="111"/>
    <n v="113"/>
    <n v="125"/>
    <n v="97"/>
    <n v="133"/>
    <n v="112"/>
    <n v="122"/>
    <n v="116"/>
    <n v="36"/>
    <n v="470"/>
    <n v="483"/>
    <n v="1086"/>
    <n v="218"/>
    <n v="333"/>
    <n v="113"/>
    <n v="228"/>
    <n v="255"/>
    <s v="つきしまけい"/>
  </r>
  <r>
    <n v="26"/>
    <x v="16"/>
    <s v="月島蛍"/>
    <x v="1"/>
    <x v="0"/>
    <x v="0"/>
    <x v="0"/>
    <n v="121"/>
    <n v="113"/>
    <n v="114"/>
    <n v="127"/>
    <n v="97"/>
    <n v="133"/>
    <n v="116"/>
    <n v="121"/>
    <n v="117"/>
    <n v="36"/>
    <n v="475"/>
    <n v="487"/>
    <n v="1095"/>
    <n v="218"/>
    <n v="337"/>
    <n v="114"/>
    <n v="233"/>
    <n v="254"/>
    <s v="つきしまけい"/>
  </r>
  <r>
    <n v="27"/>
    <x v="5"/>
    <s v="月島蛍"/>
    <x v="2"/>
    <x v="0"/>
    <x v="0"/>
    <x v="0"/>
    <n v="122"/>
    <n v="113"/>
    <n v="116"/>
    <n v="127"/>
    <n v="97"/>
    <n v="131"/>
    <n v="116"/>
    <n v="121"/>
    <n v="117"/>
    <n v="36"/>
    <n v="478"/>
    <n v="485"/>
    <n v="1096"/>
    <n v="219"/>
    <n v="337"/>
    <n v="116"/>
    <n v="233"/>
    <n v="252"/>
    <s v="つきしまけい"/>
  </r>
  <r>
    <n v="28"/>
    <x v="11"/>
    <s v="月島蛍"/>
    <x v="0"/>
    <x v="0"/>
    <x v="0"/>
    <x v="0"/>
    <n v="122"/>
    <n v="114"/>
    <n v="115"/>
    <n v="128"/>
    <n v="97"/>
    <n v="135"/>
    <n v="117"/>
    <n v="123"/>
    <n v="118"/>
    <n v="36"/>
    <n v="479"/>
    <n v="493"/>
    <n v="1105"/>
    <n v="219"/>
    <n v="339"/>
    <n v="115"/>
    <n v="235"/>
    <n v="258"/>
    <s v="つきしまけい"/>
  </r>
  <r>
    <n v="29"/>
    <x v="17"/>
    <s v="月島蛍"/>
    <x v="1"/>
    <x v="0"/>
    <x v="0"/>
    <x v="0"/>
    <n v="124"/>
    <n v="114"/>
    <n v="115"/>
    <n v="128"/>
    <n v="97"/>
    <n v="134"/>
    <n v="118"/>
    <n v="122"/>
    <n v="119"/>
    <n v="36"/>
    <n v="481"/>
    <n v="493"/>
    <n v="1107"/>
    <n v="221"/>
    <n v="339"/>
    <n v="115"/>
    <n v="237"/>
    <n v="256"/>
    <s v="つきしまけい"/>
  </r>
  <r>
    <n v="30"/>
    <x v="18"/>
    <s v="月島蛍"/>
    <x v="2"/>
    <x v="0"/>
    <x v="0"/>
    <x v="0"/>
    <n v="123"/>
    <n v="115"/>
    <n v="116"/>
    <n v="129"/>
    <n v="97"/>
    <n v="137"/>
    <n v="118"/>
    <n v="125"/>
    <n v="119"/>
    <n v="36"/>
    <n v="483"/>
    <n v="499"/>
    <n v="1115"/>
    <n v="220"/>
    <n v="341"/>
    <n v="116"/>
    <n v="237"/>
    <n v="262"/>
    <s v="つきしまけい"/>
  </r>
  <r>
    <n v="31"/>
    <x v="19"/>
    <s v="月島蛍"/>
    <x v="0"/>
    <x v="0"/>
    <x v="0"/>
    <x v="0"/>
    <n v="125"/>
    <n v="115"/>
    <n v="116"/>
    <n v="129"/>
    <n v="97"/>
    <n v="136"/>
    <n v="118"/>
    <n v="124"/>
    <n v="119"/>
    <n v="36"/>
    <n v="485"/>
    <n v="497"/>
    <n v="1115"/>
    <n v="222"/>
    <n v="341"/>
    <n v="116"/>
    <n v="237"/>
    <n v="260"/>
    <s v="つきしまけい"/>
  </r>
  <r>
    <n v="32"/>
    <x v="20"/>
    <s v="月島蛍"/>
    <x v="1"/>
    <x v="0"/>
    <x v="0"/>
    <x v="0"/>
    <n v="127"/>
    <n v="117"/>
    <n v="117"/>
    <n v="130"/>
    <n v="97"/>
    <n v="137"/>
    <n v="119"/>
    <n v="125"/>
    <n v="120"/>
    <n v="36"/>
    <n v="491"/>
    <n v="501"/>
    <n v="1125"/>
    <n v="224"/>
    <n v="344"/>
    <n v="117"/>
    <n v="239"/>
    <n v="262"/>
    <s v="つきしまけい"/>
  </r>
  <r>
    <n v="33"/>
    <x v="0"/>
    <s v="山口忠"/>
    <x v="2"/>
    <x v="0"/>
    <x v="0"/>
    <x v="0"/>
    <n v="114"/>
    <n v="123"/>
    <n v="118"/>
    <n v="120"/>
    <n v="97"/>
    <n v="118"/>
    <n v="118"/>
    <n v="114"/>
    <n v="119"/>
    <n v="31"/>
    <n v="475"/>
    <n v="469"/>
    <n v="1072"/>
    <n v="211"/>
    <n v="340"/>
    <n v="118"/>
    <n v="237"/>
    <n v="232"/>
    <s v="やまぐちだだし"/>
  </r>
  <r>
    <n v="34"/>
    <x v="14"/>
    <s v="山口忠"/>
    <x v="0"/>
    <x v="0"/>
    <x v="0"/>
    <x v="0"/>
    <n v="115"/>
    <n v="126"/>
    <n v="119"/>
    <n v="123"/>
    <n v="97"/>
    <n v="121"/>
    <n v="119"/>
    <n v="115"/>
    <n v="120"/>
    <n v="31"/>
    <n v="483"/>
    <n v="475"/>
    <n v="1086"/>
    <n v="212"/>
    <n v="346"/>
    <n v="119"/>
    <n v="239"/>
    <n v="236"/>
    <s v="やまぐちだだし"/>
  </r>
  <r>
    <n v="35"/>
    <x v="21"/>
    <s v="山口忠"/>
    <x v="1"/>
    <x v="0"/>
    <x v="0"/>
    <x v="0"/>
    <n v="113"/>
    <n v="128"/>
    <n v="116"/>
    <n v="125"/>
    <n v="97"/>
    <n v="119"/>
    <n v="122"/>
    <n v="115"/>
    <n v="120"/>
    <n v="31"/>
    <n v="482"/>
    <n v="476"/>
    <n v="1086"/>
    <n v="210"/>
    <n v="350"/>
    <n v="116"/>
    <n v="242"/>
    <n v="234"/>
    <s v="やまぐちだだし"/>
  </r>
  <r>
    <n v="36"/>
    <x v="22"/>
    <s v="山口忠"/>
    <x v="2"/>
    <x v="0"/>
    <x v="0"/>
    <x v="0"/>
    <n v="116"/>
    <n v="129"/>
    <n v="119"/>
    <n v="125"/>
    <n v="97"/>
    <n v="121"/>
    <n v="121"/>
    <n v="116"/>
    <n v="121"/>
    <n v="31"/>
    <n v="489"/>
    <n v="479"/>
    <n v="1096"/>
    <n v="213"/>
    <n v="351"/>
    <n v="119"/>
    <n v="242"/>
    <n v="237"/>
    <s v="やまぐちだだし"/>
  </r>
  <r>
    <n v="37"/>
    <x v="5"/>
    <s v="山口忠"/>
    <x v="0"/>
    <x v="0"/>
    <x v="0"/>
    <x v="0"/>
    <n v="118"/>
    <n v="126"/>
    <n v="120"/>
    <n v="123"/>
    <n v="97"/>
    <n v="122"/>
    <n v="121"/>
    <n v="117"/>
    <n v="122"/>
    <n v="31"/>
    <n v="487"/>
    <n v="482"/>
    <n v="1097"/>
    <n v="215"/>
    <n v="346"/>
    <n v="120"/>
    <n v="243"/>
    <n v="239"/>
    <s v="やまぐちだだし"/>
  </r>
  <r>
    <n v="38"/>
    <x v="18"/>
    <s v="山口忠"/>
    <x v="1"/>
    <x v="0"/>
    <x v="0"/>
    <x v="0"/>
    <n v="117"/>
    <n v="131"/>
    <n v="120"/>
    <n v="127"/>
    <n v="97"/>
    <n v="122"/>
    <n v="122"/>
    <n v="117"/>
    <n v="122"/>
    <n v="31"/>
    <n v="495"/>
    <n v="483"/>
    <n v="1106"/>
    <n v="214"/>
    <n v="355"/>
    <n v="120"/>
    <n v="244"/>
    <n v="239"/>
    <s v="やまぐちだだし"/>
  </r>
  <r>
    <n v="39"/>
    <x v="20"/>
    <s v="山口忠"/>
    <x v="2"/>
    <x v="0"/>
    <x v="0"/>
    <x v="0"/>
    <n v="118"/>
    <n v="133"/>
    <n v="121"/>
    <n v="129"/>
    <n v="97"/>
    <n v="123"/>
    <n v="123"/>
    <n v="118"/>
    <n v="123"/>
    <n v="31"/>
    <n v="501"/>
    <n v="487"/>
    <n v="1116"/>
    <n v="215"/>
    <n v="359"/>
    <n v="121"/>
    <n v="246"/>
    <n v="241"/>
    <s v="やまぐちだだし"/>
  </r>
  <r>
    <n v="40"/>
    <x v="0"/>
    <s v="西谷夕"/>
    <x v="0"/>
    <x v="2"/>
    <x v="0"/>
    <x v="0"/>
    <n v="117"/>
    <n v="110"/>
    <n v="120"/>
    <n v="123"/>
    <n v="101"/>
    <n v="110"/>
    <n v="130"/>
    <n v="116"/>
    <n v="123"/>
    <n v="29"/>
    <n v="470"/>
    <n v="479"/>
    <n v="1079"/>
    <n v="218"/>
    <n v="334"/>
    <n v="120"/>
    <n v="253"/>
    <n v="226"/>
    <s v="にしのやゆう"/>
  </r>
  <r>
    <n v="41"/>
    <x v="1"/>
    <s v="西谷夕"/>
    <x v="1"/>
    <x v="2"/>
    <x v="0"/>
    <x v="0"/>
    <n v="118"/>
    <n v="111"/>
    <n v="123"/>
    <n v="124"/>
    <n v="101"/>
    <n v="111"/>
    <n v="133"/>
    <n v="117"/>
    <n v="126"/>
    <n v="29"/>
    <n v="476"/>
    <n v="487"/>
    <n v="1093"/>
    <n v="219"/>
    <n v="336"/>
    <n v="123"/>
    <n v="259"/>
    <n v="228"/>
    <s v="にしのやゆう"/>
  </r>
  <r>
    <n v="42"/>
    <x v="10"/>
    <s v="西谷夕"/>
    <x v="1"/>
    <x v="2"/>
    <x v="0"/>
    <x v="0"/>
    <n v="119"/>
    <n v="111"/>
    <n v="125"/>
    <n v="125"/>
    <n v="101"/>
    <n v="111"/>
    <n v="136"/>
    <n v="118"/>
    <n v="128"/>
    <n v="29"/>
    <n v="480"/>
    <n v="493"/>
    <n v="1103"/>
    <n v="220"/>
    <n v="337"/>
    <n v="125"/>
    <n v="264"/>
    <n v="229"/>
    <s v="にしのやゆう"/>
  </r>
  <r>
    <n v="43"/>
    <x v="23"/>
    <s v="西谷夕"/>
    <x v="2"/>
    <x v="2"/>
    <x v="0"/>
    <x v="0"/>
    <n v="117"/>
    <n v="111"/>
    <n v="127"/>
    <n v="123"/>
    <n v="101"/>
    <n v="111"/>
    <n v="137"/>
    <n v="116"/>
    <n v="130"/>
    <n v="29"/>
    <n v="478"/>
    <n v="494"/>
    <n v="1102"/>
    <n v="218"/>
    <n v="335"/>
    <n v="127"/>
    <n v="267"/>
    <n v="227"/>
    <s v="にしのやゆう"/>
  </r>
  <r>
    <n v="44"/>
    <x v="24"/>
    <s v="西谷夕"/>
    <x v="0"/>
    <x v="2"/>
    <x v="0"/>
    <x v="0"/>
    <n v="120"/>
    <n v="112"/>
    <n v="126"/>
    <n v="126"/>
    <n v="101"/>
    <n v="112"/>
    <n v="138"/>
    <n v="119"/>
    <n v="130"/>
    <n v="29"/>
    <n v="484"/>
    <n v="499"/>
    <n v="1113"/>
    <n v="221"/>
    <n v="339"/>
    <n v="126"/>
    <n v="268"/>
    <n v="231"/>
    <s v="にしのやゆう"/>
  </r>
  <r>
    <n v="45"/>
    <x v="11"/>
    <s v="西谷夕"/>
    <x v="1"/>
    <x v="2"/>
    <x v="0"/>
    <x v="0"/>
    <n v="119"/>
    <n v="112"/>
    <n v="127"/>
    <n v="126"/>
    <n v="101"/>
    <n v="112"/>
    <n v="139"/>
    <n v="119"/>
    <n v="130"/>
    <n v="29"/>
    <n v="484"/>
    <n v="500"/>
    <n v="1114"/>
    <n v="220"/>
    <n v="339"/>
    <n v="127"/>
    <n v="269"/>
    <n v="231"/>
    <s v="にしのやゆう"/>
  </r>
  <r>
    <n v="46"/>
    <x v="7"/>
    <s v="西谷夕"/>
    <x v="2"/>
    <x v="2"/>
    <x v="0"/>
    <x v="0"/>
    <n v="121"/>
    <n v="113"/>
    <n v="127"/>
    <n v="127"/>
    <n v="101"/>
    <n v="113"/>
    <n v="140"/>
    <n v="120"/>
    <n v="132"/>
    <n v="29"/>
    <n v="488"/>
    <n v="505"/>
    <n v="1123"/>
    <n v="222"/>
    <n v="341"/>
    <n v="127"/>
    <n v="272"/>
    <n v="233"/>
    <s v="にしのやゆう"/>
  </r>
  <r>
    <n v="47"/>
    <x v="20"/>
    <s v="西谷夕"/>
    <x v="0"/>
    <x v="2"/>
    <x v="0"/>
    <x v="0"/>
    <n v="122"/>
    <n v="114"/>
    <n v="128"/>
    <n v="128"/>
    <n v="101"/>
    <n v="114"/>
    <n v="142"/>
    <n v="121"/>
    <n v="134"/>
    <n v="29"/>
    <n v="492"/>
    <n v="511"/>
    <n v="1133"/>
    <n v="223"/>
    <n v="343"/>
    <n v="128"/>
    <n v="276"/>
    <n v="235"/>
    <s v="にしのやゆう"/>
  </r>
  <r>
    <n v="48"/>
    <x v="0"/>
    <s v="田中龍之介"/>
    <x v="2"/>
    <x v="3"/>
    <x v="0"/>
    <x v="0"/>
    <n v="125"/>
    <n v="117"/>
    <n v="113"/>
    <n v="114"/>
    <n v="97"/>
    <n v="116"/>
    <n v="117"/>
    <n v="115"/>
    <n v="115"/>
    <n v="27"/>
    <n v="469"/>
    <n v="463"/>
    <n v="1056"/>
    <n v="222"/>
    <n v="328"/>
    <n v="113"/>
    <n v="232"/>
    <n v="231"/>
    <s v="たなかりゅうのすけ"/>
  </r>
  <r>
    <n v="49"/>
    <x v="1"/>
    <s v="田中龍之介"/>
    <x v="0"/>
    <x v="3"/>
    <x v="0"/>
    <x v="0"/>
    <n v="128"/>
    <n v="120"/>
    <n v="114"/>
    <n v="115"/>
    <n v="97"/>
    <n v="117"/>
    <n v="118"/>
    <n v="118"/>
    <n v="116"/>
    <n v="27"/>
    <n v="477"/>
    <n v="469"/>
    <n v="1070"/>
    <n v="225"/>
    <n v="332"/>
    <n v="114"/>
    <n v="234"/>
    <n v="235"/>
    <s v="たなかりゅうのすけ"/>
  </r>
  <r>
    <n v="50"/>
    <x v="25"/>
    <s v="田中龍之介"/>
    <x v="1"/>
    <x v="3"/>
    <x v="0"/>
    <x v="0"/>
    <n v="131"/>
    <n v="117"/>
    <n v="114"/>
    <n v="112"/>
    <n v="97"/>
    <n v="118"/>
    <n v="118"/>
    <n v="120"/>
    <n v="116"/>
    <n v="27"/>
    <n v="474"/>
    <n v="472"/>
    <n v="1070"/>
    <n v="228"/>
    <n v="326"/>
    <n v="114"/>
    <n v="234"/>
    <n v="238"/>
    <s v="たなかりゅうのすけ"/>
  </r>
  <r>
    <n v="51"/>
    <x v="26"/>
    <s v="田中龍之介"/>
    <x v="2"/>
    <x v="3"/>
    <x v="0"/>
    <x v="0"/>
    <n v="127"/>
    <n v="118"/>
    <n v="113"/>
    <n v="113"/>
    <n v="97"/>
    <n v="120"/>
    <n v="120"/>
    <n v="119"/>
    <n v="117"/>
    <n v="27"/>
    <n v="471"/>
    <n v="476"/>
    <n v="1071"/>
    <n v="224"/>
    <n v="328"/>
    <n v="113"/>
    <n v="237"/>
    <n v="239"/>
    <s v="たなかりゅうのすけ"/>
  </r>
  <r>
    <n v="52"/>
    <x v="27"/>
    <s v="田中龍之介"/>
    <x v="2"/>
    <x v="3"/>
    <x v="0"/>
    <x v="0"/>
    <n v="131"/>
    <n v="120"/>
    <n v="115"/>
    <n v="115"/>
    <n v="97"/>
    <n v="119"/>
    <n v="119"/>
    <n v="120"/>
    <n v="117"/>
    <n v="27"/>
    <n v="481"/>
    <n v="475"/>
    <n v="1080"/>
    <n v="228"/>
    <n v="332"/>
    <n v="115"/>
    <n v="236"/>
    <n v="239"/>
    <s v="たなかりゅうのすけ"/>
  </r>
  <r>
    <n v="53"/>
    <x v="28"/>
    <s v="田中龍之介"/>
    <x v="1"/>
    <x v="3"/>
    <x v="0"/>
    <x v="0"/>
    <n v="129"/>
    <n v="120"/>
    <n v="114"/>
    <n v="115"/>
    <n v="97"/>
    <n v="120"/>
    <n v="120"/>
    <n v="121"/>
    <n v="118"/>
    <n v="27"/>
    <n v="478"/>
    <n v="479"/>
    <n v="1081"/>
    <n v="226"/>
    <n v="332"/>
    <n v="114"/>
    <n v="238"/>
    <n v="241"/>
    <s v="たなかりゅうのすけ"/>
  </r>
  <r>
    <n v="54"/>
    <x v="0"/>
    <s v="澤村大地"/>
    <x v="0"/>
    <x v="3"/>
    <x v="0"/>
    <x v="0"/>
    <n v="118"/>
    <n v="116"/>
    <n v="116"/>
    <n v="123"/>
    <n v="101"/>
    <n v="116"/>
    <n v="126"/>
    <n v="115"/>
    <n v="120"/>
    <n v="51"/>
    <n v="473"/>
    <n v="477"/>
    <n v="1102"/>
    <n v="219"/>
    <n v="340"/>
    <n v="116"/>
    <n v="246"/>
    <n v="231"/>
    <s v="さわむらだいち"/>
  </r>
  <r>
    <n v="55"/>
    <x v="29"/>
    <s v="澤村大地"/>
    <x v="1"/>
    <x v="3"/>
    <x v="0"/>
    <x v="0"/>
    <n v="121"/>
    <n v="119"/>
    <n v="117"/>
    <n v="124"/>
    <n v="101"/>
    <n v="117"/>
    <n v="127"/>
    <n v="118"/>
    <n v="121"/>
    <n v="51"/>
    <n v="481"/>
    <n v="483"/>
    <n v="1116"/>
    <n v="222"/>
    <n v="344"/>
    <n v="117"/>
    <n v="248"/>
    <n v="235"/>
    <s v="さわむらだいち"/>
  </r>
  <r>
    <n v="56"/>
    <x v="30"/>
    <s v="澤村大地"/>
    <x v="2"/>
    <x v="3"/>
    <x v="0"/>
    <x v="0"/>
    <n v="123"/>
    <n v="117"/>
    <n v="117"/>
    <n v="122"/>
    <n v="101"/>
    <n v="118"/>
    <n v="127"/>
    <n v="119"/>
    <n v="121"/>
    <n v="51"/>
    <n v="479"/>
    <n v="485"/>
    <n v="1116"/>
    <n v="224"/>
    <n v="340"/>
    <n v="117"/>
    <n v="248"/>
    <n v="237"/>
    <s v="さわむらだいち"/>
  </r>
  <r>
    <n v="57"/>
    <x v="26"/>
    <s v="澤村大地"/>
    <x v="0"/>
    <x v="3"/>
    <x v="0"/>
    <x v="0"/>
    <n v="119"/>
    <n v="122"/>
    <n v="116"/>
    <n v="126"/>
    <n v="101"/>
    <n v="115"/>
    <n v="128"/>
    <n v="117"/>
    <n v="122"/>
    <n v="51"/>
    <n v="483"/>
    <n v="482"/>
    <n v="1117"/>
    <n v="220"/>
    <n v="349"/>
    <n v="116"/>
    <n v="250"/>
    <n v="232"/>
    <s v="さわむらだいち"/>
  </r>
  <r>
    <n v="58"/>
    <x v="31"/>
    <s v="澤村大地"/>
    <x v="1"/>
    <x v="3"/>
    <x v="0"/>
    <x v="0"/>
    <n v="124"/>
    <n v="119"/>
    <n v="118"/>
    <n v="124"/>
    <n v="101"/>
    <n v="118"/>
    <n v="129"/>
    <n v="120"/>
    <n v="123"/>
    <n v="51"/>
    <n v="485"/>
    <n v="490"/>
    <n v="1127"/>
    <n v="225"/>
    <n v="344"/>
    <n v="118"/>
    <n v="252"/>
    <n v="238"/>
    <s v="さわむらだいち"/>
  </r>
  <r>
    <n v="59"/>
    <x v="28"/>
    <s v="澤村大地"/>
    <x v="2"/>
    <x v="3"/>
    <x v="0"/>
    <x v="0"/>
    <n v="122"/>
    <n v="123"/>
    <n v="117"/>
    <n v="126"/>
    <n v="101"/>
    <n v="117"/>
    <n v="130"/>
    <n v="119"/>
    <n v="122"/>
    <n v="51"/>
    <n v="488"/>
    <n v="488"/>
    <n v="1128"/>
    <n v="223"/>
    <n v="350"/>
    <n v="117"/>
    <n v="252"/>
    <n v="236"/>
    <s v="さわむらだいち"/>
  </r>
  <r>
    <n v="60"/>
    <x v="0"/>
    <s v="菅原考支"/>
    <x v="2"/>
    <x v="1"/>
    <x v="0"/>
    <x v="0"/>
    <n v="115"/>
    <n v="115"/>
    <n v="124"/>
    <n v="123"/>
    <n v="101"/>
    <n v="116"/>
    <n v="116"/>
    <n v="115"/>
    <n v="115"/>
    <n v="46"/>
    <n v="477"/>
    <n v="462"/>
    <n v="1086"/>
    <n v="216"/>
    <n v="339"/>
    <n v="124"/>
    <n v="231"/>
    <n v="231"/>
    <s v="すがわらこうし"/>
  </r>
  <r>
    <n v="61"/>
    <x v="29"/>
    <s v="菅原考支"/>
    <x v="0"/>
    <x v="1"/>
    <x v="0"/>
    <x v="0"/>
    <n v="116"/>
    <n v="118"/>
    <n v="127"/>
    <n v="126"/>
    <n v="101"/>
    <n v="117"/>
    <n v="117"/>
    <n v="116"/>
    <n v="116"/>
    <n v="46"/>
    <n v="487"/>
    <n v="466"/>
    <n v="1100"/>
    <n v="217"/>
    <n v="345"/>
    <n v="127"/>
    <n v="233"/>
    <n v="233"/>
    <s v="すがわらこうし"/>
  </r>
  <r>
    <n v="62"/>
    <x v="30"/>
    <s v="菅原考支"/>
    <x v="0"/>
    <x v="1"/>
    <x v="0"/>
    <x v="0"/>
    <n v="115"/>
    <n v="120"/>
    <n v="126"/>
    <n v="128"/>
    <n v="101"/>
    <n v="115"/>
    <n v="118"/>
    <n v="114"/>
    <n v="117"/>
    <n v="46"/>
    <n v="489"/>
    <n v="464"/>
    <n v="1100"/>
    <n v="216"/>
    <n v="349"/>
    <n v="126"/>
    <n v="235"/>
    <n v="229"/>
    <s v="すがわらこうし"/>
  </r>
  <r>
    <n v="63"/>
    <x v="32"/>
    <s v="菅原考支"/>
    <x v="2"/>
    <x v="1"/>
    <x v="0"/>
    <x v="0"/>
    <n v="116"/>
    <n v="122"/>
    <n v="129"/>
    <n v="129"/>
    <n v="101"/>
    <n v="115"/>
    <n v="120"/>
    <n v="114"/>
    <n v="118"/>
    <n v="46"/>
    <n v="496"/>
    <n v="467"/>
    <n v="1110"/>
    <n v="217"/>
    <n v="352"/>
    <n v="129"/>
    <n v="238"/>
    <n v="229"/>
    <s v="すがわらこうし"/>
  </r>
  <r>
    <n v="64"/>
    <x v="33"/>
    <s v="菅原考支"/>
    <x v="0"/>
    <x v="1"/>
    <x v="0"/>
    <x v="0"/>
    <n v="118"/>
    <n v="120"/>
    <n v="127"/>
    <n v="128"/>
    <n v="101"/>
    <n v="117"/>
    <n v="119"/>
    <n v="116"/>
    <n v="118"/>
    <n v="46"/>
    <n v="493"/>
    <n v="470"/>
    <n v="1110"/>
    <n v="219"/>
    <n v="349"/>
    <n v="127"/>
    <n v="237"/>
    <n v="233"/>
    <s v="すがわらこうし"/>
  </r>
  <r>
    <n v="65"/>
    <x v="34"/>
    <s v="菅原考支"/>
    <x v="1"/>
    <x v="1"/>
    <x v="0"/>
    <x v="0"/>
    <n v="114"/>
    <n v="118"/>
    <n v="130"/>
    <n v="127"/>
    <n v="101"/>
    <n v="115"/>
    <n v="119"/>
    <n v="114"/>
    <n v="118"/>
    <n v="46"/>
    <n v="489"/>
    <n v="466"/>
    <n v="1102"/>
    <n v="215"/>
    <n v="346"/>
    <n v="130"/>
    <n v="237"/>
    <n v="229"/>
    <s v="すがわらこうし"/>
  </r>
  <r>
    <n v="66"/>
    <x v="0"/>
    <s v="東峰旭"/>
    <x v="0"/>
    <x v="3"/>
    <x v="0"/>
    <x v="0"/>
    <n v="127"/>
    <n v="125"/>
    <n v="113"/>
    <n v="120"/>
    <n v="97"/>
    <n v="121"/>
    <n v="115"/>
    <n v="115"/>
    <n v="114"/>
    <n v="29"/>
    <n v="485"/>
    <n v="465"/>
    <n v="1076"/>
    <n v="224"/>
    <n v="342"/>
    <n v="113"/>
    <n v="229"/>
    <n v="236"/>
    <s v="あずまねあさひ"/>
  </r>
  <r>
    <n v="67"/>
    <x v="29"/>
    <s v="東峰旭"/>
    <x v="1"/>
    <x v="3"/>
    <x v="0"/>
    <x v="0"/>
    <n v="124"/>
    <n v="124"/>
    <n v="110"/>
    <n v="119"/>
    <n v="97"/>
    <n v="118"/>
    <n v="112"/>
    <n v="112"/>
    <n v="111"/>
    <n v="29"/>
    <n v="477"/>
    <n v="453"/>
    <n v="1056"/>
    <n v="221"/>
    <n v="340"/>
    <n v="110"/>
    <n v="223"/>
    <n v="230"/>
    <s v="あずまねあさひ"/>
  </r>
  <r>
    <n v="68"/>
    <x v="35"/>
    <s v="東峰旭"/>
    <x v="2"/>
    <x v="3"/>
    <x v="0"/>
    <x v="0"/>
    <n v="133"/>
    <n v="125"/>
    <n v="114"/>
    <n v="118"/>
    <n v="97"/>
    <n v="123"/>
    <n v="116"/>
    <n v="120"/>
    <n v="115"/>
    <n v="29"/>
    <n v="490"/>
    <n v="474"/>
    <n v="1090"/>
    <n v="230"/>
    <n v="340"/>
    <n v="114"/>
    <n v="231"/>
    <n v="243"/>
    <s v="あずまねあさひ"/>
  </r>
  <r>
    <n v="69"/>
    <x v="34"/>
    <s v="東峰旭"/>
    <x v="0"/>
    <x v="3"/>
    <x v="0"/>
    <x v="0"/>
    <n v="135"/>
    <n v="125"/>
    <n v="115"/>
    <n v="118"/>
    <n v="97"/>
    <n v="126"/>
    <n v="117"/>
    <n v="122"/>
    <n v="116"/>
    <n v="29"/>
    <n v="493"/>
    <n v="481"/>
    <n v="1100"/>
    <n v="232"/>
    <n v="340"/>
    <n v="115"/>
    <n v="233"/>
    <n v="248"/>
    <s v="あずまねあさひ"/>
  </r>
  <r>
    <n v="70"/>
    <x v="8"/>
    <s v="東峰旭"/>
    <x v="1"/>
    <x v="3"/>
    <x v="0"/>
    <x v="0"/>
    <n v="136"/>
    <n v="125"/>
    <n v="115"/>
    <n v="118"/>
    <n v="97"/>
    <n v="124"/>
    <n v="118"/>
    <n v="122"/>
    <n v="117"/>
    <n v="29"/>
    <n v="494"/>
    <n v="481"/>
    <n v="1101"/>
    <n v="233"/>
    <n v="340"/>
    <n v="115"/>
    <n v="235"/>
    <n v="246"/>
    <s v="あずまねあさひ"/>
  </r>
  <r>
    <n v="71"/>
    <x v="0"/>
    <s v="東峰旭"/>
    <x v="0"/>
    <x v="3"/>
    <x v="0"/>
    <x v="1"/>
    <n v="128"/>
    <n v="128"/>
    <n v="112"/>
    <n v="123"/>
    <n v="97"/>
    <n v="120"/>
    <n v="114"/>
    <n v="114"/>
    <n v="113"/>
    <n v="29"/>
    <n v="491"/>
    <n v="461"/>
    <n v="1078"/>
    <n v="225"/>
    <n v="348"/>
    <n v="112"/>
    <n v="227"/>
    <n v="234"/>
    <s v="あずまねあさひ"/>
  </r>
  <r>
    <n v="72"/>
    <x v="0"/>
    <s v="縁下力"/>
    <x v="2"/>
    <x v="3"/>
    <x v="0"/>
    <x v="0"/>
    <n v="113"/>
    <n v="115"/>
    <n v="111"/>
    <n v="120"/>
    <n v="99"/>
    <n v="113"/>
    <n v="120"/>
    <n v="114"/>
    <n v="114"/>
    <n v="41"/>
    <n v="459"/>
    <n v="461"/>
    <n v="1060"/>
    <n v="212"/>
    <n v="334"/>
    <n v="111"/>
    <n v="234"/>
    <n v="227"/>
    <s v="えんのしたちから"/>
  </r>
  <r>
    <n v="73"/>
    <x v="36"/>
    <s v="縁下力"/>
    <x v="0"/>
    <x v="3"/>
    <x v="0"/>
    <x v="0"/>
    <n v="116"/>
    <n v="118"/>
    <n v="113"/>
    <n v="121"/>
    <n v="99"/>
    <n v="114"/>
    <n v="121"/>
    <n v="117"/>
    <n v="115"/>
    <n v="41"/>
    <n v="468"/>
    <n v="467"/>
    <n v="1075"/>
    <n v="215"/>
    <n v="338"/>
    <n v="113"/>
    <n v="236"/>
    <n v="231"/>
    <s v="えんのしたちから"/>
  </r>
  <r>
    <n v="74"/>
    <x v="26"/>
    <s v="縁下力"/>
    <x v="1"/>
    <x v="3"/>
    <x v="0"/>
    <x v="0"/>
    <n v="114"/>
    <n v="119"/>
    <n v="111"/>
    <n v="122"/>
    <n v="99"/>
    <n v="113"/>
    <n v="123"/>
    <n v="116"/>
    <n v="117"/>
    <n v="41"/>
    <n v="466"/>
    <n v="469"/>
    <n v="1075"/>
    <n v="213"/>
    <n v="340"/>
    <n v="111"/>
    <n v="240"/>
    <n v="229"/>
    <s v="えんのしたちから"/>
  </r>
  <r>
    <n v="75"/>
    <x v="16"/>
    <s v="縁下力"/>
    <x v="2"/>
    <x v="3"/>
    <x v="0"/>
    <x v="0"/>
    <n v="119"/>
    <n v="118"/>
    <n v="114"/>
    <n v="121"/>
    <n v="99"/>
    <n v="115"/>
    <n v="123"/>
    <n v="118"/>
    <n v="117"/>
    <n v="41"/>
    <n v="472"/>
    <n v="473"/>
    <n v="1085"/>
    <n v="218"/>
    <n v="338"/>
    <n v="114"/>
    <n v="240"/>
    <n v="233"/>
    <s v="えんのしたちから"/>
  </r>
  <r>
    <n v="76"/>
    <x v="0"/>
    <s v="木下久志"/>
    <x v="2"/>
    <x v="3"/>
    <x v="0"/>
    <x v="0"/>
    <n v="117"/>
    <n v="122"/>
    <n v="113"/>
    <n v="117"/>
    <n v="101"/>
    <n v="115"/>
    <n v="115"/>
    <n v="115"/>
    <n v="115"/>
    <n v="31"/>
    <n v="469"/>
    <n v="460"/>
    <n v="1061"/>
    <n v="218"/>
    <n v="340"/>
    <n v="113"/>
    <n v="230"/>
    <n v="230"/>
    <s v="きのしたひさし"/>
  </r>
  <r>
    <n v="77"/>
    <x v="37"/>
    <s v="木下久志"/>
    <x v="0"/>
    <x v="3"/>
    <x v="0"/>
    <x v="0"/>
    <n v="120"/>
    <n v="125"/>
    <n v="114"/>
    <n v="118"/>
    <n v="101"/>
    <n v="116"/>
    <n v="116"/>
    <n v="118"/>
    <n v="116"/>
    <n v="31"/>
    <n v="477"/>
    <n v="466"/>
    <n v="1075"/>
    <n v="221"/>
    <n v="344"/>
    <n v="114"/>
    <n v="232"/>
    <n v="234"/>
    <s v="きのしたひさし"/>
  </r>
  <r>
    <n v="78"/>
    <x v="0"/>
    <s v="成田一仁"/>
    <x v="2"/>
    <x v="0"/>
    <x v="0"/>
    <x v="0"/>
    <n v="113"/>
    <n v="116"/>
    <n v="112"/>
    <n v="123"/>
    <n v="101"/>
    <n v="119"/>
    <n v="113"/>
    <n v="114"/>
    <n v="114"/>
    <n v="31"/>
    <n v="464"/>
    <n v="460"/>
    <n v="1056"/>
    <n v="214"/>
    <n v="340"/>
    <n v="112"/>
    <n v="227"/>
    <n v="233"/>
    <s v="なりたかずひと"/>
  </r>
  <r>
    <n v="79"/>
    <x v="9"/>
    <s v="清水潔子"/>
    <x v="1"/>
    <x v="1"/>
    <x v="0"/>
    <x v="0"/>
    <n v="122"/>
    <n v="124"/>
    <n v="130"/>
    <n v="124"/>
    <n v="101"/>
    <n v="114"/>
    <n v="119"/>
    <n v="114"/>
    <n v="114"/>
    <n v="31"/>
    <n v="500"/>
    <n v="461"/>
    <n v="1093"/>
    <n v="223"/>
    <n v="349"/>
    <n v="130"/>
    <n v="233"/>
    <n v="228"/>
    <s v="しみずきよこ"/>
  </r>
  <r>
    <n v="80"/>
    <x v="9"/>
    <s v="谷地仁花"/>
    <x v="1"/>
    <x v="0"/>
    <x v="0"/>
    <x v="0"/>
    <n v="116"/>
    <n v="111"/>
    <n v="111"/>
    <n v="113"/>
    <n v="97"/>
    <n v="124"/>
    <n v="111"/>
    <n v="130"/>
    <n v="128"/>
    <n v="26"/>
    <n v="451"/>
    <n v="493"/>
    <n v="1067"/>
    <n v="213"/>
    <n v="321"/>
    <n v="111"/>
    <n v="239"/>
    <n v="254"/>
    <s v="やちひとか"/>
  </r>
  <r>
    <n v="81"/>
    <x v="0"/>
    <s v="孤爪研磨"/>
    <x v="2"/>
    <x v="1"/>
    <x v="1"/>
    <x v="0"/>
    <n v="113"/>
    <n v="115"/>
    <n v="127"/>
    <n v="129"/>
    <n v="101"/>
    <n v="113"/>
    <n v="117"/>
    <n v="113"/>
    <n v="115"/>
    <n v="41"/>
    <n v="484"/>
    <n v="458"/>
    <n v="1084"/>
    <n v="214"/>
    <n v="345"/>
    <n v="127"/>
    <n v="232"/>
    <n v="226"/>
    <s v="こづめけんま"/>
  </r>
  <r>
    <n v="82"/>
    <x v="1"/>
    <s v="孤爪研磨"/>
    <x v="2"/>
    <x v="1"/>
    <x v="1"/>
    <x v="0"/>
    <n v="114"/>
    <n v="118"/>
    <n v="130"/>
    <n v="132"/>
    <n v="101"/>
    <n v="114"/>
    <n v="118"/>
    <n v="114"/>
    <n v="116"/>
    <n v="41"/>
    <n v="494"/>
    <n v="462"/>
    <n v="1098"/>
    <n v="215"/>
    <n v="351"/>
    <n v="130"/>
    <n v="234"/>
    <n v="228"/>
    <s v="こづめけんま"/>
  </r>
  <r>
    <n v="83"/>
    <x v="2"/>
    <s v="孤爪研磨"/>
    <x v="0"/>
    <x v="1"/>
    <x v="1"/>
    <x v="0"/>
    <n v="112"/>
    <n v="118"/>
    <n v="132"/>
    <n v="132"/>
    <n v="101"/>
    <n v="112"/>
    <n v="120"/>
    <n v="112"/>
    <n v="118"/>
    <n v="41"/>
    <n v="494"/>
    <n v="462"/>
    <n v="1098"/>
    <n v="213"/>
    <n v="351"/>
    <n v="132"/>
    <n v="238"/>
    <n v="224"/>
    <s v="こづめけんま"/>
  </r>
  <r>
    <n v="84"/>
    <x v="3"/>
    <s v="孤爪研磨"/>
    <x v="1"/>
    <x v="1"/>
    <x v="1"/>
    <x v="0"/>
    <n v="115"/>
    <n v="120"/>
    <n v="133"/>
    <n v="134"/>
    <n v="101"/>
    <n v="115"/>
    <n v="118"/>
    <n v="115"/>
    <n v="116"/>
    <n v="41"/>
    <n v="502"/>
    <n v="464"/>
    <n v="1108"/>
    <n v="216"/>
    <n v="355"/>
    <n v="133"/>
    <n v="234"/>
    <n v="230"/>
    <s v="こづめけんま"/>
  </r>
  <r>
    <n v="85"/>
    <x v="22"/>
    <s v="孤爪研磨"/>
    <x v="2"/>
    <x v="1"/>
    <x v="1"/>
    <x v="0"/>
    <n v="115"/>
    <n v="121"/>
    <n v="131"/>
    <n v="134"/>
    <n v="101"/>
    <n v="114"/>
    <n v="120"/>
    <n v="114"/>
    <n v="118"/>
    <n v="41"/>
    <n v="501"/>
    <n v="466"/>
    <n v="1109"/>
    <n v="216"/>
    <n v="356"/>
    <n v="131"/>
    <n v="238"/>
    <n v="228"/>
    <s v="こづめけんま"/>
  </r>
  <r>
    <n v="86"/>
    <x v="33"/>
    <s v="孤爪研磨"/>
    <x v="0"/>
    <x v="1"/>
    <x v="1"/>
    <x v="0"/>
    <n v="116"/>
    <n v="122"/>
    <n v="135"/>
    <n v="135"/>
    <n v="101"/>
    <n v="116"/>
    <n v="119"/>
    <n v="116"/>
    <n v="117"/>
    <n v="41"/>
    <n v="508"/>
    <n v="468"/>
    <n v="1118"/>
    <n v="217"/>
    <n v="358"/>
    <n v="135"/>
    <n v="236"/>
    <n v="232"/>
    <s v="こづめけんま"/>
  </r>
  <r>
    <n v="87"/>
    <x v="12"/>
    <s v="孤爪研磨"/>
    <x v="1"/>
    <x v="1"/>
    <x v="1"/>
    <x v="0"/>
    <n v="116"/>
    <n v="121"/>
    <n v="134"/>
    <n v="135"/>
    <n v="101"/>
    <n v="117"/>
    <n v="120"/>
    <n v="117"/>
    <n v="117"/>
    <n v="41"/>
    <n v="506"/>
    <n v="471"/>
    <n v="1119"/>
    <n v="217"/>
    <n v="357"/>
    <n v="134"/>
    <n v="237"/>
    <n v="234"/>
    <s v="こづめけんま"/>
  </r>
  <r>
    <n v="88"/>
    <x v="7"/>
    <s v="孤爪研磨"/>
    <x v="2"/>
    <x v="1"/>
    <x v="1"/>
    <x v="0"/>
    <n v="116"/>
    <n v="123"/>
    <n v="132"/>
    <n v="136"/>
    <n v="101"/>
    <n v="115"/>
    <n v="122"/>
    <n v="115"/>
    <n v="119"/>
    <n v="41"/>
    <n v="507"/>
    <n v="471"/>
    <n v="1120"/>
    <n v="217"/>
    <n v="360"/>
    <n v="132"/>
    <n v="241"/>
    <n v="230"/>
    <s v="こづめけんま"/>
  </r>
  <r>
    <n v="89"/>
    <x v="19"/>
    <s v="孤爪研磨"/>
    <x v="0"/>
    <x v="1"/>
    <x v="1"/>
    <x v="0"/>
    <n v="117"/>
    <n v="123"/>
    <n v="137"/>
    <n v="136"/>
    <n v="101"/>
    <n v="117"/>
    <n v="121"/>
    <n v="117"/>
    <n v="118"/>
    <n v="41"/>
    <n v="513"/>
    <n v="473"/>
    <n v="1128"/>
    <n v="218"/>
    <n v="360"/>
    <n v="137"/>
    <n v="239"/>
    <n v="234"/>
    <s v="こづめけんま"/>
  </r>
  <r>
    <n v="90"/>
    <x v="20"/>
    <s v="孤爪研磨"/>
    <x v="1"/>
    <x v="1"/>
    <x v="1"/>
    <x v="0"/>
    <n v="117"/>
    <n v="125"/>
    <n v="133"/>
    <n v="138"/>
    <n v="101"/>
    <n v="116"/>
    <n v="123"/>
    <n v="116"/>
    <n v="120"/>
    <n v="41"/>
    <n v="513"/>
    <n v="475"/>
    <n v="1130"/>
    <n v="218"/>
    <n v="364"/>
    <n v="133"/>
    <n v="243"/>
    <n v="232"/>
    <s v="こづめけんま"/>
  </r>
  <r>
    <n v="91"/>
    <x v="0"/>
    <s v="黒尾鉄朗"/>
    <x v="1"/>
    <x v="0"/>
    <x v="1"/>
    <x v="0"/>
    <n v="126"/>
    <n v="121"/>
    <n v="114"/>
    <n v="119"/>
    <n v="101"/>
    <n v="129"/>
    <n v="117"/>
    <n v="116"/>
    <n v="115"/>
    <n v="36"/>
    <n v="480"/>
    <n v="477"/>
    <n v="1094"/>
    <n v="227"/>
    <n v="341"/>
    <n v="114"/>
    <n v="232"/>
    <n v="245"/>
    <s v="くろおてつろう"/>
  </r>
  <r>
    <n v="92"/>
    <x v="1"/>
    <s v="黒尾鉄朗"/>
    <x v="1"/>
    <x v="0"/>
    <x v="1"/>
    <x v="0"/>
    <n v="129"/>
    <n v="122"/>
    <n v="115"/>
    <n v="120"/>
    <n v="101"/>
    <n v="132"/>
    <n v="118"/>
    <n v="119"/>
    <n v="116"/>
    <n v="36"/>
    <n v="486"/>
    <n v="485"/>
    <n v="1108"/>
    <n v="230"/>
    <n v="343"/>
    <n v="115"/>
    <n v="234"/>
    <n v="251"/>
    <s v="くろおてつろう"/>
  </r>
  <r>
    <n v="93"/>
    <x v="2"/>
    <s v="黒尾鉄朗"/>
    <x v="2"/>
    <x v="0"/>
    <x v="1"/>
    <x v="0"/>
    <n v="131"/>
    <n v="125"/>
    <n v="115"/>
    <n v="123"/>
    <n v="101"/>
    <n v="129"/>
    <n v="118"/>
    <n v="116"/>
    <n v="114"/>
    <n v="36"/>
    <n v="494"/>
    <n v="477"/>
    <n v="1108"/>
    <n v="232"/>
    <n v="349"/>
    <n v="115"/>
    <n v="232"/>
    <n v="245"/>
    <s v="くろおてつろう"/>
  </r>
  <r>
    <n v="94"/>
    <x v="3"/>
    <s v="黒尾鉄朗"/>
    <x v="0"/>
    <x v="0"/>
    <x v="1"/>
    <x v="0"/>
    <n v="132"/>
    <n v="119"/>
    <n v="115"/>
    <n v="120"/>
    <n v="101"/>
    <n v="129"/>
    <n v="121"/>
    <n v="117"/>
    <n v="118"/>
    <n v="36"/>
    <n v="486"/>
    <n v="485"/>
    <n v="1108"/>
    <n v="233"/>
    <n v="340"/>
    <n v="115"/>
    <n v="239"/>
    <n v="246"/>
    <s v="くろおてつろう"/>
  </r>
  <r>
    <n v="95"/>
    <x v="38"/>
    <s v="黒尾鉄朗"/>
    <x v="1"/>
    <x v="0"/>
    <x v="1"/>
    <x v="0"/>
    <n v="131"/>
    <n v="122"/>
    <n v="116"/>
    <n v="120"/>
    <n v="101"/>
    <n v="135"/>
    <n v="119"/>
    <n v="121"/>
    <n v="117"/>
    <n v="36"/>
    <n v="489"/>
    <n v="492"/>
    <n v="1118"/>
    <n v="232"/>
    <n v="343"/>
    <n v="116"/>
    <n v="236"/>
    <n v="256"/>
    <s v="くろおてつろう"/>
  </r>
  <r>
    <n v="96"/>
    <x v="24"/>
    <s v="黒尾鉄朗"/>
    <x v="2"/>
    <x v="0"/>
    <x v="1"/>
    <x v="0"/>
    <n v="132"/>
    <n v="122"/>
    <n v="116"/>
    <n v="120"/>
    <n v="101"/>
    <n v="133"/>
    <n v="120"/>
    <n v="121"/>
    <n v="118"/>
    <n v="36"/>
    <n v="490"/>
    <n v="492"/>
    <n v="1119"/>
    <n v="233"/>
    <n v="343"/>
    <n v="116"/>
    <n v="238"/>
    <n v="254"/>
    <s v="くろおてつろう"/>
  </r>
  <r>
    <n v="97"/>
    <x v="12"/>
    <s v="黒尾鉄朗"/>
    <x v="0"/>
    <x v="0"/>
    <x v="1"/>
    <x v="0"/>
    <n v="132"/>
    <n v="123"/>
    <n v="117"/>
    <n v="121"/>
    <n v="101"/>
    <n v="136"/>
    <n v="120"/>
    <n v="122"/>
    <n v="118"/>
    <n v="36"/>
    <n v="493"/>
    <n v="496"/>
    <n v="1126"/>
    <n v="233"/>
    <n v="345"/>
    <n v="117"/>
    <n v="238"/>
    <n v="258"/>
    <s v="くろおてつろう"/>
  </r>
  <r>
    <n v="98"/>
    <x v="7"/>
    <s v="黒尾鉄朗"/>
    <x v="1"/>
    <x v="0"/>
    <x v="1"/>
    <x v="0"/>
    <n v="134"/>
    <n v="123"/>
    <n v="117"/>
    <n v="121"/>
    <n v="101"/>
    <n v="134"/>
    <n v="121"/>
    <n v="123"/>
    <n v="119"/>
    <n v="36"/>
    <n v="495"/>
    <n v="497"/>
    <n v="1129"/>
    <n v="235"/>
    <n v="345"/>
    <n v="117"/>
    <n v="240"/>
    <n v="257"/>
    <s v="くろおてつろう"/>
  </r>
  <r>
    <n v="99"/>
    <x v="8"/>
    <s v="黒尾鉄朗"/>
    <x v="2"/>
    <x v="0"/>
    <x v="1"/>
    <x v="0"/>
    <n v="132"/>
    <n v="123"/>
    <n v="117"/>
    <n v="121"/>
    <n v="101"/>
    <n v="138"/>
    <n v="120"/>
    <n v="124"/>
    <n v="118"/>
    <n v="36"/>
    <n v="493"/>
    <n v="500"/>
    <n v="1130"/>
    <n v="233"/>
    <n v="345"/>
    <n v="117"/>
    <n v="238"/>
    <n v="262"/>
    <s v="くろおてつろう"/>
  </r>
  <r>
    <n v="100"/>
    <x v="20"/>
    <s v="黒尾鉄朗"/>
    <x v="0"/>
    <x v="0"/>
    <x v="1"/>
    <x v="0"/>
    <n v="136"/>
    <n v="124"/>
    <n v="118"/>
    <n v="122"/>
    <n v="101"/>
    <n v="135"/>
    <n v="122"/>
    <n v="125"/>
    <n v="120"/>
    <n v="36"/>
    <n v="500"/>
    <n v="502"/>
    <n v="1139"/>
    <n v="237"/>
    <n v="347"/>
    <n v="118"/>
    <n v="242"/>
    <n v="260"/>
    <s v="くろおてつろう"/>
  </r>
  <r>
    <n v="101"/>
    <x v="0"/>
    <s v="灰羽リエーフ"/>
    <x v="1"/>
    <x v="0"/>
    <x v="1"/>
    <x v="0"/>
    <n v="117"/>
    <n v="114"/>
    <n v="113"/>
    <n v="118"/>
    <n v="97"/>
    <n v="123"/>
    <n v="115"/>
    <n v="115"/>
    <n v="115"/>
    <n v="27"/>
    <n v="462"/>
    <n v="468"/>
    <n v="1054"/>
    <n v="214"/>
    <n v="329"/>
    <n v="113"/>
    <n v="230"/>
    <n v="238"/>
    <s v="はいばりえーふ"/>
  </r>
  <r>
    <n v="102"/>
    <x v="36"/>
    <s v="灰羽リエーフ"/>
    <x v="2"/>
    <x v="0"/>
    <x v="1"/>
    <x v="0"/>
    <n v="120"/>
    <n v="115"/>
    <n v="114"/>
    <n v="119"/>
    <n v="97"/>
    <n v="126"/>
    <n v="116"/>
    <n v="118"/>
    <n v="116"/>
    <n v="27"/>
    <n v="468"/>
    <n v="476"/>
    <n v="1068"/>
    <n v="217"/>
    <n v="331"/>
    <n v="114"/>
    <n v="232"/>
    <n v="244"/>
    <s v="はいばりえーふ"/>
  </r>
  <r>
    <n v="103"/>
    <x v="39"/>
    <s v="灰羽リエーフ"/>
    <x v="0"/>
    <x v="0"/>
    <x v="1"/>
    <x v="0"/>
    <n v="123"/>
    <n v="113"/>
    <n v="114"/>
    <n v="117"/>
    <n v="97"/>
    <n v="128"/>
    <n v="115"/>
    <n v="120"/>
    <n v="115"/>
    <n v="27"/>
    <n v="467"/>
    <n v="478"/>
    <n v="1069"/>
    <n v="220"/>
    <n v="327"/>
    <n v="114"/>
    <n v="230"/>
    <n v="248"/>
    <s v="はいばりえーふ"/>
  </r>
  <r>
    <n v="104"/>
    <x v="24"/>
    <s v="灰羽リエーフ"/>
    <x v="1"/>
    <x v="0"/>
    <x v="1"/>
    <x v="0"/>
    <n v="121"/>
    <n v="112"/>
    <n v="112"/>
    <n v="117"/>
    <n v="97"/>
    <n v="129"/>
    <n v="118"/>
    <n v="121"/>
    <n v="117"/>
    <n v="27"/>
    <n v="462"/>
    <n v="485"/>
    <n v="1071"/>
    <n v="218"/>
    <n v="326"/>
    <n v="112"/>
    <n v="235"/>
    <n v="250"/>
    <s v="はいばりえーふ"/>
  </r>
  <r>
    <n v="105"/>
    <x v="40"/>
    <s v="灰羽リエーフ"/>
    <x v="2"/>
    <x v="0"/>
    <x v="1"/>
    <x v="0"/>
    <n v="123"/>
    <n v="115"/>
    <n v="115"/>
    <n v="119"/>
    <n v="97"/>
    <n v="128"/>
    <n v="117"/>
    <n v="120"/>
    <n v="118"/>
    <n v="27"/>
    <n v="472"/>
    <n v="483"/>
    <n v="1079"/>
    <n v="220"/>
    <n v="331"/>
    <n v="115"/>
    <n v="235"/>
    <n v="248"/>
    <s v="はいばりえーふ"/>
  </r>
  <r>
    <n v="106"/>
    <x v="0"/>
    <s v="夜久衛輔"/>
    <x v="2"/>
    <x v="2"/>
    <x v="1"/>
    <x v="0"/>
    <n v="118"/>
    <n v="111"/>
    <n v="116"/>
    <n v="124"/>
    <n v="101"/>
    <n v="110"/>
    <n v="130"/>
    <n v="116"/>
    <n v="122"/>
    <n v="36"/>
    <n v="469"/>
    <n v="478"/>
    <n v="1084"/>
    <n v="219"/>
    <n v="336"/>
    <n v="116"/>
    <n v="252"/>
    <n v="226"/>
    <s v="やくもりすけ"/>
  </r>
  <r>
    <n v="107"/>
    <x v="3"/>
    <s v="夜久衛輔"/>
    <x v="0"/>
    <x v="2"/>
    <x v="1"/>
    <x v="0"/>
    <n v="119"/>
    <n v="112"/>
    <n v="119"/>
    <n v="125"/>
    <n v="101"/>
    <n v="111"/>
    <n v="133"/>
    <n v="117"/>
    <n v="125"/>
    <n v="36"/>
    <n v="475"/>
    <n v="486"/>
    <n v="1098"/>
    <n v="220"/>
    <n v="338"/>
    <n v="119"/>
    <n v="258"/>
    <n v="228"/>
    <s v="やくもりすけ"/>
  </r>
  <r>
    <n v="108"/>
    <x v="16"/>
    <s v="夜久衛輔"/>
    <x v="1"/>
    <x v="2"/>
    <x v="1"/>
    <x v="0"/>
    <n v="117"/>
    <n v="110"/>
    <n v="120"/>
    <n v="124"/>
    <n v="101"/>
    <n v="111"/>
    <n v="136"/>
    <n v="117"/>
    <n v="127"/>
    <n v="36"/>
    <n v="471"/>
    <n v="491"/>
    <n v="1099"/>
    <n v="218"/>
    <n v="335"/>
    <n v="120"/>
    <n v="263"/>
    <n v="228"/>
    <s v="やくもりすけ"/>
  </r>
  <r>
    <n v="109"/>
    <x v="11"/>
    <s v="夜久衛輔"/>
    <x v="2"/>
    <x v="2"/>
    <x v="1"/>
    <x v="0"/>
    <n v="120"/>
    <n v="113"/>
    <n v="120"/>
    <n v="126"/>
    <n v="101"/>
    <n v="112"/>
    <n v="135"/>
    <n v="118"/>
    <n v="127"/>
    <n v="36"/>
    <n v="479"/>
    <n v="492"/>
    <n v="1108"/>
    <n v="221"/>
    <n v="340"/>
    <n v="120"/>
    <n v="262"/>
    <n v="230"/>
    <s v="やくもりすけ"/>
  </r>
  <r>
    <n v="110"/>
    <x v="41"/>
    <s v="夜久衛輔"/>
    <x v="0"/>
    <x v="2"/>
    <x v="1"/>
    <x v="0"/>
    <n v="119"/>
    <n v="113"/>
    <n v="121"/>
    <n v="126"/>
    <n v="101"/>
    <n v="112"/>
    <n v="136"/>
    <n v="118"/>
    <n v="127"/>
    <n v="36"/>
    <n v="479"/>
    <n v="493"/>
    <n v="1109"/>
    <n v="220"/>
    <n v="340"/>
    <n v="121"/>
    <n v="263"/>
    <n v="230"/>
    <s v="やくもりすけ"/>
  </r>
  <r>
    <n v="111"/>
    <x v="28"/>
    <s v="夜久衛輔"/>
    <x v="1"/>
    <x v="2"/>
    <x v="1"/>
    <x v="0"/>
    <n v="121"/>
    <n v="114"/>
    <n v="121"/>
    <n v="127"/>
    <n v="101"/>
    <n v="113"/>
    <n v="137"/>
    <n v="119"/>
    <n v="129"/>
    <n v="36"/>
    <n v="483"/>
    <n v="498"/>
    <n v="1118"/>
    <n v="222"/>
    <n v="342"/>
    <n v="121"/>
    <n v="266"/>
    <n v="232"/>
    <s v="やくもりすけ"/>
  </r>
  <r>
    <n v="112"/>
    <x v="0"/>
    <s v="福永招平"/>
    <x v="2"/>
    <x v="3"/>
    <x v="1"/>
    <x v="0"/>
    <n v="117"/>
    <n v="113"/>
    <n v="114"/>
    <n v="115"/>
    <n v="97"/>
    <n v="115"/>
    <n v="116"/>
    <n v="115"/>
    <n v="115"/>
    <n v="29"/>
    <n v="459"/>
    <n v="461"/>
    <n v="1046"/>
    <n v="214"/>
    <n v="325"/>
    <n v="114"/>
    <n v="231"/>
    <n v="230"/>
    <s v="ふくながしょうへい"/>
  </r>
  <r>
    <n v="113"/>
    <x v="23"/>
    <s v="福永招平"/>
    <x v="0"/>
    <x v="3"/>
    <x v="1"/>
    <x v="0"/>
    <n v="120"/>
    <n v="116"/>
    <n v="115"/>
    <n v="116"/>
    <n v="97"/>
    <n v="116"/>
    <n v="117"/>
    <n v="118"/>
    <n v="116"/>
    <n v="29"/>
    <n v="467"/>
    <n v="467"/>
    <n v="1060"/>
    <n v="217"/>
    <n v="329"/>
    <n v="115"/>
    <n v="233"/>
    <n v="234"/>
    <s v="ふくながしょうへい"/>
  </r>
  <r>
    <n v="114"/>
    <x v="17"/>
    <s v="福永招平"/>
    <x v="1"/>
    <x v="3"/>
    <x v="1"/>
    <x v="0"/>
    <n v="123"/>
    <n v="114"/>
    <n v="115"/>
    <n v="114"/>
    <n v="97"/>
    <n v="118"/>
    <n v="116"/>
    <n v="120"/>
    <n v="115"/>
    <n v="29"/>
    <n v="466"/>
    <n v="469"/>
    <n v="1061"/>
    <n v="220"/>
    <n v="325"/>
    <n v="115"/>
    <n v="231"/>
    <n v="238"/>
    <s v="ふくながしょうへい"/>
  </r>
  <r>
    <n v="115"/>
    <x v="0"/>
    <s v="犬岡走"/>
    <x v="2"/>
    <x v="0"/>
    <x v="1"/>
    <x v="0"/>
    <n v="115"/>
    <n v="114"/>
    <n v="113"/>
    <n v="118"/>
    <n v="97"/>
    <n v="121"/>
    <n v="115"/>
    <n v="116"/>
    <n v="115"/>
    <n v="36"/>
    <n v="460"/>
    <n v="467"/>
    <n v="1060"/>
    <n v="212"/>
    <n v="329"/>
    <n v="113"/>
    <n v="230"/>
    <n v="237"/>
    <s v="いぬおかそう"/>
  </r>
  <r>
    <n v="116"/>
    <x v="25"/>
    <s v="犬岡走"/>
    <x v="0"/>
    <x v="0"/>
    <x v="1"/>
    <x v="0"/>
    <n v="118"/>
    <n v="115"/>
    <n v="114"/>
    <n v="119"/>
    <n v="97"/>
    <n v="124"/>
    <n v="116"/>
    <n v="119"/>
    <n v="116"/>
    <n v="36"/>
    <n v="466"/>
    <n v="475"/>
    <n v="1074"/>
    <n v="215"/>
    <n v="331"/>
    <n v="114"/>
    <n v="232"/>
    <n v="243"/>
    <s v="いぬおかそう"/>
  </r>
  <r>
    <n v="117"/>
    <x v="42"/>
    <s v="犬岡走"/>
    <x v="1"/>
    <x v="0"/>
    <x v="1"/>
    <x v="0"/>
    <n v="119"/>
    <n v="112"/>
    <n v="112"/>
    <n v="117"/>
    <n v="97"/>
    <n v="127"/>
    <n v="118"/>
    <n v="122"/>
    <n v="117"/>
    <n v="36"/>
    <n v="460"/>
    <n v="484"/>
    <n v="1077"/>
    <n v="216"/>
    <n v="326"/>
    <n v="112"/>
    <n v="235"/>
    <n v="249"/>
    <s v="いぬおかそう"/>
  </r>
  <r>
    <n v="118"/>
    <x v="0"/>
    <s v="山本猛虎"/>
    <x v="2"/>
    <x v="3"/>
    <x v="1"/>
    <x v="0"/>
    <n v="123"/>
    <n v="120"/>
    <n v="114"/>
    <n v="122"/>
    <n v="101"/>
    <n v="115"/>
    <n v="116"/>
    <n v="115"/>
    <n v="115"/>
    <n v="29"/>
    <n v="479"/>
    <n v="461"/>
    <n v="1070"/>
    <n v="224"/>
    <n v="343"/>
    <n v="114"/>
    <n v="231"/>
    <n v="230"/>
    <s v="やまもとたけとら"/>
  </r>
  <r>
    <n v="119"/>
    <x v="25"/>
    <s v="山本猛虎"/>
    <x v="0"/>
    <x v="3"/>
    <x v="1"/>
    <x v="0"/>
    <n v="126"/>
    <n v="122"/>
    <n v="115"/>
    <n v="123"/>
    <n v="101"/>
    <n v="116"/>
    <n v="117"/>
    <n v="118"/>
    <n v="116"/>
    <n v="29"/>
    <n v="486"/>
    <n v="467"/>
    <n v="1083"/>
    <n v="227"/>
    <n v="346"/>
    <n v="115"/>
    <n v="233"/>
    <n v="234"/>
    <s v="やまもとたけとら"/>
  </r>
  <r>
    <n v="120"/>
    <x v="8"/>
    <s v="山本猛虎"/>
    <x v="1"/>
    <x v="3"/>
    <x v="1"/>
    <x v="0"/>
    <n v="129"/>
    <n v="120"/>
    <n v="115"/>
    <n v="121"/>
    <n v="101"/>
    <n v="118"/>
    <n v="116"/>
    <n v="120"/>
    <n v="115"/>
    <n v="29"/>
    <n v="485"/>
    <n v="469"/>
    <n v="1084"/>
    <n v="230"/>
    <n v="342"/>
    <n v="115"/>
    <n v="231"/>
    <n v="238"/>
    <s v="やまもとたけとら"/>
  </r>
  <r>
    <n v="121"/>
    <x v="0"/>
    <s v="芝山優生"/>
    <x v="2"/>
    <x v="2"/>
    <x v="1"/>
    <x v="0"/>
    <n v="115"/>
    <n v="110"/>
    <n v="113"/>
    <n v="120"/>
    <n v="97"/>
    <n v="110"/>
    <n v="123"/>
    <n v="119"/>
    <n v="120"/>
    <n v="33"/>
    <n v="458"/>
    <n v="472"/>
    <n v="1060"/>
    <n v="212"/>
    <n v="327"/>
    <n v="113"/>
    <n v="243"/>
    <n v="229"/>
    <s v="しばやまゆうき"/>
  </r>
  <r>
    <n v="122"/>
    <x v="18"/>
    <s v="芝山優生"/>
    <x v="0"/>
    <x v="2"/>
    <x v="1"/>
    <x v="0"/>
    <n v="116"/>
    <n v="111"/>
    <n v="116"/>
    <n v="121"/>
    <n v="97"/>
    <n v="111"/>
    <n v="126"/>
    <n v="120"/>
    <n v="123"/>
    <n v="33"/>
    <n v="464"/>
    <n v="480"/>
    <n v="1074"/>
    <n v="213"/>
    <n v="329"/>
    <n v="116"/>
    <n v="249"/>
    <n v="231"/>
    <s v="しばやまゆうき"/>
  </r>
  <r>
    <n v="123"/>
    <x v="0"/>
    <s v="海信之"/>
    <x v="2"/>
    <x v="3"/>
    <x v="1"/>
    <x v="0"/>
    <n v="124"/>
    <n v="121"/>
    <n v="114"/>
    <n v="122"/>
    <n v="101"/>
    <n v="116"/>
    <n v="118"/>
    <n v="116"/>
    <n v="116"/>
    <n v="51"/>
    <n v="481"/>
    <n v="466"/>
    <n v="1099"/>
    <n v="225"/>
    <n v="344"/>
    <n v="114"/>
    <n v="234"/>
    <n v="232"/>
    <s v="かいのぶゆき"/>
  </r>
  <r>
    <n v="124"/>
    <x v="6"/>
    <s v="海信之"/>
    <x v="0"/>
    <x v="3"/>
    <x v="1"/>
    <x v="0"/>
    <n v="127"/>
    <n v="124"/>
    <n v="115"/>
    <n v="123"/>
    <n v="101"/>
    <n v="117"/>
    <n v="119"/>
    <n v="119"/>
    <n v="117"/>
    <n v="51"/>
    <n v="489"/>
    <n v="472"/>
    <n v="1113"/>
    <n v="228"/>
    <n v="348"/>
    <n v="115"/>
    <n v="236"/>
    <n v="236"/>
    <s v="かいのぶゆき"/>
  </r>
  <r>
    <n v="125"/>
    <x v="0"/>
    <s v="海信之"/>
    <x v="2"/>
    <x v="3"/>
    <x v="1"/>
    <x v="1"/>
    <n v="120"/>
    <n v="117"/>
    <n v="110"/>
    <n v="118"/>
    <n v="99"/>
    <n v="112"/>
    <n v="114"/>
    <n v="112"/>
    <n v="112"/>
    <n v="49"/>
    <n v="465"/>
    <n v="450"/>
    <n v="1063"/>
    <n v="219"/>
    <n v="334"/>
    <n v="110"/>
    <n v="226"/>
    <n v="224"/>
    <s v="かいのぶゆき"/>
  </r>
  <r>
    <n v="126"/>
    <x v="0"/>
    <s v="手白球彦"/>
    <x v="2"/>
    <x v="1"/>
    <x v="1"/>
    <x v="0"/>
    <n v="113"/>
    <n v="120"/>
    <n v="120"/>
    <n v="121"/>
    <n v="97"/>
    <n v="113"/>
    <n v="116"/>
    <n v="114"/>
    <n v="117"/>
    <n v="31"/>
    <n v="474"/>
    <n v="460"/>
    <n v="1062"/>
    <n v="210"/>
    <n v="338"/>
    <n v="120"/>
    <n v="233"/>
    <n v="227"/>
    <s v="てしろたまひこ"/>
  </r>
  <r>
    <n v="127"/>
    <x v="0"/>
    <s v="青根高伸"/>
    <x v="1"/>
    <x v="0"/>
    <x v="2"/>
    <x v="0"/>
    <n v="125"/>
    <n v="113"/>
    <n v="112"/>
    <n v="122"/>
    <n v="97"/>
    <n v="130"/>
    <n v="115"/>
    <n v="116"/>
    <n v="115"/>
    <n v="31"/>
    <n v="472"/>
    <n v="476"/>
    <n v="1076"/>
    <n v="222"/>
    <n v="332"/>
    <n v="112"/>
    <n v="230"/>
    <n v="246"/>
    <s v="あおねたかのぶ"/>
  </r>
  <r>
    <n v="128"/>
    <x v="1"/>
    <s v="青根高伸"/>
    <x v="1"/>
    <x v="0"/>
    <x v="2"/>
    <x v="0"/>
    <n v="128"/>
    <n v="114"/>
    <n v="113"/>
    <n v="123"/>
    <n v="97"/>
    <n v="133"/>
    <n v="116"/>
    <n v="119"/>
    <n v="116"/>
    <n v="31"/>
    <n v="478"/>
    <n v="484"/>
    <n v="1090"/>
    <n v="225"/>
    <n v="334"/>
    <n v="113"/>
    <n v="232"/>
    <n v="252"/>
    <s v="あおねたかのぶ"/>
  </r>
  <r>
    <n v="129"/>
    <x v="29"/>
    <s v="青根高伸"/>
    <x v="2"/>
    <x v="0"/>
    <x v="2"/>
    <x v="0"/>
    <n v="130"/>
    <n v="114"/>
    <n v="113"/>
    <n v="123"/>
    <n v="97"/>
    <n v="131"/>
    <n v="116"/>
    <n v="119"/>
    <n v="116"/>
    <n v="31"/>
    <n v="480"/>
    <n v="482"/>
    <n v="1090"/>
    <n v="227"/>
    <n v="334"/>
    <n v="113"/>
    <n v="232"/>
    <n v="250"/>
    <s v="あおねたかのぶ"/>
  </r>
  <r>
    <n v="130"/>
    <x v="38"/>
    <s v="青根高伸"/>
    <x v="0"/>
    <x v="0"/>
    <x v="2"/>
    <x v="0"/>
    <n v="130"/>
    <n v="114"/>
    <n v="114"/>
    <n v="123"/>
    <n v="97"/>
    <n v="136"/>
    <n v="117"/>
    <n v="121"/>
    <n v="117"/>
    <n v="31"/>
    <n v="481"/>
    <n v="491"/>
    <n v="1100"/>
    <n v="227"/>
    <n v="334"/>
    <n v="114"/>
    <n v="234"/>
    <n v="257"/>
    <s v="あおねたかのぶ"/>
  </r>
  <r>
    <n v="131"/>
    <x v="43"/>
    <s v="青根高伸"/>
    <x v="2"/>
    <x v="0"/>
    <x v="2"/>
    <x v="0"/>
    <n v="131"/>
    <n v="114"/>
    <n v="114"/>
    <n v="123"/>
    <n v="97"/>
    <n v="134"/>
    <n v="119"/>
    <n v="120"/>
    <n v="118"/>
    <n v="31"/>
    <n v="482"/>
    <n v="491"/>
    <n v="1101"/>
    <n v="228"/>
    <n v="334"/>
    <n v="114"/>
    <n v="237"/>
    <n v="254"/>
    <s v="あおねたかのぶ"/>
  </r>
  <r>
    <n v="132"/>
    <x v="28"/>
    <s v="青根高伸"/>
    <x v="1"/>
    <x v="0"/>
    <x v="2"/>
    <x v="0"/>
    <n v="131"/>
    <n v="115"/>
    <n v="115"/>
    <n v="124"/>
    <n v="97"/>
    <n v="138"/>
    <n v="118"/>
    <n v="123"/>
    <n v="118"/>
    <n v="31"/>
    <n v="485"/>
    <n v="497"/>
    <n v="1110"/>
    <n v="228"/>
    <n v="336"/>
    <n v="115"/>
    <n v="236"/>
    <n v="261"/>
    <s v="あおねたかのぶ"/>
  </r>
  <r>
    <n v="133"/>
    <x v="0"/>
    <s v="二口堅治"/>
    <x v="0"/>
    <x v="3"/>
    <x v="2"/>
    <x v="0"/>
    <n v="124"/>
    <n v="119"/>
    <n v="114"/>
    <n v="127"/>
    <n v="101"/>
    <n v="127"/>
    <n v="116"/>
    <n v="116"/>
    <n v="119"/>
    <n v="36"/>
    <n v="484"/>
    <n v="478"/>
    <n v="1099"/>
    <n v="225"/>
    <n v="347"/>
    <n v="114"/>
    <n v="235"/>
    <n v="243"/>
    <s v="ふたくちけんじ"/>
  </r>
  <r>
    <n v="134"/>
    <x v="1"/>
    <s v="二口堅治"/>
    <x v="0"/>
    <x v="3"/>
    <x v="2"/>
    <x v="0"/>
    <n v="127"/>
    <n v="122"/>
    <n v="115"/>
    <n v="128"/>
    <n v="101"/>
    <n v="128"/>
    <n v="117"/>
    <n v="119"/>
    <n v="120"/>
    <n v="36"/>
    <n v="492"/>
    <n v="484"/>
    <n v="1113"/>
    <n v="228"/>
    <n v="351"/>
    <n v="115"/>
    <n v="237"/>
    <n v="247"/>
    <s v="ふたくちけんじ"/>
  </r>
  <r>
    <n v="135"/>
    <x v="29"/>
    <s v="二口堅治"/>
    <x v="1"/>
    <x v="3"/>
    <x v="2"/>
    <x v="0"/>
    <n v="124"/>
    <n v="119"/>
    <n v="115"/>
    <n v="126"/>
    <n v="101"/>
    <n v="131"/>
    <n v="120"/>
    <n v="119"/>
    <n v="122"/>
    <n v="36"/>
    <n v="484"/>
    <n v="492"/>
    <n v="1113"/>
    <n v="225"/>
    <n v="346"/>
    <n v="115"/>
    <n v="242"/>
    <n v="250"/>
    <s v="ふたくちけんじ"/>
  </r>
  <r>
    <n v="136"/>
    <x v="39"/>
    <s v="二口堅治"/>
    <x v="2"/>
    <x v="3"/>
    <x v="2"/>
    <x v="0"/>
    <n v="130"/>
    <n v="120"/>
    <n v="115"/>
    <n v="126"/>
    <n v="101"/>
    <n v="130"/>
    <n v="116"/>
    <n v="121"/>
    <n v="119"/>
    <n v="39"/>
    <n v="491"/>
    <n v="486"/>
    <n v="1117"/>
    <n v="231"/>
    <n v="347"/>
    <n v="115"/>
    <n v="235"/>
    <n v="251"/>
    <s v="ふたくちけんじ"/>
  </r>
  <r>
    <n v="137"/>
    <x v="43"/>
    <s v="二口堅治"/>
    <x v="0"/>
    <x v="3"/>
    <x v="2"/>
    <x v="0"/>
    <n v="126"/>
    <n v="125"/>
    <n v="114"/>
    <n v="130"/>
    <n v="101"/>
    <n v="126"/>
    <n v="119"/>
    <n v="117"/>
    <n v="121"/>
    <n v="36"/>
    <n v="495"/>
    <n v="483"/>
    <n v="1115"/>
    <n v="227"/>
    <n v="356"/>
    <n v="114"/>
    <n v="240"/>
    <n v="243"/>
    <s v="ふたくちけんじ"/>
  </r>
  <r>
    <n v="138"/>
    <x v="11"/>
    <s v="二口堅治"/>
    <x v="1"/>
    <x v="3"/>
    <x v="2"/>
    <x v="0"/>
    <n v="129"/>
    <n v="122"/>
    <n v="116"/>
    <n v="128"/>
    <n v="101"/>
    <n v="131"/>
    <n v="118"/>
    <n v="121"/>
    <n v="121"/>
    <n v="36"/>
    <n v="495"/>
    <n v="491"/>
    <n v="1123"/>
    <n v="230"/>
    <n v="351"/>
    <n v="116"/>
    <n v="239"/>
    <n v="252"/>
    <s v="ふたくちけんじ"/>
  </r>
  <r>
    <n v="139"/>
    <x v="17"/>
    <s v="二口堅治"/>
    <x v="2"/>
    <x v="3"/>
    <x v="2"/>
    <x v="0"/>
    <n v="131"/>
    <n v="122"/>
    <n v="116"/>
    <n v="128"/>
    <n v="101"/>
    <n v="130"/>
    <n v="118"/>
    <n v="121"/>
    <n v="121"/>
    <n v="36"/>
    <n v="497"/>
    <n v="490"/>
    <n v="1124"/>
    <n v="232"/>
    <n v="351"/>
    <n v="116"/>
    <n v="239"/>
    <n v="251"/>
    <s v="ふたくちけんじ"/>
  </r>
  <r>
    <n v="140"/>
    <x v="28"/>
    <s v="二口堅治"/>
    <x v="0"/>
    <x v="3"/>
    <x v="2"/>
    <x v="0"/>
    <n v="128"/>
    <n v="125"/>
    <n v="115"/>
    <n v="131"/>
    <n v="101"/>
    <n v="128"/>
    <n v="119"/>
    <n v="120"/>
    <n v="122"/>
    <n v="36"/>
    <n v="499"/>
    <n v="489"/>
    <n v="1125"/>
    <n v="229"/>
    <n v="357"/>
    <n v="115"/>
    <n v="241"/>
    <n v="248"/>
    <s v="ふたくちけんじ"/>
  </r>
  <r>
    <n v="141"/>
    <x v="0"/>
    <s v="黄金川貫至"/>
    <x v="1"/>
    <x v="1"/>
    <x v="2"/>
    <x v="0"/>
    <n v="119"/>
    <n v="118"/>
    <n v="123"/>
    <n v="121"/>
    <n v="97"/>
    <n v="127"/>
    <n v="116"/>
    <n v="116"/>
    <n v="116"/>
    <n v="29"/>
    <n v="481"/>
    <n v="475"/>
    <n v="1082"/>
    <n v="216"/>
    <n v="336"/>
    <n v="123"/>
    <n v="232"/>
    <n v="243"/>
    <s v="こがねがわかんじ"/>
  </r>
  <r>
    <n v="142"/>
    <x v="1"/>
    <s v="黄金川貫至"/>
    <x v="1"/>
    <x v="1"/>
    <x v="2"/>
    <x v="0"/>
    <n v="120"/>
    <n v="121"/>
    <n v="126"/>
    <n v="124"/>
    <n v="97"/>
    <n v="128"/>
    <n v="117"/>
    <n v="117"/>
    <n v="117"/>
    <n v="29"/>
    <n v="491"/>
    <n v="479"/>
    <n v="1096"/>
    <n v="217"/>
    <n v="342"/>
    <n v="126"/>
    <n v="234"/>
    <n v="245"/>
    <s v="こがねがわかんじ"/>
  </r>
  <r>
    <n v="143"/>
    <x v="15"/>
    <s v="黄金川貫至"/>
    <x v="2"/>
    <x v="1"/>
    <x v="2"/>
    <x v="0"/>
    <n v="122"/>
    <n v="123"/>
    <n v="126"/>
    <n v="126"/>
    <n v="97"/>
    <n v="126"/>
    <n v="115"/>
    <n v="116"/>
    <n v="116"/>
    <n v="29"/>
    <n v="497"/>
    <n v="473"/>
    <n v="1096"/>
    <n v="219"/>
    <n v="346"/>
    <n v="126"/>
    <n v="231"/>
    <n v="242"/>
    <s v="こがねがわかんじ"/>
  </r>
  <r>
    <n v="144"/>
    <x v="22"/>
    <s v="黄金川貫至"/>
    <x v="0"/>
    <x v="1"/>
    <x v="2"/>
    <x v="0"/>
    <n v="121"/>
    <n v="121"/>
    <n v="128"/>
    <n v="124"/>
    <n v="97"/>
    <n v="131"/>
    <n v="118"/>
    <n v="119"/>
    <n v="117"/>
    <n v="29"/>
    <n v="494"/>
    <n v="485"/>
    <n v="1105"/>
    <n v="218"/>
    <n v="342"/>
    <n v="128"/>
    <n v="235"/>
    <n v="250"/>
    <s v="こがねがわかんじ"/>
  </r>
  <r>
    <n v="145"/>
    <x v="18"/>
    <s v="黄金川貫至"/>
    <x v="1"/>
    <x v="1"/>
    <x v="2"/>
    <x v="0"/>
    <n v="121"/>
    <n v="123"/>
    <n v="130"/>
    <n v="125"/>
    <n v="97"/>
    <n v="128"/>
    <n v="119"/>
    <n v="117"/>
    <n v="118"/>
    <n v="29"/>
    <n v="499"/>
    <n v="482"/>
    <n v="1107"/>
    <n v="218"/>
    <n v="345"/>
    <n v="130"/>
    <n v="237"/>
    <n v="245"/>
    <s v="こがねがわかんじ"/>
  </r>
  <r>
    <n v="146"/>
    <x v="9"/>
    <s v="黄金川貫至"/>
    <x v="2"/>
    <x v="1"/>
    <x v="2"/>
    <x v="0"/>
    <n v="122"/>
    <n v="122"/>
    <n v="129"/>
    <n v="125"/>
    <n v="97"/>
    <n v="133"/>
    <n v="119"/>
    <n v="121"/>
    <n v="118"/>
    <n v="29"/>
    <n v="498"/>
    <n v="491"/>
    <n v="1115"/>
    <n v="219"/>
    <n v="344"/>
    <n v="129"/>
    <n v="237"/>
    <n v="254"/>
    <s v="こがねがわかんじ"/>
  </r>
  <r>
    <n v="147"/>
    <x v="0"/>
    <s v="小原豊"/>
    <x v="1"/>
    <x v="3"/>
    <x v="2"/>
    <x v="0"/>
    <n v="121"/>
    <n v="117"/>
    <n v="112"/>
    <n v="119"/>
    <n v="97"/>
    <n v="116"/>
    <n v="114"/>
    <n v="116"/>
    <n v="119"/>
    <n v="31"/>
    <n v="469"/>
    <n v="465"/>
    <n v="1062"/>
    <n v="218"/>
    <n v="333"/>
    <n v="112"/>
    <n v="233"/>
    <n v="232"/>
    <s v="おばらゆたか"/>
  </r>
  <r>
    <n v="148"/>
    <x v="0"/>
    <s v="女川太郎"/>
    <x v="1"/>
    <x v="3"/>
    <x v="2"/>
    <x v="0"/>
    <n v="122"/>
    <n v="118"/>
    <n v="113"/>
    <n v="120"/>
    <n v="97"/>
    <n v="121"/>
    <n v="115"/>
    <n v="117"/>
    <n v="120"/>
    <n v="31"/>
    <n v="473"/>
    <n v="473"/>
    <n v="1074"/>
    <n v="219"/>
    <n v="335"/>
    <n v="113"/>
    <n v="235"/>
    <n v="238"/>
    <s v="おながわたろう"/>
  </r>
  <r>
    <n v="149"/>
    <x v="41"/>
    <s v="女川太郎"/>
    <x v="2"/>
    <x v="3"/>
    <x v="2"/>
    <x v="0"/>
    <n v="125"/>
    <n v="121"/>
    <n v="114"/>
    <n v="121"/>
    <n v="97"/>
    <n v="122"/>
    <n v="116"/>
    <n v="120"/>
    <n v="121"/>
    <n v="31"/>
    <n v="481"/>
    <n v="479"/>
    <n v="1088"/>
    <n v="222"/>
    <n v="339"/>
    <n v="114"/>
    <n v="237"/>
    <n v="242"/>
    <s v="おながわたろう"/>
  </r>
  <r>
    <n v="150"/>
    <x v="0"/>
    <s v="作並浩輔"/>
    <x v="1"/>
    <x v="2"/>
    <x v="2"/>
    <x v="0"/>
    <n v="113"/>
    <n v="110"/>
    <n v="112"/>
    <n v="121"/>
    <n v="101"/>
    <n v="110"/>
    <n v="124"/>
    <n v="119"/>
    <n v="120"/>
    <n v="36"/>
    <n v="456"/>
    <n v="473"/>
    <n v="1066"/>
    <n v="214"/>
    <n v="332"/>
    <n v="112"/>
    <n v="244"/>
    <n v="229"/>
    <s v="さくなみこうすけ"/>
  </r>
  <r>
    <n v="151"/>
    <x v="44"/>
    <s v="作並浩輔"/>
    <x v="2"/>
    <x v="2"/>
    <x v="2"/>
    <x v="0"/>
    <n v="114"/>
    <n v="111"/>
    <n v="115"/>
    <n v="122"/>
    <n v="101"/>
    <n v="111"/>
    <n v="127"/>
    <n v="120"/>
    <n v="123"/>
    <n v="36"/>
    <n v="462"/>
    <n v="481"/>
    <n v="1080"/>
    <n v="215"/>
    <n v="334"/>
    <n v="115"/>
    <n v="250"/>
    <n v="231"/>
    <s v="さくなみこうすけ"/>
  </r>
  <r>
    <n v="152"/>
    <x v="0"/>
    <s v="吹上仁悟"/>
    <x v="1"/>
    <x v="0"/>
    <x v="2"/>
    <x v="0"/>
    <n v="125"/>
    <n v="113"/>
    <n v="112"/>
    <n v="122"/>
    <n v="97"/>
    <n v="125"/>
    <n v="115"/>
    <n v="116"/>
    <n v="115"/>
    <n v="31"/>
    <n v="472"/>
    <n v="471"/>
    <n v="1071"/>
    <n v="222"/>
    <n v="332"/>
    <n v="112"/>
    <n v="230"/>
    <n v="241"/>
    <s v="ふきあげじんご"/>
  </r>
  <r>
    <n v="153"/>
    <x v="0"/>
    <s v="茂庭要"/>
    <x v="1"/>
    <x v="1"/>
    <x v="2"/>
    <x v="0"/>
    <n v="115"/>
    <n v="116"/>
    <n v="121"/>
    <n v="120"/>
    <n v="97"/>
    <n v="118"/>
    <n v="117"/>
    <n v="116"/>
    <n v="118"/>
    <n v="36"/>
    <n v="472"/>
    <n v="469"/>
    <n v="1074"/>
    <n v="212"/>
    <n v="333"/>
    <n v="121"/>
    <n v="235"/>
    <n v="234"/>
    <s v="もにわかなめ"/>
  </r>
  <r>
    <n v="154"/>
    <x v="19"/>
    <s v="茂庭要"/>
    <x v="2"/>
    <x v="1"/>
    <x v="2"/>
    <x v="0"/>
    <n v="116"/>
    <n v="119"/>
    <n v="124"/>
    <n v="123"/>
    <n v="97"/>
    <n v="119"/>
    <n v="118"/>
    <n v="117"/>
    <n v="119"/>
    <n v="36"/>
    <n v="482"/>
    <n v="473"/>
    <n v="1088"/>
    <n v="213"/>
    <n v="339"/>
    <n v="124"/>
    <n v="237"/>
    <n v="236"/>
    <s v="もにわかなめ"/>
  </r>
  <r>
    <n v="155"/>
    <x v="0"/>
    <s v="鎌先靖志"/>
    <x v="1"/>
    <x v="0"/>
    <x v="2"/>
    <x v="0"/>
    <n v="121"/>
    <n v="119"/>
    <n v="112"/>
    <n v="121"/>
    <n v="97"/>
    <n v="123"/>
    <n v="115"/>
    <n v="115"/>
    <n v="115"/>
    <n v="31"/>
    <n v="473"/>
    <n v="468"/>
    <n v="1069"/>
    <n v="218"/>
    <n v="337"/>
    <n v="112"/>
    <n v="230"/>
    <n v="238"/>
    <s v="かまさきやすし"/>
  </r>
  <r>
    <n v="156"/>
    <x v="43"/>
    <s v="鎌先靖志"/>
    <x v="2"/>
    <x v="0"/>
    <x v="2"/>
    <x v="0"/>
    <n v="124"/>
    <n v="120"/>
    <n v="113"/>
    <n v="122"/>
    <n v="97"/>
    <n v="126"/>
    <n v="116"/>
    <n v="118"/>
    <n v="116"/>
    <n v="31"/>
    <n v="479"/>
    <n v="476"/>
    <n v="1083"/>
    <n v="221"/>
    <n v="339"/>
    <n v="113"/>
    <n v="232"/>
    <n v="244"/>
    <s v="かまさきやすし"/>
  </r>
  <r>
    <n v="157"/>
    <x v="0"/>
    <s v="笹谷武仁"/>
    <x v="1"/>
    <x v="3"/>
    <x v="2"/>
    <x v="0"/>
    <n v="120"/>
    <n v="117"/>
    <n v="112"/>
    <n v="119"/>
    <n v="97"/>
    <n v="119"/>
    <n v="114"/>
    <n v="116"/>
    <n v="119"/>
    <n v="31"/>
    <n v="468"/>
    <n v="468"/>
    <n v="1064"/>
    <n v="217"/>
    <n v="333"/>
    <n v="112"/>
    <n v="233"/>
    <n v="235"/>
    <s v="ささやたけひと"/>
  </r>
  <r>
    <n v="158"/>
    <x v="42"/>
    <s v="笹谷武仁"/>
    <x v="2"/>
    <x v="3"/>
    <x v="2"/>
    <x v="0"/>
    <n v="123"/>
    <n v="120"/>
    <n v="113"/>
    <n v="120"/>
    <n v="97"/>
    <n v="120"/>
    <n v="115"/>
    <n v="119"/>
    <n v="120"/>
    <n v="31"/>
    <n v="476"/>
    <n v="474"/>
    <n v="1078"/>
    <n v="220"/>
    <n v="337"/>
    <n v="113"/>
    <n v="235"/>
    <n v="239"/>
    <s v="ささやたけひと"/>
  </r>
  <r>
    <n v="159"/>
    <x v="0"/>
    <s v="及川徹"/>
    <x v="1"/>
    <x v="1"/>
    <x v="3"/>
    <x v="0"/>
    <n v="127"/>
    <n v="127"/>
    <n v="129"/>
    <n v="127"/>
    <n v="101"/>
    <n v="114"/>
    <n v="115"/>
    <n v="115"/>
    <n v="115"/>
    <n v="36"/>
    <n v="510"/>
    <n v="459"/>
    <n v="1106"/>
    <n v="228"/>
    <n v="355"/>
    <n v="129"/>
    <n v="230"/>
    <n v="229"/>
    <s v="おいかわとおる"/>
  </r>
  <r>
    <n v="160"/>
    <x v="29"/>
    <s v="及川徹"/>
    <x v="2"/>
    <x v="1"/>
    <x v="3"/>
    <x v="0"/>
    <n v="128"/>
    <n v="130"/>
    <n v="132"/>
    <n v="130"/>
    <n v="101"/>
    <n v="115"/>
    <n v="116"/>
    <n v="116"/>
    <n v="116"/>
    <n v="36"/>
    <n v="520"/>
    <n v="463"/>
    <n v="1120"/>
    <n v="229"/>
    <n v="361"/>
    <n v="132"/>
    <n v="232"/>
    <n v="231"/>
    <s v="おいかわとおる"/>
  </r>
  <r>
    <n v="161"/>
    <x v="10"/>
    <s v="及川徹"/>
    <x v="0"/>
    <x v="1"/>
    <x v="3"/>
    <x v="0"/>
    <n v="130"/>
    <n v="127"/>
    <n v="135"/>
    <n v="127"/>
    <n v="101"/>
    <n v="118"/>
    <n v="114"/>
    <n v="119"/>
    <n v="114"/>
    <n v="36"/>
    <n v="519"/>
    <n v="465"/>
    <n v="1121"/>
    <n v="231"/>
    <n v="355"/>
    <n v="135"/>
    <n v="228"/>
    <n v="237"/>
    <s v="おいかわとおる"/>
  </r>
  <r>
    <n v="162"/>
    <x v="1"/>
    <s v="及川徹"/>
    <x v="1"/>
    <x v="1"/>
    <x v="3"/>
    <x v="0"/>
    <n v="131"/>
    <n v="127"/>
    <n v="131"/>
    <n v="127"/>
    <n v="101"/>
    <n v="117"/>
    <n v="116"/>
    <n v="118"/>
    <n v="116"/>
    <n v="36"/>
    <n v="516"/>
    <n v="467"/>
    <n v="1120"/>
    <n v="232"/>
    <n v="355"/>
    <n v="131"/>
    <n v="232"/>
    <n v="235"/>
    <s v="おいかわとおる"/>
  </r>
  <r>
    <n v="163"/>
    <x v="39"/>
    <s v="及川徹"/>
    <x v="2"/>
    <x v="1"/>
    <x v="3"/>
    <x v="0"/>
    <n v="129"/>
    <n v="133"/>
    <n v="134"/>
    <n v="132"/>
    <n v="101"/>
    <n v="115"/>
    <n v="117"/>
    <n v="116"/>
    <n v="117"/>
    <n v="36"/>
    <n v="528"/>
    <n v="465"/>
    <n v="1130"/>
    <n v="230"/>
    <n v="366"/>
    <n v="134"/>
    <n v="234"/>
    <n v="231"/>
    <s v="おいかわとおる"/>
  </r>
  <r>
    <n v="164"/>
    <x v="45"/>
    <s v="及川徹"/>
    <x v="0"/>
    <x v="1"/>
    <x v="3"/>
    <x v="0"/>
    <n v="129"/>
    <n v="130"/>
    <n v="135"/>
    <n v="130"/>
    <n v="101"/>
    <n v="117"/>
    <n v="118"/>
    <n v="118"/>
    <n v="117"/>
    <n v="36"/>
    <n v="524"/>
    <n v="470"/>
    <n v="1131"/>
    <n v="230"/>
    <n v="361"/>
    <n v="135"/>
    <n v="235"/>
    <n v="235"/>
    <s v="おいかわとおる"/>
  </r>
  <r>
    <n v="165"/>
    <x v="11"/>
    <s v="及川徹"/>
    <x v="1"/>
    <x v="1"/>
    <x v="3"/>
    <x v="0"/>
    <n v="131"/>
    <n v="130"/>
    <n v="133"/>
    <n v="131"/>
    <n v="101"/>
    <n v="115"/>
    <n v="119"/>
    <n v="118"/>
    <n v="118"/>
    <n v="36"/>
    <n v="525"/>
    <n v="470"/>
    <n v="1132"/>
    <n v="232"/>
    <n v="362"/>
    <n v="133"/>
    <n v="237"/>
    <n v="233"/>
    <s v="おいかわとおる"/>
  </r>
  <r>
    <n v="166"/>
    <x v="34"/>
    <s v="及川徹"/>
    <x v="2"/>
    <x v="1"/>
    <x v="3"/>
    <x v="0"/>
    <n v="130"/>
    <n v="135"/>
    <n v="136"/>
    <n v="133"/>
    <n v="101"/>
    <n v="116"/>
    <n v="118"/>
    <n v="117"/>
    <n v="118"/>
    <n v="36"/>
    <n v="534"/>
    <n v="469"/>
    <n v="1140"/>
    <n v="231"/>
    <n v="369"/>
    <n v="136"/>
    <n v="236"/>
    <n v="233"/>
    <s v="おいかわとおる"/>
  </r>
  <r>
    <n v="167"/>
    <x v="8"/>
    <s v="及川徹"/>
    <x v="0"/>
    <x v="1"/>
    <x v="3"/>
    <x v="0"/>
    <n v="130"/>
    <n v="136"/>
    <n v="135"/>
    <n v="133"/>
    <n v="101"/>
    <n v="116"/>
    <n v="119"/>
    <n v="117"/>
    <n v="119"/>
    <n v="36"/>
    <n v="534"/>
    <n v="471"/>
    <n v="1142"/>
    <n v="231"/>
    <n v="370"/>
    <n v="135"/>
    <n v="238"/>
    <n v="233"/>
    <s v="おいかわとおる"/>
  </r>
  <r>
    <n v="168"/>
    <x v="9"/>
    <s v="及川徹"/>
    <x v="1"/>
    <x v="1"/>
    <x v="3"/>
    <x v="0"/>
    <n v="131"/>
    <n v="136"/>
    <n v="138"/>
    <n v="135"/>
    <n v="101"/>
    <n v="117"/>
    <n v="119"/>
    <n v="118"/>
    <n v="119"/>
    <n v="36"/>
    <n v="540"/>
    <n v="473"/>
    <n v="1150"/>
    <n v="232"/>
    <n v="372"/>
    <n v="138"/>
    <n v="238"/>
    <n v="235"/>
    <s v="おいかわとおる"/>
  </r>
  <r>
    <n v="169"/>
    <x v="0"/>
    <s v="岩泉一"/>
    <x v="0"/>
    <x v="3"/>
    <x v="3"/>
    <x v="0"/>
    <n v="125"/>
    <n v="121"/>
    <n v="114"/>
    <n v="122"/>
    <n v="101"/>
    <n v="117"/>
    <n v="115"/>
    <n v="116"/>
    <n v="116"/>
    <n v="36"/>
    <n v="482"/>
    <n v="464"/>
    <n v="1083"/>
    <n v="226"/>
    <n v="344"/>
    <n v="114"/>
    <n v="231"/>
    <n v="233"/>
    <s v="いわいずみはじめ"/>
  </r>
  <r>
    <n v="170"/>
    <x v="29"/>
    <s v="岩泉一"/>
    <x v="1"/>
    <x v="3"/>
    <x v="3"/>
    <x v="0"/>
    <n v="128"/>
    <n v="124"/>
    <n v="115"/>
    <n v="123"/>
    <n v="101"/>
    <n v="118"/>
    <n v="116"/>
    <n v="119"/>
    <n v="117"/>
    <n v="36"/>
    <n v="490"/>
    <n v="470"/>
    <n v="1097"/>
    <n v="229"/>
    <n v="348"/>
    <n v="115"/>
    <n v="233"/>
    <n v="237"/>
    <s v="いわいずみはじめ"/>
  </r>
  <r>
    <n v="171"/>
    <x v="1"/>
    <s v="岩泉一"/>
    <x v="2"/>
    <x v="3"/>
    <x v="3"/>
    <x v="0"/>
    <n v="127"/>
    <n v="126"/>
    <n v="114"/>
    <n v="125"/>
    <n v="101"/>
    <n v="116"/>
    <n v="117"/>
    <n v="117"/>
    <n v="118"/>
    <n v="36"/>
    <n v="492"/>
    <n v="468"/>
    <n v="1097"/>
    <n v="228"/>
    <n v="352"/>
    <n v="114"/>
    <n v="235"/>
    <n v="233"/>
    <s v="いわいずみはじめ"/>
  </r>
  <r>
    <n v="172"/>
    <x v="35"/>
    <s v="岩泉一"/>
    <x v="0"/>
    <x v="3"/>
    <x v="3"/>
    <x v="0"/>
    <n v="127"/>
    <n v="122"/>
    <n v="114"/>
    <n v="122"/>
    <n v="101"/>
    <n v="120"/>
    <n v="118"/>
    <n v="120"/>
    <n v="118"/>
    <n v="36"/>
    <n v="485"/>
    <n v="476"/>
    <n v="1098"/>
    <n v="228"/>
    <n v="345"/>
    <n v="114"/>
    <n v="236"/>
    <n v="240"/>
    <s v="いわいずみはじめ"/>
  </r>
  <r>
    <n v="173"/>
    <x v="45"/>
    <s v="岩泉一"/>
    <x v="1"/>
    <x v="3"/>
    <x v="3"/>
    <x v="0"/>
    <n v="130"/>
    <n v="122"/>
    <n v="113"/>
    <n v="121"/>
    <n v="101"/>
    <n v="120"/>
    <n v="116"/>
    <n v="120"/>
    <n v="118"/>
    <n v="36"/>
    <n v="486"/>
    <n v="474"/>
    <n v="1097"/>
    <n v="231"/>
    <n v="344"/>
    <n v="113"/>
    <n v="234"/>
    <n v="240"/>
    <s v="いわいずみはじめ"/>
  </r>
  <r>
    <n v="174"/>
    <x v="46"/>
    <s v="岩泉一"/>
    <x v="2"/>
    <x v="3"/>
    <x v="3"/>
    <x v="0"/>
    <n v="131"/>
    <n v="124"/>
    <n v="116"/>
    <n v="123"/>
    <n v="101"/>
    <n v="120"/>
    <n v="117"/>
    <n v="121"/>
    <n v="118"/>
    <n v="36"/>
    <n v="494"/>
    <n v="476"/>
    <n v="1107"/>
    <n v="232"/>
    <n v="348"/>
    <n v="116"/>
    <n v="235"/>
    <n v="241"/>
    <s v="いわいずみはじめ"/>
  </r>
  <r>
    <n v="175"/>
    <x v="34"/>
    <s v="岩泉一"/>
    <x v="0"/>
    <x v="3"/>
    <x v="3"/>
    <x v="0"/>
    <n v="129"/>
    <n v="124"/>
    <n v="115"/>
    <n v="123"/>
    <n v="101"/>
    <n v="121"/>
    <n v="118"/>
    <n v="122"/>
    <n v="119"/>
    <n v="36"/>
    <n v="491"/>
    <n v="480"/>
    <n v="1108"/>
    <n v="230"/>
    <n v="348"/>
    <n v="115"/>
    <n v="237"/>
    <n v="243"/>
    <s v="いわいずみはじめ"/>
  </r>
  <r>
    <n v="176"/>
    <x v="28"/>
    <s v="岩泉一"/>
    <x v="1"/>
    <x v="3"/>
    <x v="3"/>
    <x v="0"/>
    <n v="133"/>
    <n v="125"/>
    <n v="117"/>
    <n v="124"/>
    <n v="101"/>
    <n v="121"/>
    <n v="118"/>
    <n v="123"/>
    <n v="119"/>
    <n v="36"/>
    <n v="499"/>
    <n v="481"/>
    <n v="1117"/>
    <n v="234"/>
    <n v="350"/>
    <n v="117"/>
    <n v="237"/>
    <n v="244"/>
    <s v="いわいずみはじめ"/>
  </r>
  <r>
    <n v="177"/>
    <x v="42"/>
    <s v="岩泉一"/>
    <x v="2"/>
    <x v="3"/>
    <x v="3"/>
    <x v="0"/>
    <n v="130"/>
    <n v="125"/>
    <n v="116"/>
    <n v="124"/>
    <n v="101"/>
    <n v="123"/>
    <n v="120"/>
    <n v="124"/>
    <n v="121"/>
    <n v="36"/>
    <n v="495"/>
    <n v="488"/>
    <n v="1120"/>
    <n v="231"/>
    <n v="350"/>
    <n v="116"/>
    <n v="241"/>
    <n v="247"/>
    <s v="いわいずみはじめ"/>
  </r>
  <r>
    <n v="178"/>
    <x v="0"/>
    <s v="金田一勇太郎"/>
    <x v="2"/>
    <x v="0"/>
    <x v="3"/>
    <x v="0"/>
    <n v="118"/>
    <n v="113"/>
    <n v="112"/>
    <n v="116"/>
    <n v="97"/>
    <n v="120"/>
    <n v="115"/>
    <n v="115"/>
    <n v="115"/>
    <n v="31"/>
    <n v="459"/>
    <n v="465"/>
    <n v="1052"/>
    <n v="215"/>
    <n v="326"/>
    <n v="112"/>
    <n v="230"/>
    <n v="235"/>
    <s v="きんだいちゆうたろう"/>
  </r>
  <r>
    <n v="179"/>
    <x v="21"/>
    <s v="金田一勇太郎"/>
    <x v="0"/>
    <x v="0"/>
    <x v="3"/>
    <x v="0"/>
    <n v="121"/>
    <n v="114"/>
    <n v="113"/>
    <n v="117"/>
    <n v="97"/>
    <n v="123"/>
    <n v="116"/>
    <n v="118"/>
    <n v="116"/>
    <n v="31"/>
    <n v="465"/>
    <n v="473"/>
    <n v="1066"/>
    <n v="218"/>
    <n v="328"/>
    <n v="113"/>
    <n v="232"/>
    <n v="241"/>
    <s v="きんだいちゆうたろう"/>
  </r>
  <r>
    <n v="180"/>
    <x v="47"/>
    <s v="金田一勇太郎"/>
    <x v="0"/>
    <x v="0"/>
    <x v="3"/>
    <x v="0"/>
    <n v="120"/>
    <n v="117"/>
    <n v="112"/>
    <n v="119"/>
    <n v="97"/>
    <n v="121"/>
    <n v="118"/>
    <n v="116"/>
    <n v="117"/>
    <n v="31"/>
    <n v="468"/>
    <n v="472"/>
    <n v="1068"/>
    <n v="217"/>
    <n v="333"/>
    <n v="112"/>
    <n v="235"/>
    <n v="237"/>
    <s v="きんだいちゆうたろう"/>
  </r>
  <r>
    <n v="181"/>
    <x v="12"/>
    <s v="金田一勇太郎"/>
    <x v="2"/>
    <x v="0"/>
    <x v="3"/>
    <x v="0"/>
    <n v="123"/>
    <n v="112"/>
    <n v="113"/>
    <n v="115"/>
    <n v="97"/>
    <n v="126"/>
    <n v="115"/>
    <n v="121"/>
    <n v="116"/>
    <n v="31"/>
    <n v="463"/>
    <n v="478"/>
    <n v="1069"/>
    <n v="220"/>
    <n v="324"/>
    <n v="113"/>
    <n v="231"/>
    <n v="247"/>
    <s v="きんだいちゆうたろう"/>
  </r>
  <r>
    <n v="182"/>
    <x v="0"/>
    <s v="京谷賢太郎"/>
    <x v="0"/>
    <x v="3"/>
    <x v="3"/>
    <x v="0"/>
    <n v="128"/>
    <n v="125"/>
    <n v="112"/>
    <n v="119"/>
    <n v="97"/>
    <n v="114"/>
    <n v="110"/>
    <n v="116"/>
    <n v="121"/>
    <n v="27"/>
    <n v="484"/>
    <n v="461"/>
    <n v="1069"/>
    <n v="225"/>
    <n v="341"/>
    <n v="112"/>
    <n v="231"/>
    <n v="230"/>
    <s v="きょうたにけんたろう"/>
  </r>
  <r>
    <n v="183"/>
    <x v="32"/>
    <s v="京谷賢太郎"/>
    <x v="1"/>
    <x v="3"/>
    <x v="3"/>
    <x v="0"/>
    <n v="131"/>
    <n v="128"/>
    <n v="113"/>
    <n v="120"/>
    <n v="97"/>
    <n v="115"/>
    <n v="111"/>
    <n v="119"/>
    <n v="122"/>
    <n v="27"/>
    <n v="492"/>
    <n v="467"/>
    <n v="1083"/>
    <n v="228"/>
    <n v="345"/>
    <n v="113"/>
    <n v="233"/>
    <n v="234"/>
    <s v="きょうたにけんたろう"/>
  </r>
  <r>
    <n v="184"/>
    <x v="41"/>
    <s v="京谷賢太郎"/>
    <x v="2"/>
    <x v="3"/>
    <x v="3"/>
    <x v="0"/>
    <n v="134"/>
    <n v="125"/>
    <n v="111"/>
    <n v="118"/>
    <n v="97"/>
    <n v="117"/>
    <n v="112"/>
    <n v="121"/>
    <n v="123"/>
    <n v="27"/>
    <n v="488"/>
    <n v="473"/>
    <n v="1085"/>
    <n v="231"/>
    <n v="340"/>
    <n v="111"/>
    <n v="235"/>
    <n v="238"/>
    <s v="きょうたにけんたろう"/>
  </r>
  <r>
    <n v="185"/>
    <x v="0"/>
    <s v="国見英"/>
    <x v="1"/>
    <x v="3"/>
    <x v="3"/>
    <x v="0"/>
    <n v="119"/>
    <n v="115"/>
    <n v="114"/>
    <n v="119"/>
    <n v="97"/>
    <n v="114"/>
    <n v="116"/>
    <n v="116"/>
    <n v="116"/>
    <n v="31"/>
    <n v="467"/>
    <n v="462"/>
    <n v="1057"/>
    <n v="216"/>
    <n v="331"/>
    <n v="114"/>
    <n v="232"/>
    <n v="230"/>
    <s v="くにみあきら"/>
  </r>
  <r>
    <n v="186"/>
    <x v="15"/>
    <s v="国見英"/>
    <x v="2"/>
    <x v="3"/>
    <x v="3"/>
    <x v="0"/>
    <n v="122"/>
    <n v="118"/>
    <n v="115"/>
    <n v="120"/>
    <n v="97"/>
    <n v="115"/>
    <n v="117"/>
    <n v="119"/>
    <n v="117"/>
    <n v="31"/>
    <n v="475"/>
    <n v="468"/>
    <n v="1071"/>
    <n v="219"/>
    <n v="335"/>
    <n v="115"/>
    <n v="234"/>
    <n v="234"/>
    <s v="くにみあきら"/>
  </r>
  <r>
    <n v="187"/>
    <x v="39"/>
    <s v="国見英"/>
    <x v="0"/>
    <x v="3"/>
    <x v="3"/>
    <x v="0"/>
    <n v="121"/>
    <n v="116"/>
    <n v="114"/>
    <n v="119"/>
    <n v="97"/>
    <n v="118"/>
    <n v="119"/>
    <n v="120"/>
    <n v="118"/>
    <n v="31"/>
    <n v="470"/>
    <n v="475"/>
    <n v="1073"/>
    <n v="218"/>
    <n v="332"/>
    <n v="114"/>
    <n v="237"/>
    <n v="238"/>
    <s v="くにみあきら"/>
  </r>
  <r>
    <n v="188"/>
    <x v="47"/>
    <s v="国見英"/>
    <x v="1"/>
    <x v="3"/>
    <x v="3"/>
    <x v="0"/>
    <n v="126"/>
    <n v="116"/>
    <n v="117"/>
    <n v="118"/>
    <n v="97"/>
    <n v="115"/>
    <n v="117"/>
    <n v="121"/>
    <n v="115"/>
    <n v="31"/>
    <n v="477"/>
    <n v="468"/>
    <n v="1073"/>
    <n v="223"/>
    <n v="331"/>
    <n v="117"/>
    <n v="232"/>
    <n v="236"/>
    <s v="くにみあきら"/>
  </r>
  <r>
    <n v="189"/>
    <x v="12"/>
    <s v="国見英"/>
    <x v="2"/>
    <x v="3"/>
    <x v="3"/>
    <x v="0"/>
    <n v="121"/>
    <n v="116"/>
    <n v="115"/>
    <n v="119"/>
    <n v="97"/>
    <n v="121"/>
    <n v="122"/>
    <n v="122"/>
    <n v="120"/>
    <n v="31"/>
    <n v="471"/>
    <n v="485"/>
    <n v="1084"/>
    <n v="218"/>
    <n v="332"/>
    <n v="115"/>
    <n v="242"/>
    <n v="243"/>
    <s v="くにみあきら"/>
  </r>
  <r>
    <n v="190"/>
    <x v="19"/>
    <s v="国見英"/>
    <x v="0"/>
    <x v="3"/>
    <x v="3"/>
    <x v="0"/>
    <n v="129"/>
    <n v="116"/>
    <n v="118"/>
    <n v="118"/>
    <n v="97"/>
    <n v="117"/>
    <n v="118"/>
    <n v="123"/>
    <n v="116"/>
    <n v="31"/>
    <n v="481"/>
    <n v="474"/>
    <n v="1083"/>
    <n v="226"/>
    <n v="331"/>
    <n v="118"/>
    <n v="234"/>
    <n v="240"/>
    <s v="くにみあきら"/>
  </r>
  <r>
    <n v="191"/>
    <x v="42"/>
    <s v="国見英"/>
    <x v="1"/>
    <x v="3"/>
    <x v="3"/>
    <x v="0"/>
    <n v="122"/>
    <n v="118"/>
    <n v="116"/>
    <n v="121"/>
    <n v="97"/>
    <n v="122"/>
    <n v="123"/>
    <n v="123"/>
    <n v="121"/>
    <n v="31"/>
    <n v="477"/>
    <n v="489"/>
    <n v="1094"/>
    <n v="219"/>
    <n v="336"/>
    <n v="116"/>
    <n v="244"/>
    <n v="245"/>
    <s v="くにみあきら"/>
  </r>
  <r>
    <n v="192"/>
    <x v="0"/>
    <s v="渡親治"/>
    <x v="1"/>
    <x v="2"/>
    <x v="3"/>
    <x v="0"/>
    <n v="113"/>
    <n v="110"/>
    <n v="119"/>
    <n v="121"/>
    <n v="101"/>
    <n v="110"/>
    <n v="124"/>
    <n v="119"/>
    <n v="122"/>
    <n v="41"/>
    <n v="463"/>
    <n v="475"/>
    <n v="1080"/>
    <n v="214"/>
    <n v="332"/>
    <n v="119"/>
    <n v="246"/>
    <n v="229"/>
    <s v="わたりしんじ"/>
  </r>
  <r>
    <n v="193"/>
    <x v="0"/>
    <s v="松川一静"/>
    <x v="1"/>
    <x v="0"/>
    <x v="3"/>
    <x v="0"/>
    <n v="116"/>
    <n v="113"/>
    <n v="112"/>
    <n v="117"/>
    <n v="97"/>
    <n v="120"/>
    <n v="115"/>
    <n v="115"/>
    <n v="115"/>
    <n v="31"/>
    <n v="458"/>
    <n v="465"/>
    <n v="1051"/>
    <n v="213"/>
    <n v="327"/>
    <n v="112"/>
    <n v="230"/>
    <n v="235"/>
    <s v="まつかわいっせい"/>
  </r>
  <r>
    <n v="194"/>
    <x v="48"/>
    <s v="松川一静"/>
    <x v="2"/>
    <x v="0"/>
    <x v="3"/>
    <x v="0"/>
    <n v="119"/>
    <n v="114"/>
    <n v="113"/>
    <n v="118"/>
    <n v="97"/>
    <n v="123"/>
    <n v="116"/>
    <n v="118"/>
    <n v="116"/>
    <n v="31"/>
    <n v="464"/>
    <n v="473"/>
    <n v="1065"/>
    <n v="216"/>
    <n v="329"/>
    <n v="113"/>
    <n v="232"/>
    <n v="241"/>
    <s v="まつかわいっせい"/>
  </r>
  <r>
    <n v="195"/>
    <x v="45"/>
    <s v="松川一静"/>
    <x v="0"/>
    <x v="0"/>
    <x v="3"/>
    <x v="0"/>
    <n v="118"/>
    <n v="117"/>
    <n v="111"/>
    <n v="119"/>
    <n v="97"/>
    <n v="125"/>
    <n v="115"/>
    <n v="119"/>
    <n v="115"/>
    <n v="31"/>
    <n v="465"/>
    <n v="474"/>
    <n v="1067"/>
    <n v="215"/>
    <n v="333"/>
    <n v="111"/>
    <n v="230"/>
    <n v="244"/>
    <s v="まつかわいっせい"/>
  </r>
  <r>
    <n v="196"/>
    <x v="18"/>
    <s v="松川一静"/>
    <x v="1"/>
    <x v="0"/>
    <x v="3"/>
    <x v="0"/>
    <n v="121"/>
    <n v="114"/>
    <n v="115"/>
    <n v="118"/>
    <n v="97"/>
    <n v="126"/>
    <n v="117"/>
    <n v="120"/>
    <n v="116"/>
    <n v="31"/>
    <n v="468"/>
    <n v="479"/>
    <n v="1075"/>
    <n v="218"/>
    <n v="329"/>
    <n v="115"/>
    <n v="233"/>
    <n v="246"/>
    <s v="まつかわいっせい"/>
  </r>
  <r>
    <n v="197"/>
    <x v="0"/>
    <s v="花巻貴大"/>
    <x v="1"/>
    <x v="3"/>
    <x v="3"/>
    <x v="0"/>
    <n v="118"/>
    <n v="116"/>
    <n v="116"/>
    <n v="119"/>
    <n v="97"/>
    <n v="117"/>
    <n v="116"/>
    <n v="116"/>
    <n v="118"/>
    <n v="31"/>
    <n v="469"/>
    <n v="467"/>
    <n v="1064"/>
    <n v="215"/>
    <n v="332"/>
    <n v="116"/>
    <n v="234"/>
    <n v="233"/>
    <s v="はなまきたかひろ"/>
  </r>
  <r>
    <n v="198"/>
    <x v="48"/>
    <s v="花巻貴大"/>
    <x v="2"/>
    <x v="3"/>
    <x v="3"/>
    <x v="0"/>
    <n v="121"/>
    <n v="119"/>
    <n v="117"/>
    <n v="120"/>
    <n v="97"/>
    <n v="118"/>
    <n v="117"/>
    <n v="119"/>
    <n v="119"/>
    <n v="31"/>
    <n v="477"/>
    <n v="473"/>
    <n v="1078"/>
    <n v="218"/>
    <n v="336"/>
    <n v="117"/>
    <n v="236"/>
    <n v="237"/>
    <s v="はなまきたかひろ"/>
  </r>
  <r>
    <n v="199"/>
    <x v="23"/>
    <s v="花巻貴大"/>
    <x v="0"/>
    <x v="3"/>
    <x v="3"/>
    <x v="0"/>
    <n v="124"/>
    <n v="117"/>
    <n v="119"/>
    <n v="118"/>
    <n v="97"/>
    <n v="118"/>
    <n v="117"/>
    <n v="121"/>
    <n v="117"/>
    <n v="31"/>
    <n v="478"/>
    <n v="473"/>
    <n v="1079"/>
    <n v="221"/>
    <n v="332"/>
    <n v="119"/>
    <n v="234"/>
    <n v="239"/>
    <s v="はなまきたかひろ"/>
  </r>
  <r>
    <n v="200"/>
    <x v="37"/>
    <s v="花巻貴大"/>
    <x v="1"/>
    <x v="3"/>
    <x v="3"/>
    <x v="0"/>
    <n v="120"/>
    <n v="122"/>
    <n v="116"/>
    <n v="122"/>
    <n v="97"/>
    <n v="116"/>
    <n v="119"/>
    <n v="117"/>
    <n v="120"/>
    <n v="31"/>
    <n v="480"/>
    <n v="472"/>
    <n v="1080"/>
    <n v="217"/>
    <n v="341"/>
    <n v="116"/>
    <n v="239"/>
    <n v="233"/>
    <s v="はなまきたかひろ"/>
  </r>
  <r>
    <n v="201"/>
    <x v="18"/>
    <s v="花巻貴大"/>
    <x v="2"/>
    <x v="3"/>
    <x v="3"/>
    <x v="0"/>
    <n v="125"/>
    <n v="119"/>
    <n v="118"/>
    <n v="120"/>
    <n v="97"/>
    <n v="120"/>
    <n v="118"/>
    <n v="121"/>
    <n v="120"/>
    <n v="31"/>
    <n v="482"/>
    <n v="479"/>
    <n v="1089"/>
    <n v="222"/>
    <n v="336"/>
    <n v="118"/>
    <n v="238"/>
    <n v="241"/>
    <s v="はなまきたかひろ"/>
  </r>
  <r>
    <n v="202"/>
    <x v="0"/>
    <s v="矢巾秀"/>
    <x v="1"/>
    <x v="1"/>
    <x v="3"/>
    <x v="0"/>
    <n v="118"/>
    <n v="120"/>
    <n v="123"/>
    <n v="123"/>
    <n v="101"/>
    <n v="115"/>
    <n v="117"/>
    <n v="115"/>
    <n v="117"/>
    <n v="36"/>
    <n v="484"/>
    <n v="464"/>
    <n v="1085"/>
    <n v="219"/>
    <n v="344"/>
    <n v="123"/>
    <n v="234"/>
    <n v="230"/>
    <s v="やはばしげる"/>
  </r>
  <r>
    <n v="203"/>
    <x v="38"/>
    <s v="矢巾秀"/>
    <x v="2"/>
    <x v="1"/>
    <x v="3"/>
    <x v="0"/>
    <n v="119"/>
    <n v="123"/>
    <n v="126"/>
    <n v="126"/>
    <n v="101"/>
    <n v="116"/>
    <n v="118"/>
    <n v="116"/>
    <n v="118"/>
    <n v="36"/>
    <n v="494"/>
    <n v="468"/>
    <n v="1099"/>
    <n v="220"/>
    <n v="350"/>
    <n v="126"/>
    <n v="236"/>
    <n v="232"/>
    <s v="やはばしげる"/>
  </r>
  <r>
    <n v="204"/>
    <x v="0"/>
    <s v="駒木輝"/>
    <x v="1"/>
    <x v="3"/>
    <x v="4"/>
    <x v="0"/>
    <n v="121"/>
    <n v="115"/>
    <n v="114"/>
    <n v="118"/>
    <n v="101"/>
    <n v="116"/>
    <n v="114"/>
    <n v="116"/>
    <n v="117"/>
    <n v="41"/>
    <n v="468"/>
    <n v="463"/>
    <n v="1073"/>
    <n v="222"/>
    <n v="334"/>
    <n v="114"/>
    <n v="231"/>
    <n v="232"/>
    <s v="こまきひかる"/>
  </r>
  <r>
    <n v="205"/>
    <x v="0"/>
    <s v="茶屋和馬"/>
    <x v="2"/>
    <x v="0"/>
    <x v="4"/>
    <x v="0"/>
    <n v="116"/>
    <n v="115"/>
    <n v="113"/>
    <n v="118"/>
    <n v="97"/>
    <n v="120"/>
    <n v="116"/>
    <n v="115"/>
    <n v="115"/>
    <n v="31"/>
    <n v="462"/>
    <n v="466"/>
    <n v="1056"/>
    <n v="213"/>
    <n v="330"/>
    <n v="113"/>
    <n v="231"/>
    <n v="235"/>
    <s v="ちゃやかずま"/>
  </r>
  <r>
    <n v="206"/>
    <x v="0"/>
    <s v="玉川弘樹"/>
    <x v="2"/>
    <x v="3"/>
    <x v="4"/>
    <x v="0"/>
    <n v="117"/>
    <n v="114"/>
    <n v="114"/>
    <n v="119"/>
    <n v="97"/>
    <n v="116"/>
    <n v="116"/>
    <n v="117"/>
    <n v="117"/>
    <n v="31"/>
    <n v="464"/>
    <n v="466"/>
    <n v="1058"/>
    <n v="214"/>
    <n v="330"/>
    <n v="114"/>
    <n v="233"/>
    <n v="233"/>
    <s v="たまがわひろき"/>
  </r>
  <r>
    <n v="207"/>
    <x v="0"/>
    <s v="桜井大河"/>
    <x v="2"/>
    <x v="2"/>
    <x v="4"/>
    <x v="0"/>
    <n v="113"/>
    <n v="110"/>
    <n v="113"/>
    <n v="122"/>
    <n v="101"/>
    <n v="110"/>
    <n v="124"/>
    <n v="118"/>
    <n v="121"/>
    <n v="41"/>
    <n v="458"/>
    <n v="473"/>
    <n v="1073"/>
    <n v="214"/>
    <n v="333"/>
    <n v="113"/>
    <n v="245"/>
    <n v="228"/>
    <s v="さくらいたいが"/>
  </r>
  <r>
    <n v="208"/>
    <x v="0"/>
    <s v="芳賀良治"/>
    <x v="2"/>
    <x v="1"/>
    <x v="4"/>
    <x v="0"/>
    <n v="120"/>
    <n v="116"/>
    <n v="121"/>
    <n v="120"/>
    <n v="97"/>
    <n v="114"/>
    <n v="114"/>
    <n v="115"/>
    <n v="115"/>
    <n v="31"/>
    <n v="477"/>
    <n v="458"/>
    <n v="1063"/>
    <n v="217"/>
    <n v="333"/>
    <n v="121"/>
    <n v="229"/>
    <n v="229"/>
    <s v="はがよしはる"/>
  </r>
  <r>
    <n v="209"/>
    <x v="0"/>
    <s v="渋谷陸斗"/>
    <x v="2"/>
    <x v="0"/>
    <x v="4"/>
    <x v="0"/>
    <n v="115"/>
    <n v="114"/>
    <n v="112"/>
    <n v="119"/>
    <n v="97"/>
    <n v="120"/>
    <n v="115"/>
    <n v="115"/>
    <n v="115"/>
    <n v="31"/>
    <n v="460"/>
    <n v="465"/>
    <n v="1053"/>
    <n v="212"/>
    <n v="330"/>
    <n v="112"/>
    <n v="230"/>
    <n v="235"/>
    <s v="しぶやりくと"/>
  </r>
  <r>
    <n v="210"/>
    <x v="0"/>
    <s v="池尻隼人"/>
    <x v="2"/>
    <x v="3"/>
    <x v="4"/>
    <x v="0"/>
    <n v="117"/>
    <n v="116"/>
    <n v="114"/>
    <n v="120"/>
    <n v="97"/>
    <n v="116"/>
    <n v="116"/>
    <n v="117"/>
    <n v="116"/>
    <n v="31"/>
    <n v="467"/>
    <n v="465"/>
    <n v="1060"/>
    <n v="214"/>
    <n v="333"/>
    <n v="114"/>
    <n v="232"/>
    <n v="233"/>
    <s v="いけじりはやと"/>
  </r>
  <r>
    <n v="211"/>
    <x v="24"/>
    <s v="池尻隼人"/>
    <x v="0"/>
    <x v="3"/>
    <x v="4"/>
    <x v="0"/>
    <n v="120"/>
    <n v="119"/>
    <n v="115"/>
    <n v="121"/>
    <n v="97"/>
    <n v="117"/>
    <n v="117"/>
    <n v="120"/>
    <n v="117"/>
    <n v="31"/>
    <n v="475"/>
    <n v="471"/>
    <n v="1074"/>
    <n v="217"/>
    <n v="337"/>
    <n v="115"/>
    <n v="234"/>
    <n v="237"/>
    <s v="いけじりはやと"/>
  </r>
  <r>
    <n v="212"/>
    <x v="6"/>
    <s v="池尻隼人"/>
    <x v="1"/>
    <x v="3"/>
    <x v="4"/>
    <x v="0"/>
    <n v="119"/>
    <n v="122"/>
    <n v="114"/>
    <n v="123"/>
    <n v="97"/>
    <n v="115"/>
    <n v="119"/>
    <n v="118"/>
    <n v="118"/>
    <n v="31"/>
    <n v="478"/>
    <n v="470"/>
    <n v="1076"/>
    <n v="216"/>
    <n v="342"/>
    <n v="114"/>
    <n v="237"/>
    <n v="233"/>
    <s v="いけじりはやと"/>
  </r>
  <r>
    <n v="213"/>
    <x v="0"/>
    <s v="十和田良樹"/>
    <x v="0"/>
    <x v="3"/>
    <x v="5"/>
    <x v="0"/>
    <n v="121"/>
    <n v="116"/>
    <n v="114"/>
    <n v="121"/>
    <n v="97"/>
    <n v="116"/>
    <n v="116"/>
    <n v="117"/>
    <n v="116"/>
    <n v="41"/>
    <n v="472"/>
    <n v="465"/>
    <n v="1075"/>
    <n v="218"/>
    <n v="334"/>
    <n v="114"/>
    <n v="232"/>
    <n v="233"/>
    <s v="とわだよしき"/>
  </r>
  <r>
    <n v="214"/>
    <x v="0"/>
    <s v="森岳歩"/>
    <x v="0"/>
    <x v="0"/>
    <x v="5"/>
    <x v="0"/>
    <n v="116"/>
    <n v="114"/>
    <n v="112"/>
    <n v="118"/>
    <n v="97"/>
    <n v="120"/>
    <n v="115"/>
    <n v="115"/>
    <n v="115"/>
    <n v="31"/>
    <n v="460"/>
    <n v="465"/>
    <n v="1053"/>
    <n v="213"/>
    <n v="329"/>
    <n v="112"/>
    <n v="230"/>
    <n v="235"/>
    <s v="もりたけあゆむ"/>
  </r>
  <r>
    <n v="215"/>
    <x v="0"/>
    <s v="唐松拓巳"/>
    <x v="2"/>
    <x v="3"/>
    <x v="5"/>
    <x v="0"/>
    <n v="121"/>
    <n v="117"/>
    <n v="114"/>
    <n v="121"/>
    <n v="97"/>
    <n v="117"/>
    <n v="117"/>
    <n v="117"/>
    <n v="117"/>
    <n v="31"/>
    <n v="473"/>
    <n v="468"/>
    <n v="1069"/>
    <n v="218"/>
    <n v="335"/>
    <n v="114"/>
    <n v="234"/>
    <n v="234"/>
    <s v="からまつたくみ"/>
  </r>
  <r>
    <n v="216"/>
    <x v="0"/>
    <s v="田沢裕樹"/>
    <x v="0"/>
    <x v="3"/>
    <x v="5"/>
    <x v="0"/>
    <n v="118"/>
    <n v="116"/>
    <n v="114"/>
    <n v="119"/>
    <n v="97"/>
    <n v="117"/>
    <n v="116"/>
    <n v="117"/>
    <n v="116"/>
    <n v="31"/>
    <n v="467"/>
    <n v="466"/>
    <n v="1061"/>
    <n v="215"/>
    <n v="332"/>
    <n v="114"/>
    <n v="232"/>
    <n v="234"/>
    <s v="たざわゆうき"/>
  </r>
  <r>
    <n v="217"/>
    <x v="0"/>
    <s v="子安颯真"/>
    <x v="0"/>
    <x v="0"/>
    <x v="5"/>
    <x v="0"/>
    <n v="118"/>
    <n v="118"/>
    <n v="112"/>
    <n v="120"/>
    <n v="97"/>
    <n v="120"/>
    <n v="115"/>
    <n v="115"/>
    <n v="115"/>
    <n v="31"/>
    <n v="468"/>
    <n v="465"/>
    <n v="1061"/>
    <n v="215"/>
    <n v="335"/>
    <n v="112"/>
    <n v="230"/>
    <n v="235"/>
    <s v="おやすそうま"/>
  </r>
  <r>
    <n v="218"/>
    <x v="40"/>
    <s v="子安颯真"/>
    <x v="1"/>
    <x v="0"/>
    <x v="5"/>
    <x v="0"/>
    <n v="121"/>
    <n v="119"/>
    <n v="113"/>
    <n v="121"/>
    <n v="97"/>
    <n v="123"/>
    <n v="116"/>
    <n v="118"/>
    <n v="116"/>
    <n v="31"/>
    <n v="474"/>
    <n v="473"/>
    <n v="1075"/>
    <n v="218"/>
    <n v="337"/>
    <n v="113"/>
    <n v="232"/>
    <n v="241"/>
    <s v="おやすそうま"/>
  </r>
  <r>
    <n v="219"/>
    <x v="0"/>
    <s v="横手駿"/>
    <x v="0"/>
    <x v="2"/>
    <x v="5"/>
    <x v="0"/>
    <n v="113"/>
    <n v="110"/>
    <n v="113"/>
    <n v="122"/>
    <n v="101"/>
    <n v="110"/>
    <n v="122"/>
    <n v="118"/>
    <n v="120"/>
    <n v="41"/>
    <n v="458"/>
    <n v="470"/>
    <n v="1070"/>
    <n v="214"/>
    <n v="333"/>
    <n v="113"/>
    <n v="242"/>
    <n v="228"/>
    <s v="よこてしゅん"/>
  </r>
  <r>
    <n v="220"/>
    <x v="0"/>
    <s v="夏瀬伊吹"/>
    <x v="0"/>
    <x v="1"/>
    <x v="5"/>
    <x v="0"/>
    <n v="117"/>
    <n v="115"/>
    <n v="120"/>
    <n v="120"/>
    <n v="97"/>
    <n v="117"/>
    <n v="114"/>
    <n v="116"/>
    <n v="116"/>
    <n v="31"/>
    <n v="472"/>
    <n v="463"/>
    <n v="1063"/>
    <n v="214"/>
    <n v="332"/>
    <n v="120"/>
    <n v="230"/>
    <n v="233"/>
    <s v="なつせいぶき"/>
  </r>
  <r>
    <n v="221"/>
    <x v="0"/>
    <s v="秋宮昇"/>
    <x v="0"/>
    <x v="1"/>
    <x v="5"/>
    <x v="0"/>
    <n v="117"/>
    <n v="120"/>
    <n v="124"/>
    <n v="123"/>
    <n v="97"/>
    <n v="119"/>
    <n v="118"/>
    <n v="116"/>
    <n v="119"/>
    <n v="36"/>
    <n v="484"/>
    <n v="472"/>
    <n v="1089"/>
    <n v="214"/>
    <n v="340"/>
    <n v="124"/>
    <n v="237"/>
    <n v="235"/>
    <s v="あきみやのぼる"/>
  </r>
  <r>
    <n v="222"/>
    <x v="0"/>
    <s v="古牧譲"/>
    <x v="1"/>
    <x v="1"/>
    <x v="6"/>
    <x v="0"/>
    <n v="121"/>
    <n v="119"/>
    <n v="122"/>
    <n v="122"/>
    <n v="101"/>
    <n v="116"/>
    <n v="116"/>
    <n v="120"/>
    <n v="120"/>
    <n v="41"/>
    <n v="484"/>
    <n v="472"/>
    <n v="1098"/>
    <n v="222"/>
    <n v="342"/>
    <n v="122"/>
    <n v="236"/>
    <n v="236"/>
    <s v="こまきゆずる"/>
  </r>
  <r>
    <n v="223"/>
    <x v="21"/>
    <s v="古牧譲"/>
    <x v="2"/>
    <x v="1"/>
    <x v="6"/>
    <x v="0"/>
    <n v="122"/>
    <n v="122"/>
    <n v="125"/>
    <n v="125"/>
    <n v="101"/>
    <n v="117"/>
    <n v="117"/>
    <n v="121"/>
    <n v="121"/>
    <n v="41"/>
    <n v="494"/>
    <n v="476"/>
    <n v="1112"/>
    <n v="223"/>
    <n v="348"/>
    <n v="125"/>
    <n v="238"/>
    <n v="238"/>
    <s v="こまきゆずる"/>
  </r>
  <r>
    <n v="224"/>
    <x v="0"/>
    <s v="浅虫快人"/>
    <x v="0"/>
    <x v="3"/>
    <x v="6"/>
    <x v="0"/>
    <n v="118"/>
    <n v="116"/>
    <n v="114"/>
    <n v="117"/>
    <n v="97"/>
    <n v="117"/>
    <n v="115"/>
    <n v="117"/>
    <n v="117"/>
    <n v="36"/>
    <n v="465"/>
    <n v="466"/>
    <n v="1064"/>
    <n v="215"/>
    <n v="330"/>
    <n v="114"/>
    <n v="232"/>
    <n v="234"/>
    <s v="あさむしかいと"/>
  </r>
  <r>
    <n v="225"/>
    <x v="0"/>
    <s v="南田大志"/>
    <x v="1"/>
    <x v="2"/>
    <x v="6"/>
    <x v="0"/>
    <n v="112"/>
    <n v="110"/>
    <n v="114"/>
    <n v="121"/>
    <n v="101"/>
    <n v="110"/>
    <n v="122"/>
    <n v="118"/>
    <n v="120"/>
    <n v="41"/>
    <n v="457"/>
    <n v="470"/>
    <n v="1069"/>
    <n v="213"/>
    <n v="332"/>
    <n v="114"/>
    <n v="242"/>
    <n v="228"/>
    <s v="みなみだたいし"/>
  </r>
  <r>
    <n v="226"/>
    <x v="0"/>
    <s v="湯川良明"/>
    <x v="1"/>
    <x v="0"/>
    <x v="6"/>
    <x v="0"/>
    <n v="116"/>
    <n v="116"/>
    <n v="112"/>
    <n v="120"/>
    <n v="97"/>
    <n v="120"/>
    <n v="115"/>
    <n v="116"/>
    <n v="116"/>
    <n v="31"/>
    <n v="464"/>
    <n v="467"/>
    <n v="1059"/>
    <n v="213"/>
    <n v="333"/>
    <n v="112"/>
    <n v="231"/>
    <n v="236"/>
    <s v="ぬるかわよしあき"/>
  </r>
  <r>
    <n v="227"/>
    <x v="0"/>
    <s v="稲垣功"/>
    <x v="1"/>
    <x v="3"/>
    <x v="6"/>
    <x v="0"/>
    <n v="120"/>
    <n v="117"/>
    <n v="114"/>
    <n v="117"/>
    <n v="97"/>
    <n v="115"/>
    <n v="114"/>
    <n v="116"/>
    <n v="116"/>
    <n v="31"/>
    <n v="468"/>
    <n v="461"/>
    <n v="1057"/>
    <n v="217"/>
    <n v="331"/>
    <n v="114"/>
    <n v="230"/>
    <n v="231"/>
    <s v="いながきいさお"/>
  </r>
  <r>
    <n v="228"/>
    <x v="0"/>
    <s v="馬門英治"/>
    <x v="1"/>
    <x v="0"/>
    <x v="6"/>
    <x v="0"/>
    <n v="115"/>
    <n v="115"/>
    <n v="112"/>
    <n v="120"/>
    <n v="97"/>
    <n v="120"/>
    <n v="115"/>
    <n v="117"/>
    <n v="116"/>
    <n v="31"/>
    <n v="462"/>
    <n v="468"/>
    <n v="1058"/>
    <n v="212"/>
    <n v="332"/>
    <n v="112"/>
    <n v="231"/>
    <n v="237"/>
    <s v="まかどえいじ"/>
  </r>
  <r>
    <n v="229"/>
    <x v="0"/>
    <s v="百沢雄大"/>
    <x v="1"/>
    <x v="3"/>
    <x v="6"/>
    <x v="0"/>
    <n v="119"/>
    <n v="118"/>
    <n v="115"/>
    <n v="117"/>
    <n v="97"/>
    <n v="116"/>
    <n v="115"/>
    <n v="116"/>
    <n v="116"/>
    <n v="31"/>
    <n v="469"/>
    <n v="463"/>
    <n v="1060"/>
    <n v="216"/>
    <n v="332"/>
    <n v="115"/>
    <n v="231"/>
    <n v="232"/>
    <s v="ひゃくざわゆうだい"/>
  </r>
  <r>
    <n v="230"/>
    <x v="15"/>
    <s v="百沢雄大"/>
    <x v="2"/>
    <x v="3"/>
    <x v="6"/>
    <x v="0"/>
    <n v="122"/>
    <n v="121"/>
    <n v="116"/>
    <n v="118"/>
    <n v="97"/>
    <n v="117"/>
    <n v="116"/>
    <n v="119"/>
    <n v="117"/>
    <n v="31"/>
    <n v="477"/>
    <n v="469"/>
    <n v="1074"/>
    <n v="219"/>
    <n v="336"/>
    <n v="116"/>
    <n v="233"/>
    <n v="236"/>
    <s v="ひゃくざわゆうだい"/>
  </r>
  <r>
    <n v="231"/>
    <x v="0"/>
    <s v="照島游児"/>
    <x v="2"/>
    <x v="3"/>
    <x v="7"/>
    <x v="0"/>
    <n v="122"/>
    <n v="121"/>
    <n v="114"/>
    <n v="122"/>
    <n v="101"/>
    <n v="114"/>
    <n v="115"/>
    <n v="118"/>
    <n v="120"/>
    <n v="41"/>
    <n v="479"/>
    <n v="467"/>
    <n v="1088"/>
    <n v="223"/>
    <n v="344"/>
    <n v="114"/>
    <n v="235"/>
    <n v="232"/>
    <s v="てるしまゆうじ"/>
  </r>
  <r>
    <n v="232"/>
    <x v="1"/>
    <s v="照島游児"/>
    <x v="0"/>
    <x v="3"/>
    <x v="7"/>
    <x v="0"/>
    <n v="125"/>
    <n v="124"/>
    <n v="115"/>
    <n v="123"/>
    <n v="101"/>
    <n v="115"/>
    <n v="116"/>
    <n v="121"/>
    <n v="121"/>
    <n v="41"/>
    <n v="487"/>
    <n v="473"/>
    <n v="1102"/>
    <n v="226"/>
    <n v="348"/>
    <n v="115"/>
    <n v="237"/>
    <n v="236"/>
    <s v="てるしまゆうじ"/>
  </r>
  <r>
    <n v="233"/>
    <x v="21"/>
    <s v="照島游児"/>
    <x v="1"/>
    <x v="3"/>
    <x v="7"/>
    <x v="0"/>
    <n v="128"/>
    <n v="121"/>
    <n v="115"/>
    <n v="120"/>
    <n v="101"/>
    <n v="116"/>
    <n v="116"/>
    <n v="123"/>
    <n v="121"/>
    <n v="41"/>
    <n v="484"/>
    <n v="476"/>
    <n v="1102"/>
    <n v="229"/>
    <n v="342"/>
    <n v="115"/>
    <n v="237"/>
    <n v="239"/>
    <s v="てるしまゆうじ"/>
  </r>
  <r>
    <n v="234"/>
    <x v="22"/>
    <s v="照島游児"/>
    <x v="2"/>
    <x v="3"/>
    <x v="7"/>
    <x v="0"/>
    <n v="126"/>
    <n v="127"/>
    <n v="115"/>
    <n v="125"/>
    <n v="101"/>
    <n v="115"/>
    <n v="118"/>
    <n v="122"/>
    <n v="122"/>
    <n v="41"/>
    <n v="493"/>
    <n v="477"/>
    <n v="1112"/>
    <n v="227"/>
    <n v="353"/>
    <n v="115"/>
    <n v="240"/>
    <n v="237"/>
    <s v="てるしまゆうじ"/>
  </r>
  <r>
    <n v="235"/>
    <x v="37"/>
    <s v="照島游児"/>
    <x v="0"/>
    <x v="3"/>
    <x v="7"/>
    <x v="0"/>
    <n v="128"/>
    <n v="125"/>
    <n v="115"/>
    <n v="123"/>
    <n v="101"/>
    <n v="117"/>
    <n v="118"/>
    <n v="123"/>
    <n v="122"/>
    <n v="41"/>
    <n v="491"/>
    <n v="480"/>
    <n v="1113"/>
    <n v="229"/>
    <n v="349"/>
    <n v="115"/>
    <n v="240"/>
    <n v="240"/>
    <s v="てるしまゆうじ"/>
  </r>
  <r>
    <n v="236"/>
    <x v="9"/>
    <s v="照島游児"/>
    <x v="1"/>
    <x v="3"/>
    <x v="7"/>
    <x v="0"/>
    <n v="127"/>
    <n v="129"/>
    <n v="116"/>
    <n v="127"/>
    <n v="101"/>
    <n v="116"/>
    <n v="120"/>
    <n v="123"/>
    <n v="123"/>
    <n v="41"/>
    <n v="499"/>
    <n v="482"/>
    <n v="1123"/>
    <n v="228"/>
    <n v="357"/>
    <n v="116"/>
    <n v="243"/>
    <n v="239"/>
    <s v="てるしまゆうじ"/>
  </r>
  <r>
    <n v="237"/>
    <x v="0"/>
    <s v="母畑和馬"/>
    <x v="2"/>
    <x v="0"/>
    <x v="7"/>
    <x v="0"/>
    <n v="117"/>
    <n v="115"/>
    <n v="112"/>
    <n v="120"/>
    <n v="97"/>
    <n v="121"/>
    <n v="115"/>
    <n v="117"/>
    <n v="117"/>
    <n v="41"/>
    <n v="464"/>
    <n v="470"/>
    <n v="1072"/>
    <n v="214"/>
    <n v="332"/>
    <n v="112"/>
    <n v="232"/>
    <n v="238"/>
    <s v="ぼばたかずま"/>
  </r>
  <r>
    <n v="238"/>
    <x v="17"/>
    <s v="母畑和馬"/>
    <x v="0"/>
    <x v="0"/>
    <x v="7"/>
    <x v="0"/>
    <n v="120"/>
    <n v="116"/>
    <n v="113"/>
    <n v="121"/>
    <n v="97"/>
    <n v="124"/>
    <n v="116"/>
    <n v="120"/>
    <n v="118"/>
    <n v="41"/>
    <n v="470"/>
    <n v="478"/>
    <n v="1086"/>
    <n v="217"/>
    <n v="334"/>
    <n v="113"/>
    <n v="234"/>
    <n v="244"/>
    <s v="ぼばたかずま"/>
  </r>
  <r>
    <n v="239"/>
    <x v="0"/>
    <s v="二岐丈晴"/>
    <x v="1"/>
    <x v="1"/>
    <x v="7"/>
    <x v="0"/>
    <n v="115"/>
    <n v="114"/>
    <n v="120"/>
    <n v="120"/>
    <n v="97"/>
    <n v="117"/>
    <n v="114"/>
    <n v="116"/>
    <n v="117"/>
    <n v="41"/>
    <n v="469"/>
    <n v="464"/>
    <n v="1071"/>
    <n v="212"/>
    <n v="331"/>
    <n v="120"/>
    <n v="231"/>
    <n v="233"/>
    <s v="ふたまたたけはる"/>
  </r>
  <r>
    <n v="240"/>
    <x v="1"/>
    <s v="二岐丈晴"/>
    <x v="2"/>
    <x v="1"/>
    <x v="7"/>
    <x v="0"/>
    <n v="116"/>
    <n v="117"/>
    <n v="123"/>
    <n v="123"/>
    <n v="97"/>
    <n v="118"/>
    <n v="115"/>
    <n v="117"/>
    <n v="118"/>
    <n v="41"/>
    <n v="479"/>
    <n v="468"/>
    <n v="1085"/>
    <n v="213"/>
    <n v="337"/>
    <n v="123"/>
    <n v="233"/>
    <n v="235"/>
    <s v="ふたまたたけはる"/>
  </r>
  <r>
    <n v="241"/>
    <x v="0"/>
    <s v="沼尻凛太郎"/>
    <x v="1"/>
    <x v="3"/>
    <x v="7"/>
    <x v="0"/>
    <n v="120"/>
    <n v="119"/>
    <n v="113"/>
    <n v="118"/>
    <n v="97"/>
    <n v="115"/>
    <n v="115"/>
    <n v="116"/>
    <n v="116"/>
    <n v="41"/>
    <n v="470"/>
    <n v="462"/>
    <n v="1070"/>
    <n v="217"/>
    <n v="334"/>
    <n v="113"/>
    <n v="231"/>
    <n v="231"/>
    <s v="ぬまじりりんたろう"/>
  </r>
  <r>
    <n v="242"/>
    <x v="0"/>
    <s v="飯坂信義"/>
    <x v="2"/>
    <x v="0"/>
    <x v="7"/>
    <x v="0"/>
    <n v="116"/>
    <n v="115"/>
    <n v="113"/>
    <n v="117"/>
    <n v="97"/>
    <n v="121"/>
    <n v="115"/>
    <n v="116"/>
    <n v="117"/>
    <n v="41"/>
    <n v="461"/>
    <n v="469"/>
    <n v="1068"/>
    <n v="213"/>
    <n v="329"/>
    <n v="113"/>
    <n v="232"/>
    <n v="237"/>
    <s v="いいざかのぶよし"/>
  </r>
  <r>
    <n v="243"/>
    <x v="0"/>
    <s v="東山勝道"/>
    <x v="2"/>
    <x v="3"/>
    <x v="7"/>
    <x v="0"/>
    <n v="118"/>
    <n v="118"/>
    <n v="113"/>
    <n v="120"/>
    <n v="97"/>
    <n v="115"/>
    <n v="115"/>
    <n v="120"/>
    <n v="120"/>
    <n v="41"/>
    <n v="469"/>
    <n v="470"/>
    <n v="1077"/>
    <n v="215"/>
    <n v="335"/>
    <n v="113"/>
    <n v="235"/>
    <n v="235"/>
    <s v="ひがしやまかつみち"/>
  </r>
  <r>
    <n v="244"/>
    <x v="0"/>
    <s v="土湯新"/>
    <x v="2"/>
    <x v="2"/>
    <x v="7"/>
    <x v="0"/>
    <n v="112"/>
    <n v="110"/>
    <n v="114"/>
    <n v="120"/>
    <n v="101"/>
    <n v="110"/>
    <n v="120"/>
    <n v="119"/>
    <n v="120"/>
    <n v="41"/>
    <n v="456"/>
    <n v="469"/>
    <n v="1067"/>
    <n v="213"/>
    <n v="331"/>
    <n v="114"/>
    <n v="240"/>
    <n v="229"/>
    <s v="つちゆあらた"/>
  </r>
  <r>
    <n v="245"/>
    <x v="0"/>
    <s v="中島猛"/>
    <x v="0"/>
    <x v="3"/>
    <x v="8"/>
    <x v="0"/>
    <n v="123"/>
    <n v="121"/>
    <n v="113"/>
    <n v="121"/>
    <n v="97"/>
    <n v="115"/>
    <n v="115"/>
    <n v="120"/>
    <n v="121"/>
    <n v="41"/>
    <n v="478"/>
    <n v="471"/>
    <n v="1087"/>
    <n v="220"/>
    <n v="339"/>
    <n v="113"/>
    <n v="236"/>
    <n v="235"/>
    <s v="なかじまたける"/>
  </r>
  <r>
    <n v="246"/>
    <x v="22"/>
    <s v="中島猛"/>
    <x v="1"/>
    <x v="3"/>
    <x v="8"/>
    <x v="0"/>
    <n v="126"/>
    <n v="124"/>
    <n v="114"/>
    <n v="122"/>
    <n v="97"/>
    <n v="116"/>
    <n v="116"/>
    <n v="123"/>
    <n v="122"/>
    <n v="41"/>
    <n v="486"/>
    <n v="477"/>
    <n v="1101"/>
    <n v="223"/>
    <n v="343"/>
    <n v="114"/>
    <n v="238"/>
    <n v="239"/>
    <s v="なかじまたける"/>
  </r>
  <r>
    <n v="247"/>
    <x v="0"/>
    <s v="白石優希"/>
    <x v="2"/>
    <x v="3"/>
    <x v="8"/>
    <x v="0"/>
    <n v="119"/>
    <n v="116"/>
    <n v="113"/>
    <n v="117"/>
    <n v="97"/>
    <n v="113"/>
    <n v="115"/>
    <n v="115"/>
    <n v="116"/>
    <n v="31"/>
    <n v="465"/>
    <n v="459"/>
    <n v="1052"/>
    <n v="216"/>
    <n v="330"/>
    <n v="113"/>
    <n v="231"/>
    <n v="228"/>
    <s v="しろいしゆうき"/>
  </r>
  <r>
    <n v="248"/>
    <x v="0"/>
    <s v="花山一雅"/>
    <x v="0"/>
    <x v="1"/>
    <x v="8"/>
    <x v="0"/>
    <n v="119"/>
    <n v="121"/>
    <n v="122"/>
    <n v="121"/>
    <n v="97"/>
    <n v="119"/>
    <n v="119"/>
    <n v="118"/>
    <n v="118"/>
    <n v="41"/>
    <n v="483"/>
    <n v="474"/>
    <n v="1095"/>
    <n v="216"/>
    <n v="339"/>
    <n v="122"/>
    <n v="237"/>
    <n v="237"/>
    <s v="はなやまかずまさ"/>
  </r>
  <r>
    <n v="249"/>
    <x v="0"/>
    <s v="鳴子哲平"/>
    <x v="0"/>
    <x v="0"/>
    <x v="8"/>
    <x v="0"/>
    <n v="114"/>
    <n v="114"/>
    <n v="113"/>
    <n v="117"/>
    <n v="97"/>
    <n v="121"/>
    <n v="115"/>
    <n v="116"/>
    <n v="117"/>
    <n v="31"/>
    <n v="458"/>
    <n v="469"/>
    <n v="1055"/>
    <n v="211"/>
    <n v="328"/>
    <n v="113"/>
    <n v="232"/>
    <n v="237"/>
    <s v="なるこてっぺい"/>
  </r>
  <r>
    <n v="250"/>
    <x v="0"/>
    <s v="秋保和光"/>
    <x v="0"/>
    <x v="2"/>
    <x v="8"/>
    <x v="0"/>
    <n v="112"/>
    <n v="110"/>
    <n v="114"/>
    <n v="120"/>
    <n v="101"/>
    <n v="110"/>
    <n v="121"/>
    <n v="119"/>
    <n v="120"/>
    <n v="41"/>
    <n v="456"/>
    <n v="470"/>
    <n v="1068"/>
    <n v="213"/>
    <n v="331"/>
    <n v="114"/>
    <n v="241"/>
    <n v="229"/>
    <s v="あきうかずてる"/>
  </r>
  <r>
    <n v="251"/>
    <x v="0"/>
    <s v="松島剛"/>
    <x v="0"/>
    <x v="0"/>
    <x v="8"/>
    <x v="0"/>
    <n v="114"/>
    <n v="115"/>
    <n v="113"/>
    <n v="118"/>
    <n v="97"/>
    <n v="121"/>
    <n v="117"/>
    <n v="116"/>
    <n v="117"/>
    <n v="31"/>
    <n v="460"/>
    <n v="471"/>
    <n v="1059"/>
    <n v="211"/>
    <n v="330"/>
    <n v="113"/>
    <n v="234"/>
    <n v="237"/>
    <s v="まつしまつよし"/>
  </r>
  <r>
    <n v="252"/>
    <x v="37"/>
    <s v="松島剛"/>
    <x v="1"/>
    <x v="0"/>
    <x v="8"/>
    <x v="0"/>
    <n v="117"/>
    <n v="116"/>
    <n v="114"/>
    <n v="119"/>
    <n v="97"/>
    <n v="124"/>
    <n v="118"/>
    <n v="119"/>
    <n v="118"/>
    <n v="31"/>
    <n v="466"/>
    <n v="479"/>
    <n v="1073"/>
    <n v="214"/>
    <n v="332"/>
    <n v="114"/>
    <n v="236"/>
    <n v="243"/>
    <s v="まつしまつよし"/>
  </r>
  <r>
    <n v="253"/>
    <x v="0"/>
    <s v="川渡瞬己"/>
    <x v="0"/>
    <x v="3"/>
    <x v="8"/>
    <x v="0"/>
    <n v="121"/>
    <n v="118"/>
    <n v="114"/>
    <n v="120"/>
    <n v="101"/>
    <n v="116"/>
    <n v="116"/>
    <n v="118"/>
    <n v="118"/>
    <n v="36"/>
    <n v="473"/>
    <n v="468"/>
    <n v="1078"/>
    <n v="222"/>
    <n v="339"/>
    <n v="114"/>
    <n v="234"/>
    <n v="234"/>
    <s v="かわたびしゅんき"/>
  </r>
  <r>
    <n v="254"/>
    <x v="40"/>
    <s v="川渡瞬己"/>
    <x v="1"/>
    <x v="3"/>
    <x v="8"/>
    <x v="0"/>
    <n v="125"/>
    <n v="121"/>
    <n v="115"/>
    <n v="121"/>
    <n v="101"/>
    <n v="118"/>
    <n v="118"/>
    <n v="121"/>
    <n v="120"/>
    <n v="36"/>
    <n v="482"/>
    <n v="477"/>
    <n v="1096"/>
    <n v="226"/>
    <n v="343"/>
    <n v="115"/>
    <n v="238"/>
    <n v="239"/>
    <s v="かわたびしゅんき"/>
  </r>
  <r>
    <n v="255"/>
    <x v="0"/>
    <s v="牛島若利"/>
    <x v="1"/>
    <x v="3"/>
    <x v="9"/>
    <x v="0"/>
    <n v="130"/>
    <n v="130"/>
    <n v="114"/>
    <n v="123"/>
    <n v="101"/>
    <n v="116"/>
    <n v="116"/>
    <n v="120"/>
    <n v="120"/>
    <n v="41"/>
    <n v="497"/>
    <n v="472"/>
    <n v="1111"/>
    <n v="231"/>
    <n v="354"/>
    <n v="114"/>
    <n v="236"/>
    <n v="236"/>
    <s v="うしじまわかとし"/>
  </r>
  <r>
    <n v="256"/>
    <x v="14"/>
    <s v="牛島若利"/>
    <x v="2"/>
    <x v="3"/>
    <x v="9"/>
    <x v="0"/>
    <n v="133"/>
    <n v="133"/>
    <n v="115"/>
    <n v="124"/>
    <n v="101"/>
    <n v="117"/>
    <n v="117"/>
    <n v="123"/>
    <n v="121"/>
    <n v="41"/>
    <n v="505"/>
    <n v="478"/>
    <n v="1125"/>
    <n v="234"/>
    <n v="358"/>
    <n v="115"/>
    <n v="238"/>
    <n v="240"/>
    <s v="うしじまわかとし"/>
  </r>
  <r>
    <n v="257"/>
    <x v="25"/>
    <s v="牛島若利"/>
    <x v="0"/>
    <x v="3"/>
    <x v="9"/>
    <x v="0"/>
    <n v="136"/>
    <n v="135"/>
    <n v="115"/>
    <n v="125"/>
    <n v="101"/>
    <n v="115"/>
    <n v="115"/>
    <n v="122"/>
    <n v="120"/>
    <n v="41"/>
    <n v="511"/>
    <n v="472"/>
    <n v="1125"/>
    <n v="237"/>
    <n v="361"/>
    <n v="115"/>
    <n v="235"/>
    <n v="237"/>
    <s v="うしじまわかとし"/>
  </r>
  <r>
    <n v="258"/>
    <x v="1"/>
    <s v="牛島若利"/>
    <x v="1"/>
    <x v="3"/>
    <x v="9"/>
    <x v="0"/>
    <n v="135"/>
    <n v="136"/>
    <n v="115"/>
    <n v="126"/>
    <n v="101"/>
    <n v="117"/>
    <n v="118"/>
    <n v="124"/>
    <n v="122"/>
    <n v="41"/>
    <n v="512"/>
    <n v="481"/>
    <n v="1135"/>
    <n v="236"/>
    <n v="363"/>
    <n v="115"/>
    <n v="240"/>
    <n v="241"/>
    <s v="うしじまわかとし"/>
  </r>
  <r>
    <n v="259"/>
    <x v="24"/>
    <s v="牛島若利"/>
    <x v="2"/>
    <x v="3"/>
    <x v="9"/>
    <x v="0"/>
    <n v="136"/>
    <n v="134"/>
    <n v="116"/>
    <n v="125"/>
    <n v="101"/>
    <n v="119"/>
    <n v="117"/>
    <n v="125"/>
    <n v="121"/>
    <n v="41"/>
    <n v="511"/>
    <n v="482"/>
    <n v="1135"/>
    <n v="237"/>
    <n v="360"/>
    <n v="116"/>
    <n v="238"/>
    <n v="244"/>
    <s v="うしじまわかとし"/>
  </r>
  <r>
    <n v="260"/>
    <x v="37"/>
    <s v="牛島若利"/>
    <x v="0"/>
    <x v="3"/>
    <x v="9"/>
    <x v="0"/>
    <n v="136"/>
    <n v="138"/>
    <n v="116"/>
    <n v="128"/>
    <n v="101"/>
    <n v="118"/>
    <n v="120"/>
    <n v="125"/>
    <n v="123"/>
    <n v="41"/>
    <n v="518"/>
    <n v="486"/>
    <n v="1146"/>
    <n v="237"/>
    <n v="367"/>
    <n v="116"/>
    <n v="243"/>
    <n v="243"/>
    <s v="うしじまわかとし"/>
  </r>
  <r>
    <n v="261"/>
    <x v="7"/>
    <s v="牛島若利"/>
    <x v="1"/>
    <x v="3"/>
    <x v="9"/>
    <x v="0"/>
    <n v="138"/>
    <n v="135"/>
    <n v="117"/>
    <n v="126"/>
    <n v="101"/>
    <n v="121"/>
    <n v="118"/>
    <n v="127"/>
    <n v="122"/>
    <n v="41"/>
    <n v="516"/>
    <n v="488"/>
    <n v="1146"/>
    <n v="239"/>
    <n v="362"/>
    <n v="117"/>
    <n v="240"/>
    <n v="248"/>
    <s v="うしじまわかとし"/>
  </r>
  <r>
    <n v="262"/>
    <x v="28"/>
    <s v="牛島若利"/>
    <x v="2"/>
    <x v="3"/>
    <x v="9"/>
    <x v="0"/>
    <n v="137"/>
    <n v="140"/>
    <n v="117"/>
    <n v="130"/>
    <n v="101"/>
    <n v="119"/>
    <n v="121"/>
    <n v="126"/>
    <n v="124"/>
    <n v="41"/>
    <n v="524"/>
    <n v="490"/>
    <n v="1156"/>
    <n v="238"/>
    <n v="371"/>
    <n v="117"/>
    <n v="245"/>
    <n v="245"/>
    <s v="うしじまわかとし"/>
  </r>
  <r>
    <n v="263"/>
    <x v="49"/>
    <s v="牛島若利"/>
    <x v="0"/>
    <x v="3"/>
    <x v="9"/>
    <x v="0"/>
    <n v="141"/>
    <n v="136"/>
    <n v="118"/>
    <n v="127"/>
    <n v="101"/>
    <n v="122"/>
    <n v="120"/>
    <n v="128"/>
    <n v="123"/>
    <n v="41"/>
    <n v="522"/>
    <n v="493"/>
    <n v="1157"/>
    <n v="242"/>
    <n v="364"/>
    <n v="118"/>
    <n v="243"/>
    <n v="250"/>
    <s v="うしじまわかとし"/>
  </r>
  <r>
    <n v="264"/>
    <x v="0"/>
    <s v="天童覚"/>
    <x v="1"/>
    <x v="0"/>
    <x v="9"/>
    <x v="0"/>
    <n v="123"/>
    <n v="120"/>
    <n v="113"/>
    <n v="121"/>
    <n v="97"/>
    <n v="125"/>
    <n v="115"/>
    <n v="117"/>
    <n v="117"/>
    <n v="28"/>
    <n v="477"/>
    <n v="474"/>
    <n v="1076"/>
    <n v="220"/>
    <n v="338"/>
    <n v="113"/>
    <n v="232"/>
    <n v="242"/>
    <s v="てんどうさとり"/>
  </r>
  <r>
    <n v="265"/>
    <x v="14"/>
    <s v="天童覚"/>
    <x v="2"/>
    <x v="0"/>
    <x v="9"/>
    <x v="0"/>
    <n v="126"/>
    <n v="121"/>
    <n v="114"/>
    <n v="122"/>
    <n v="97"/>
    <n v="128"/>
    <n v="116"/>
    <n v="120"/>
    <n v="118"/>
    <n v="28"/>
    <n v="483"/>
    <n v="482"/>
    <n v="1090"/>
    <n v="223"/>
    <n v="340"/>
    <n v="114"/>
    <n v="234"/>
    <n v="248"/>
    <s v="てんどうさとり"/>
  </r>
  <r>
    <n v="266"/>
    <x v="30"/>
    <s v="天童覚"/>
    <x v="0"/>
    <x v="0"/>
    <x v="9"/>
    <x v="0"/>
    <n v="127"/>
    <n v="119"/>
    <n v="114"/>
    <n v="120"/>
    <n v="97"/>
    <n v="130"/>
    <n v="115"/>
    <n v="122"/>
    <n v="118"/>
    <n v="28"/>
    <n v="480"/>
    <n v="485"/>
    <n v="1090"/>
    <n v="224"/>
    <n v="336"/>
    <n v="114"/>
    <n v="233"/>
    <n v="252"/>
    <s v="てんどうさとり"/>
  </r>
  <r>
    <n v="267"/>
    <x v="1"/>
    <s v="天童覚"/>
    <x v="1"/>
    <x v="0"/>
    <x v="9"/>
    <x v="0"/>
    <n v="129"/>
    <n v="119"/>
    <n v="116"/>
    <n v="122"/>
    <n v="97"/>
    <n v="128"/>
    <n v="114"/>
    <n v="122"/>
    <n v="116"/>
    <n v="28"/>
    <n v="486"/>
    <n v="480"/>
    <n v="1091"/>
    <n v="226"/>
    <n v="338"/>
    <n v="116"/>
    <n v="230"/>
    <n v="250"/>
    <s v="てんどうさとり"/>
  </r>
  <r>
    <n v="268"/>
    <x v="27"/>
    <s v="天童覚"/>
    <x v="2"/>
    <x v="0"/>
    <x v="9"/>
    <x v="0"/>
    <n v="128"/>
    <n v="121"/>
    <n v="115"/>
    <n v="122"/>
    <n v="97"/>
    <n v="131"/>
    <n v="117"/>
    <n v="122"/>
    <n v="119"/>
    <n v="28"/>
    <n v="486"/>
    <n v="489"/>
    <n v="1100"/>
    <n v="225"/>
    <n v="340"/>
    <n v="115"/>
    <n v="236"/>
    <n v="253"/>
    <s v="てんどうさとり"/>
  </r>
  <r>
    <n v="269"/>
    <x v="6"/>
    <s v="天童覚"/>
    <x v="0"/>
    <x v="0"/>
    <x v="9"/>
    <x v="0"/>
    <n v="128"/>
    <n v="121"/>
    <n v="114"/>
    <n v="123"/>
    <n v="97"/>
    <n v="131"/>
    <n v="117"/>
    <n v="123"/>
    <n v="119"/>
    <n v="28"/>
    <n v="486"/>
    <n v="490"/>
    <n v="1101"/>
    <n v="225"/>
    <n v="341"/>
    <n v="114"/>
    <n v="236"/>
    <n v="254"/>
    <s v="てんどうさとり"/>
  </r>
  <r>
    <n v="270"/>
    <x v="28"/>
    <s v="天童覚"/>
    <x v="1"/>
    <x v="0"/>
    <x v="9"/>
    <x v="0"/>
    <n v="130"/>
    <n v="122"/>
    <n v="116"/>
    <n v="123"/>
    <n v="97"/>
    <n v="132"/>
    <n v="118"/>
    <n v="124"/>
    <n v="120"/>
    <n v="28"/>
    <n v="491"/>
    <n v="494"/>
    <n v="1110"/>
    <n v="227"/>
    <n v="342"/>
    <n v="116"/>
    <n v="238"/>
    <n v="256"/>
    <s v="てんどうさとり"/>
  </r>
  <r>
    <n v="271"/>
    <x v="20"/>
    <s v="天童覚"/>
    <x v="2"/>
    <x v="0"/>
    <x v="9"/>
    <x v="0"/>
    <n v="129"/>
    <n v="122"/>
    <n v="115"/>
    <n v="124"/>
    <n v="97"/>
    <n v="133"/>
    <n v="118"/>
    <n v="125"/>
    <n v="120"/>
    <n v="28"/>
    <n v="490"/>
    <n v="496"/>
    <n v="1111"/>
    <n v="226"/>
    <n v="343"/>
    <n v="115"/>
    <n v="238"/>
    <n v="258"/>
    <s v="てんどうさとり"/>
  </r>
  <r>
    <n v="272"/>
    <x v="0"/>
    <s v="五色工"/>
    <x v="0"/>
    <x v="3"/>
    <x v="9"/>
    <x v="0"/>
    <n v="123"/>
    <n v="120"/>
    <n v="118"/>
    <n v="123"/>
    <n v="101"/>
    <n v="118"/>
    <n v="118"/>
    <n v="121"/>
    <n v="121"/>
    <n v="36"/>
    <n v="484"/>
    <n v="478"/>
    <n v="1099"/>
    <n v="224"/>
    <n v="344"/>
    <n v="118"/>
    <n v="239"/>
    <n v="239"/>
    <s v="ごしきつとむ"/>
  </r>
  <r>
    <n v="273"/>
    <x v="15"/>
    <s v="五色工"/>
    <x v="1"/>
    <x v="3"/>
    <x v="9"/>
    <x v="0"/>
    <n v="126"/>
    <n v="123"/>
    <n v="119"/>
    <n v="124"/>
    <n v="101"/>
    <n v="119"/>
    <n v="119"/>
    <n v="124"/>
    <n v="122"/>
    <n v="41"/>
    <n v="492"/>
    <n v="484"/>
    <n v="1118"/>
    <n v="227"/>
    <n v="348"/>
    <n v="119"/>
    <n v="241"/>
    <n v="243"/>
    <s v="ごしきつとむ"/>
  </r>
  <r>
    <n v="274"/>
    <x v="1"/>
    <s v="五色工"/>
    <x v="2"/>
    <x v="3"/>
    <x v="9"/>
    <x v="0"/>
    <n v="128"/>
    <n v="126"/>
    <n v="117"/>
    <n v="126"/>
    <n v="101"/>
    <n v="117"/>
    <n v="119"/>
    <n v="122"/>
    <n v="122"/>
    <n v="41"/>
    <n v="497"/>
    <n v="480"/>
    <n v="1119"/>
    <n v="229"/>
    <n v="353"/>
    <n v="117"/>
    <n v="241"/>
    <n v="239"/>
    <s v="ごしきつとむ"/>
  </r>
  <r>
    <n v="275"/>
    <x v="45"/>
    <s v="五色工"/>
    <x v="0"/>
    <x v="3"/>
    <x v="9"/>
    <x v="0"/>
    <n v="129"/>
    <n v="121"/>
    <n v="117"/>
    <n v="122"/>
    <n v="101"/>
    <n v="121"/>
    <n v="120"/>
    <n v="126"/>
    <n v="122"/>
    <n v="41"/>
    <n v="489"/>
    <n v="489"/>
    <n v="1120"/>
    <n v="230"/>
    <n v="344"/>
    <n v="117"/>
    <n v="242"/>
    <n v="247"/>
    <s v="ごしきつとむ"/>
  </r>
  <r>
    <n v="276"/>
    <x v="33"/>
    <s v="五色工"/>
    <x v="1"/>
    <x v="3"/>
    <x v="9"/>
    <x v="0"/>
    <n v="128"/>
    <n v="123"/>
    <n v="120"/>
    <n v="124"/>
    <n v="101"/>
    <n v="122"/>
    <n v="120"/>
    <n v="126"/>
    <n v="123"/>
    <n v="41"/>
    <n v="495"/>
    <n v="491"/>
    <n v="1128"/>
    <n v="229"/>
    <n v="348"/>
    <n v="120"/>
    <n v="243"/>
    <n v="248"/>
    <s v="ごしきつとむ"/>
  </r>
  <r>
    <n v="277"/>
    <x v="40"/>
    <s v="五色工"/>
    <x v="2"/>
    <x v="3"/>
    <x v="9"/>
    <x v="0"/>
    <n v="126"/>
    <n v="126"/>
    <n v="120"/>
    <n v="125"/>
    <n v="101"/>
    <n v="119"/>
    <n v="122"/>
    <n v="125"/>
    <n v="124"/>
    <n v="41"/>
    <n v="497"/>
    <n v="490"/>
    <n v="1129"/>
    <n v="227"/>
    <n v="352"/>
    <n v="120"/>
    <n v="246"/>
    <n v="244"/>
    <s v="ごしきつとむ"/>
  </r>
  <r>
    <n v="278"/>
    <x v="0"/>
    <s v="白布賢二郎"/>
    <x v="1"/>
    <x v="1"/>
    <x v="9"/>
    <x v="0"/>
    <n v="119"/>
    <n v="120"/>
    <n v="127"/>
    <n v="123"/>
    <n v="101"/>
    <n v="117"/>
    <n v="117"/>
    <n v="116"/>
    <n v="118"/>
    <n v="36"/>
    <n v="489"/>
    <n v="468"/>
    <n v="1094"/>
    <n v="220"/>
    <n v="344"/>
    <n v="127"/>
    <n v="235"/>
    <n v="233"/>
    <s v="しらぶけんじろう"/>
  </r>
  <r>
    <n v="279"/>
    <x v="36"/>
    <s v="白布賢二郎"/>
    <x v="2"/>
    <x v="1"/>
    <x v="9"/>
    <x v="0"/>
    <n v="120"/>
    <n v="123"/>
    <n v="130"/>
    <n v="126"/>
    <n v="101"/>
    <n v="118"/>
    <n v="118"/>
    <n v="117"/>
    <n v="119"/>
    <n v="36"/>
    <n v="499"/>
    <n v="472"/>
    <n v="1108"/>
    <n v="221"/>
    <n v="350"/>
    <n v="130"/>
    <n v="237"/>
    <n v="235"/>
    <s v="しらぶけんじろう"/>
  </r>
  <r>
    <n v="280"/>
    <x v="1"/>
    <s v="白布賢二郎"/>
    <x v="0"/>
    <x v="1"/>
    <x v="9"/>
    <x v="0"/>
    <n v="118"/>
    <n v="126"/>
    <n v="132"/>
    <n v="128"/>
    <n v="101"/>
    <n v="116"/>
    <n v="118"/>
    <n v="115"/>
    <n v="119"/>
    <n v="36"/>
    <n v="504"/>
    <n v="468"/>
    <n v="1109"/>
    <n v="219"/>
    <n v="355"/>
    <n v="132"/>
    <n v="237"/>
    <n v="231"/>
    <s v="しらぶけんじろう"/>
  </r>
  <r>
    <n v="281"/>
    <x v="45"/>
    <s v="白布賢二郎"/>
    <x v="1"/>
    <x v="1"/>
    <x v="9"/>
    <x v="0"/>
    <n v="116"/>
    <n v="121"/>
    <n v="133"/>
    <n v="124"/>
    <n v="101"/>
    <n v="120"/>
    <n v="120"/>
    <n v="117"/>
    <n v="120"/>
    <n v="36"/>
    <n v="494"/>
    <n v="477"/>
    <n v="1108"/>
    <n v="217"/>
    <n v="346"/>
    <n v="133"/>
    <n v="240"/>
    <n v="237"/>
    <s v="しらぶけんじろう"/>
  </r>
  <r>
    <n v="282"/>
    <x v="46"/>
    <s v="白布賢二郎"/>
    <x v="2"/>
    <x v="1"/>
    <x v="9"/>
    <x v="0"/>
    <n v="121"/>
    <n v="125"/>
    <n v="133"/>
    <n v="128"/>
    <n v="101"/>
    <n v="118"/>
    <n v="119"/>
    <n v="117"/>
    <n v="120"/>
    <n v="36"/>
    <n v="507"/>
    <n v="474"/>
    <n v="1118"/>
    <n v="222"/>
    <n v="354"/>
    <n v="133"/>
    <n v="239"/>
    <n v="235"/>
    <s v="しらぶけんじろう"/>
  </r>
  <r>
    <n v="283"/>
    <x v="13"/>
    <s v="白布賢二郎"/>
    <x v="0"/>
    <x v="1"/>
    <x v="9"/>
    <x v="0"/>
    <n v="121"/>
    <n v="126"/>
    <n v="130"/>
    <n v="129"/>
    <n v="101"/>
    <n v="118"/>
    <n v="120"/>
    <n v="118"/>
    <n v="121"/>
    <n v="36"/>
    <n v="506"/>
    <n v="477"/>
    <n v="1120"/>
    <n v="222"/>
    <n v="356"/>
    <n v="130"/>
    <n v="241"/>
    <n v="236"/>
    <s v="しらぶけんじろう"/>
  </r>
  <r>
    <n v="284"/>
    <x v="49"/>
    <s v="白布賢二郎"/>
    <x v="1"/>
    <x v="1"/>
    <x v="9"/>
    <x v="0"/>
    <n v="122"/>
    <n v="127"/>
    <n v="135"/>
    <n v="129"/>
    <n v="101"/>
    <n v="119"/>
    <n v="120"/>
    <n v="118"/>
    <n v="121"/>
    <n v="36"/>
    <n v="513"/>
    <n v="478"/>
    <n v="1128"/>
    <n v="223"/>
    <n v="357"/>
    <n v="135"/>
    <n v="241"/>
    <n v="237"/>
    <s v="しらぶけんじろう"/>
  </r>
  <r>
    <n v="285"/>
    <x v="0"/>
    <s v="大平獅音"/>
    <x v="1"/>
    <x v="3"/>
    <x v="9"/>
    <x v="0"/>
    <n v="123"/>
    <n v="120"/>
    <n v="118"/>
    <n v="123"/>
    <n v="97"/>
    <n v="118"/>
    <n v="118"/>
    <n v="121"/>
    <n v="121"/>
    <n v="31"/>
    <n v="484"/>
    <n v="478"/>
    <n v="1090"/>
    <n v="220"/>
    <n v="340"/>
    <n v="118"/>
    <n v="239"/>
    <n v="239"/>
    <s v="おおひられおん"/>
  </r>
  <r>
    <n v="286"/>
    <x v="9"/>
    <s v="大平獅音"/>
    <x v="2"/>
    <x v="3"/>
    <x v="9"/>
    <x v="0"/>
    <n v="128"/>
    <n v="121"/>
    <n v="117"/>
    <n v="122"/>
    <n v="97"/>
    <n v="121"/>
    <n v="119"/>
    <n v="126"/>
    <n v="122"/>
    <n v="31"/>
    <n v="488"/>
    <n v="488"/>
    <n v="1104"/>
    <n v="225"/>
    <n v="340"/>
    <n v="117"/>
    <n v="241"/>
    <n v="247"/>
    <s v="おおひられおん"/>
  </r>
  <r>
    <n v="287"/>
    <x v="0"/>
    <s v="川西太一"/>
    <x v="1"/>
    <x v="0"/>
    <x v="9"/>
    <x v="0"/>
    <n v="123"/>
    <n v="120"/>
    <n v="113"/>
    <n v="121"/>
    <n v="101"/>
    <n v="121"/>
    <n v="115"/>
    <n v="117"/>
    <n v="117"/>
    <n v="31"/>
    <n v="477"/>
    <n v="470"/>
    <n v="1079"/>
    <n v="224"/>
    <n v="342"/>
    <n v="113"/>
    <n v="232"/>
    <n v="238"/>
    <s v="かわにしたいち"/>
  </r>
  <r>
    <n v="288"/>
    <x v="39"/>
    <s v="川西太一"/>
    <x v="2"/>
    <x v="0"/>
    <x v="9"/>
    <x v="0"/>
    <n v="126"/>
    <n v="121"/>
    <n v="114"/>
    <n v="122"/>
    <n v="101"/>
    <n v="124"/>
    <n v="116"/>
    <n v="120"/>
    <n v="118"/>
    <n v="31"/>
    <n v="483"/>
    <n v="478"/>
    <n v="1093"/>
    <n v="227"/>
    <n v="344"/>
    <n v="114"/>
    <n v="234"/>
    <n v="244"/>
    <s v="かわにしたいち"/>
  </r>
  <r>
    <n v="289"/>
    <x v="19"/>
    <s v="川西太一"/>
    <x v="0"/>
    <x v="0"/>
    <x v="9"/>
    <x v="0"/>
    <n v="127"/>
    <n v="119"/>
    <n v="114"/>
    <n v="120"/>
    <n v="101"/>
    <n v="127"/>
    <n v="115"/>
    <n v="122"/>
    <n v="118"/>
    <n v="31"/>
    <n v="480"/>
    <n v="482"/>
    <n v="1094"/>
    <n v="228"/>
    <n v="340"/>
    <n v="114"/>
    <n v="233"/>
    <n v="249"/>
    <s v="かわにしたいち"/>
  </r>
  <r>
    <n v="290"/>
    <x v="0"/>
    <s v="瀬見英太"/>
    <x v="1"/>
    <x v="1"/>
    <x v="9"/>
    <x v="0"/>
    <n v="117"/>
    <n v="120"/>
    <n v="121"/>
    <n v="121"/>
    <n v="101"/>
    <n v="117"/>
    <n v="117"/>
    <n v="117"/>
    <n v="118"/>
    <n v="36"/>
    <n v="479"/>
    <n v="469"/>
    <n v="1085"/>
    <n v="218"/>
    <n v="342"/>
    <n v="121"/>
    <n v="235"/>
    <n v="234"/>
    <s v="せみえいた"/>
  </r>
  <r>
    <n v="291"/>
    <x v="21"/>
    <s v="瀬見英太"/>
    <x v="2"/>
    <x v="1"/>
    <x v="9"/>
    <x v="0"/>
    <n v="118"/>
    <n v="123"/>
    <n v="124"/>
    <n v="124"/>
    <n v="101"/>
    <n v="118"/>
    <n v="118"/>
    <n v="118"/>
    <n v="119"/>
    <n v="36"/>
    <n v="489"/>
    <n v="473"/>
    <n v="1099"/>
    <n v="219"/>
    <n v="348"/>
    <n v="124"/>
    <n v="237"/>
    <n v="236"/>
    <s v="せみえいた"/>
  </r>
  <r>
    <n v="292"/>
    <x v="45"/>
    <s v="瀬見英太"/>
    <x v="0"/>
    <x v="1"/>
    <x v="9"/>
    <x v="0"/>
    <n v="116"/>
    <n v="126"/>
    <n v="124"/>
    <n v="126"/>
    <n v="101"/>
    <n v="116"/>
    <n v="120"/>
    <n v="116"/>
    <n v="119"/>
    <n v="36"/>
    <n v="492"/>
    <n v="471"/>
    <n v="1100"/>
    <n v="217"/>
    <n v="353"/>
    <n v="124"/>
    <n v="239"/>
    <n v="232"/>
    <s v="せみえいた"/>
  </r>
  <r>
    <n v="293"/>
    <x v="17"/>
    <s v="瀬見英太"/>
    <x v="1"/>
    <x v="1"/>
    <x v="9"/>
    <x v="0"/>
    <n v="119"/>
    <n v="121"/>
    <n v="127"/>
    <n v="122"/>
    <n v="101"/>
    <n v="116"/>
    <n v="120"/>
    <n v="118"/>
    <n v="121"/>
    <n v="36"/>
    <n v="489"/>
    <n v="475"/>
    <n v="1101"/>
    <n v="220"/>
    <n v="344"/>
    <n v="127"/>
    <n v="241"/>
    <n v="234"/>
    <s v="せみえいた"/>
  </r>
  <r>
    <n v="294"/>
    <x v="13"/>
    <s v="瀬見英太"/>
    <x v="2"/>
    <x v="1"/>
    <x v="9"/>
    <x v="0"/>
    <n v="119"/>
    <n v="126"/>
    <n v="126"/>
    <n v="126"/>
    <n v="101"/>
    <n v="118"/>
    <n v="119"/>
    <n v="118"/>
    <n v="120"/>
    <n v="36"/>
    <n v="497"/>
    <n v="475"/>
    <n v="1109"/>
    <n v="220"/>
    <n v="353"/>
    <n v="126"/>
    <n v="239"/>
    <n v="236"/>
    <s v="せみえいた"/>
  </r>
  <r>
    <n v="295"/>
    <x v="49"/>
    <s v="瀬見英太"/>
    <x v="0"/>
    <x v="1"/>
    <x v="9"/>
    <x v="0"/>
    <n v="120"/>
    <n v="128"/>
    <n v="127"/>
    <n v="128"/>
    <n v="101"/>
    <n v="119"/>
    <n v="120"/>
    <n v="119"/>
    <n v="121"/>
    <n v="36"/>
    <n v="503"/>
    <n v="479"/>
    <n v="1119"/>
    <n v="221"/>
    <n v="357"/>
    <n v="127"/>
    <n v="241"/>
    <n v="238"/>
    <s v="せみえいた"/>
  </r>
  <r>
    <n v="296"/>
    <x v="0"/>
    <s v="山形隼人"/>
    <x v="1"/>
    <x v="2"/>
    <x v="9"/>
    <x v="0"/>
    <n v="112"/>
    <n v="110"/>
    <n v="114"/>
    <n v="120"/>
    <n v="101"/>
    <n v="110"/>
    <n v="121"/>
    <n v="119"/>
    <n v="120"/>
    <n v="41"/>
    <n v="456"/>
    <n v="470"/>
    <n v="1068"/>
    <n v="213"/>
    <n v="331"/>
    <n v="114"/>
    <n v="241"/>
    <n v="229"/>
    <s v="やまがたはやと"/>
  </r>
  <r>
    <n v="297"/>
    <x v="0"/>
    <s v="強羅昌己"/>
    <x v="1"/>
    <x v="3"/>
    <x v="10"/>
    <x v="0"/>
    <n v="119"/>
    <n v="123"/>
    <n v="116"/>
    <n v="121"/>
    <n v="101"/>
    <n v="121"/>
    <n v="119"/>
    <n v="118"/>
    <n v="118"/>
    <n v="41"/>
    <n v="479"/>
    <n v="476"/>
    <n v="1097"/>
    <n v="220"/>
    <n v="345"/>
    <n v="116"/>
    <n v="237"/>
    <n v="239"/>
    <s v="ごうらまさき"/>
  </r>
  <r>
    <n v="298"/>
    <x v="0"/>
    <s v="芦谷洋平"/>
    <x v="0"/>
    <x v="3"/>
    <x v="10"/>
    <x v="0"/>
    <n v="119"/>
    <n v="116"/>
    <n v="119"/>
    <n v="119"/>
    <n v="101"/>
    <n v="114"/>
    <n v="113"/>
    <n v="118"/>
    <n v="117"/>
    <n v="41"/>
    <n v="473"/>
    <n v="462"/>
    <n v="1077"/>
    <n v="220"/>
    <n v="336"/>
    <n v="119"/>
    <n v="230"/>
    <n v="232"/>
    <s v="あしやようへい"/>
  </r>
  <r>
    <n v="299"/>
    <x v="0"/>
    <s v="仙石伸吾"/>
    <x v="1"/>
    <x v="0"/>
    <x v="10"/>
    <x v="0"/>
    <n v="118"/>
    <n v="118"/>
    <n v="112"/>
    <n v="120"/>
    <n v="97"/>
    <n v="120"/>
    <n v="115"/>
    <n v="115"/>
    <n v="115"/>
    <n v="31"/>
    <n v="468"/>
    <n v="465"/>
    <n v="1061"/>
    <n v="215"/>
    <n v="335"/>
    <n v="112"/>
    <n v="230"/>
    <n v="235"/>
    <s v="せんごくしんご"/>
  </r>
  <r>
    <n v="300"/>
    <x v="0"/>
    <s v="中川俊美"/>
    <x v="1"/>
    <x v="2"/>
    <x v="10"/>
    <x v="0"/>
    <n v="111"/>
    <n v="112"/>
    <n v="115"/>
    <n v="119"/>
    <n v="101"/>
    <n v="111"/>
    <n v="121"/>
    <n v="118"/>
    <n v="120"/>
    <n v="41"/>
    <n v="457"/>
    <n v="470"/>
    <n v="1069"/>
    <n v="212"/>
    <n v="332"/>
    <n v="115"/>
    <n v="241"/>
    <n v="229"/>
    <s v="なかがわとしみ"/>
  </r>
  <r>
    <n v="301"/>
    <x v="0"/>
    <s v="七沢健吾"/>
    <x v="1"/>
    <x v="1"/>
    <x v="10"/>
    <x v="0"/>
    <n v="112"/>
    <n v="117"/>
    <n v="119"/>
    <n v="119"/>
    <n v="97"/>
    <n v="114"/>
    <n v="113"/>
    <n v="115"/>
    <n v="116"/>
    <n v="41"/>
    <n v="467"/>
    <n v="458"/>
    <n v="1063"/>
    <n v="209"/>
    <n v="333"/>
    <n v="119"/>
    <n v="229"/>
    <n v="229"/>
    <s v="ななさわけんご"/>
  </r>
  <r>
    <n v="302"/>
    <x v="0"/>
    <s v="伊勢原裕次"/>
    <x v="1"/>
    <x v="0"/>
    <x v="10"/>
    <x v="0"/>
    <n v="117"/>
    <n v="114"/>
    <n v="112"/>
    <n v="117"/>
    <n v="97"/>
    <n v="120"/>
    <n v="115"/>
    <n v="115"/>
    <n v="115"/>
    <n v="31"/>
    <n v="460"/>
    <n v="465"/>
    <n v="1053"/>
    <n v="214"/>
    <n v="328"/>
    <n v="112"/>
    <n v="230"/>
    <n v="235"/>
    <s v="いせはらゆうじ"/>
  </r>
  <r>
    <n v="303"/>
    <x v="0"/>
    <s v="湯河浩二"/>
    <x v="1"/>
    <x v="3"/>
    <x v="10"/>
    <x v="0"/>
    <n v="120"/>
    <n v="119"/>
    <n v="116"/>
    <n v="120"/>
    <n v="101"/>
    <n v="119"/>
    <n v="117"/>
    <n v="120"/>
    <n v="117"/>
    <n v="36"/>
    <n v="475"/>
    <n v="473"/>
    <n v="1085"/>
    <n v="221"/>
    <n v="340"/>
    <n v="116"/>
    <n v="234"/>
    <n v="239"/>
    <s v="ゆかわこうじ"/>
  </r>
  <r>
    <n v="304"/>
    <x v="0"/>
    <s v="千鹿谷栄吉"/>
    <x v="0"/>
    <x v="0"/>
    <x v="11"/>
    <x v="0"/>
    <n v="125"/>
    <n v="120"/>
    <n v="115"/>
    <n v="120"/>
    <n v="101"/>
    <n v="123"/>
    <n v="117"/>
    <n v="120"/>
    <n v="115"/>
    <n v="41"/>
    <n v="480"/>
    <n v="475"/>
    <n v="1097"/>
    <n v="226"/>
    <n v="341"/>
    <n v="115"/>
    <n v="232"/>
    <n v="243"/>
    <s v="ちがやえいきち"/>
  </r>
  <r>
    <n v="305"/>
    <x v="0"/>
    <s v="小鹿野大樹"/>
    <x v="2"/>
    <x v="3"/>
    <x v="11"/>
    <x v="0"/>
    <n v="123"/>
    <n v="119"/>
    <n v="118"/>
    <n v="119"/>
    <n v="101"/>
    <n v="117"/>
    <n v="116"/>
    <n v="118"/>
    <n v="118"/>
    <n v="36"/>
    <n v="479"/>
    <n v="469"/>
    <n v="1085"/>
    <n v="224"/>
    <n v="339"/>
    <n v="118"/>
    <n v="234"/>
    <n v="235"/>
    <s v="おがのだいき"/>
  </r>
  <r>
    <n v="306"/>
    <x v="0"/>
    <s v="赤谷勇"/>
    <x v="0"/>
    <x v="2"/>
    <x v="11"/>
    <x v="0"/>
    <n v="111"/>
    <n v="110"/>
    <n v="117"/>
    <n v="119"/>
    <n v="101"/>
    <n v="110"/>
    <n v="121"/>
    <n v="118"/>
    <n v="121"/>
    <n v="41"/>
    <n v="457"/>
    <n v="470"/>
    <n v="1069"/>
    <n v="212"/>
    <n v="330"/>
    <n v="117"/>
    <n v="242"/>
    <n v="228"/>
    <s v="あかたにゆう"/>
  </r>
  <r>
    <n v="307"/>
    <x v="0"/>
    <s v="児玉勝"/>
    <x v="0"/>
    <x v="3"/>
    <x v="11"/>
    <x v="0"/>
    <n v="119"/>
    <n v="118"/>
    <n v="112"/>
    <n v="117"/>
    <n v="97"/>
    <n v="116"/>
    <n v="118"/>
    <n v="116"/>
    <n v="117"/>
    <n v="31"/>
    <n v="466"/>
    <n v="467"/>
    <n v="1061"/>
    <n v="216"/>
    <n v="332"/>
    <n v="112"/>
    <n v="235"/>
    <n v="232"/>
    <s v="こだままさる"/>
  </r>
  <r>
    <n v="308"/>
    <x v="0"/>
    <s v="名栗翔太"/>
    <x v="0"/>
    <x v="1"/>
    <x v="11"/>
    <x v="0"/>
    <n v="115"/>
    <n v="118"/>
    <n v="120"/>
    <n v="118"/>
    <n v="97"/>
    <n v="115"/>
    <n v="117"/>
    <n v="115"/>
    <n v="117"/>
    <n v="41"/>
    <n v="471"/>
    <n v="464"/>
    <n v="1073"/>
    <n v="212"/>
    <n v="333"/>
    <n v="120"/>
    <n v="234"/>
    <n v="230"/>
    <s v="なぐりしょうた"/>
  </r>
  <r>
    <n v="309"/>
    <x v="0"/>
    <s v="島府典明"/>
    <x v="0"/>
    <x v="3"/>
    <x v="11"/>
    <x v="0"/>
    <n v="117"/>
    <n v="114"/>
    <n v="117"/>
    <n v="115"/>
    <n v="97"/>
    <n v="116"/>
    <n v="114"/>
    <n v="116"/>
    <n v="115"/>
    <n v="36"/>
    <n v="463"/>
    <n v="461"/>
    <n v="1057"/>
    <n v="214"/>
    <n v="326"/>
    <n v="117"/>
    <n v="229"/>
    <n v="232"/>
    <s v="しまふのりあき"/>
  </r>
  <r>
    <n v="310"/>
    <x v="0"/>
    <s v="吉川和孝"/>
    <x v="0"/>
    <x v="0"/>
    <x v="11"/>
    <x v="0"/>
    <n v="115"/>
    <n v="114"/>
    <n v="113"/>
    <n v="117"/>
    <n v="97"/>
    <n v="119"/>
    <n v="115"/>
    <n v="114"/>
    <n v="114"/>
    <n v="31"/>
    <n v="459"/>
    <n v="462"/>
    <n v="1049"/>
    <n v="212"/>
    <n v="328"/>
    <n v="113"/>
    <n v="229"/>
    <n v="233"/>
    <s v="よしかわかずたか"/>
  </r>
  <r>
    <n v="311"/>
    <x v="0"/>
    <s v="宮侑"/>
    <x v="0"/>
    <x v="1"/>
    <x v="12"/>
    <x v="0"/>
    <n v="120"/>
    <n v="129"/>
    <n v="130"/>
    <n v="127"/>
    <n v="101"/>
    <n v="114"/>
    <n v="119"/>
    <n v="114"/>
    <n v="118"/>
    <n v="36"/>
    <n v="506"/>
    <n v="465"/>
    <n v="1108"/>
    <n v="221"/>
    <n v="357"/>
    <n v="130"/>
    <n v="237"/>
    <n v="228"/>
    <s v="みやあつむ"/>
  </r>
  <r>
    <n v="312"/>
    <x v="30"/>
    <s v="宮侑"/>
    <x v="1"/>
    <x v="1"/>
    <x v="12"/>
    <x v="0"/>
    <n v="121"/>
    <n v="132"/>
    <n v="133"/>
    <n v="130"/>
    <n v="101"/>
    <n v="115"/>
    <n v="120"/>
    <n v="115"/>
    <n v="119"/>
    <n v="36"/>
    <n v="516"/>
    <n v="469"/>
    <n v="1122"/>
    <n v="222"/>
    <n v="363"/>
    <n v="133"/>
    <n v="239"/>
    <n v="230"/>
    <s v="みやあつむ"/>
  </r>
  <r>
    <n v="313"/>
    <x v="26"/>
    <s v="宮侑"/>
    <x v="2"/>
    <x v="1"/>
    <x v="12"/>
    <x v="0"/>
    <n v="119"/>
    <n v="134"/>
    <n v="132"/>
    <n v="131"/>
    <n v="101"/>
    <n v="113"/>
    <n v="122"/>
    <n v="114"/>
    <n v="120"/>
    <n v="36"/>
    <n v="516"/>
    <n v="469"/>
    <n v="1122"/>
    <n v="220"/>
    <n v="366"/>
    <n v="132"/>
    <n v="242"/>
    <n v="227"/>
    <s v="みやあつむ"/>
  </r>
  <r>
    <n v="314"/>
    <x v="47"/>
    <s v="宮侑"/>
    <x v="0"/>
    <x v="1"/>
    <x v="12"/>
    <x v="0"/>
    <n v="123"/>
    <n v="130"/>
    <n v="131"/>
    <n v="128"/>
    <n v="101"/>
    <n v="118"/>
    <n v="121"/>
    <n v="117"/>
    <n v="119"/>
    <n v="36"/>
    <n v="512"/>
    <n v="475"/>
    <n v="1124"/>
    <n v="224"/>
    <n v="359"/>
    <n v="131"/>
    <n v="240"/>
    <n v="235"/>
    <s v="みやあつむ"/>
  </r>
  <r>
    <n v="315"/>
    <x v="31"/>
    <s v="宮侑"/>
    <x v="1"/>
    <x v="1"/>
    <x v="12"/>
    <x v="0"/>
    <n v="122"/>
    <n v="134"/>
    <n v="136"/>
    <n v="132"/>
    <n v="101"/>
    <n v="115"/>
    <n v="121"/>
    <n v="115"/>
    <n v="120"/>
    <n v="36"/>
    <n v="524"/>
    <n v="471"/>
    <n v="1132"/>
    <n v="223"/>
    <n v="367"/>
    <n v="136"/>
    <n v="241"/>
    <n v="230"/>
    <s v="みやあつむ"/>
  </r>
  <r>
    <n v="316"/>
    <x v="40"/>
    <s v="宮侑"/>
    <x v="2"/>
    <x v="1"/>
    <x v="12"/>
    <x v="0"/>
    <n v="122"/>
    <n v="135"/>
    <n v="133"/>
    <n v="133"/>
    <n v="101"/>
    <n v="115"/>
    <n v="122"/>
    <n v="116"/>
    <n v="120"/>
    <n v="36"/>
    <n v="523"/>
    <n v="473"/>
    <n v="1133"/>
    <n v="223"/>
    <n v="369"/>
    <n v="133"/>
    <n v="242"/>
    <n v="231"/>
    <s v="みやあつむ"/>
  </r>
  <r>
    <n v="317"/>
    <x v="1"/>
    <s v="宮侑"/>
    <x v="0"/>
    <x v="1"/>
    <x v="12"/>
    <x v="0"/>
    <n v="123"/>
    <n v="136"/>
    <n v="138"/>
    <n v="133"/>
    <n v="101"/>
    <n v="116"/>
    <n v="122"/>
    <n v="116"/>
    <n v="121"/>
    <n v="36"/>
    <n v="530"/>
    <n v="475"/>
    <n v="1142"/>
    <n v="224"/>
    <n v="370"/>
    <n v="138"/>
    <n v="243"/>
    <n v="232"/>
    <s v="みやあつむ"/>
  </r>
  <r>
    <n v="318"/>
    <x v="49"/>
    <s v="宮侑"/>
    <x v="1"/>
    <x v="1"/>
    <x v="12"/>
    <x v="0"/>
    <n v="124"/>
    <n v="137"/>
    <n v="140"/>
    <n v="135"/>
    <n v="101"/>
    <n v="117"/>
    <n v="123"/>
    <n v="117"/>
    <n v="122"/>
    <n v="36"/>
    <n v="536"/>
    <n v="479"/>
    <n v="1152"/>
    <n v="225"/>
    <n v="373"/>
    <n v="140"/>
    <n v="245"/>
    <n v="234"/>
    <s v="みやあつむ"/>
  </r>
  <r>
    <n v="319"/>
    <x v="20"/>
    <s v="宮侑"/>
    <x v="2"/>
    <x v="1"/>
    <x v="12"/>
    <x v="0"/>
    <n v="125"/>
    <n v="137"/>
    <n v="139"/>
    <n v="134"/>
    <n v="101"/>
    <n v="118"/>
    <n v="123"/>
    <n v="118"/>
    <n v="122"/>
    <n v="36"/>
    <n v="535"/>
    <n v="481"/>
    <n v="1153"/>
    <n v="226"/>
    <n v="372"/>
    <n v="139"/>
    <n v="245"/>
    <n v="236"/>
    <s v="みやあつむ"/>
  </r>
  <r>
    <n v="320"/>
    <x v="0"/>
    <s v="宮治"/>
    <x v="2"/>
    <x v="3"/>
    <x v="12"/>
    <x v="0"/>
    <n v="127"/>
    <n v="120"/>
    <n v="116"/>
    <n v="121"/>
    <n v="101"/>
    <n v="123"/>
    <n v="119"/>
    <n v="122"/>
    <n v="119"/>
    <n v="31"/>
    <n v="484"/>
    <n v="483"/>
    <n v="1099"/>
    <n v="228"/>
    <n v="342"/>
    <n v="116"/>
    <n v="238"/>
    <n v="245"/>
    <s v="みやおさむ"/>
  </r>
  <r>
    <n v="321"/>
    <x v="26"/>
    <s v="宮治"/>
    <x v="2"/>
    <x v="3"/>
    <x v="12"/>
    <x v="0"/>
    <n v="130"/>
    <n v="123"/>
    <n v="117"/>
    <n v="122"/>
    <n v="101"/>
    <n v="124"/>
    <n v="120"/>
    <n v="125"/>
    <n v="120"/>
    <n v="31"/>
    <n v="492"/>
    <n v="489"/>
    <n v="1113"/>
    <n v="231"/>
    <n v="346"/>
    <n v="117"/>
    <n v="240"/>
    <n v="249"/>
    <s v="みやおさむ"/>
  </r>
  <r>
    <n v="322"/>
    <x v="47"/>
    <s v="宮治"/>
    <x v="1"/>
    <x v="3"/>
    <x v="12"/>
    <x v="0"/>
    <n v="131"/>
    <n v="121"/>
    <n v="120"/>
    <n v="120"/>
    <n v="101"/>
    <n v="122"/>
    <n v="122"/>
    <n v="125"/>
    <n v="122"/>
    <n v="31"/>
    <n v="492"/>
    <n v="491"/>
    <n v="1115"/>
    <n v="232"/>
    <n v="342"/>
    <n v="120"/>
    <n v="244"/>
    <n v="247"/>
    <s v="みやおさむ"/>
  </r>
  <r>
    <n v="323"/>
    <x v="6"/>
    <s v="宮治"/>
    <x v="2"/>
    <x v="3"/>
    <x v="12"/>
    <x v="0"/>
    <n v="133"/>
    <n v="121"/>
    <n v="116"/>
    <n v="120"/>
    <n v="101"/>
    <n v="126"/>
    <n v="121"/>
    <n v="127"/>
    <n v="120"/>
    <n v="31"/>
    <n v="490"/>
    <n v="494"/>
    <n v="1116"/>
    <n v="234"/>
    <n v="342"/>
    <n v="116"/>
    <n v="241"/>
    <n v="253"/>
    <s v="みやおさむ"/>
  </r>
  <r>
    <n v="324"/>
    <x v="34"/>
    <s v="宮治"/>
    <x v="0"/>
    <x v="3"/>
    <x v="12"/>
    <x v="0"/>
    <n v="134"/>
    <n v="124"/>
    <n v="117"/>
    <n v="122"/>
    <n v="101"/>
    <n v="125"/>
    <n v="122"/>
    <n v="127"/>
    <n v="122"/>
    <n v="31"/>
    <n v="497"/>
    <n v="496"/>
    <n v="1125"/>
    <n v="235"/>
    <n v="347"/>
    <n v="117"/>
    <n v="244"/>
    <n v="252"/>
    <s v="みやおさむ"/>
  </r>
  <r>
    <n v="325"/>
    <x v="1"/>
    <s v="宮治"/>
    <x v="1"/>
    <x v="3"/>
    <x v="12"/>
    <x v="0"/>
    <n v="131"/>
    <n v="127"/>
    <n v="117"/>
    <n v="125"/>
    <n v="101"/>
    <n v="124"/>
    <n v="122"/>
    <n v="126"/>
    <n v="123"/>
    <n v="31"/>
    <n v="500"/>
    <n v="495"/>
    <n v="1127"/>
    <n v="232"/>
    <n v="353"/>
    <n v="117"/>
    <n v="245"/>
    <n v="250"/>
    <s v="みやおさむ"/>
  </r>
  <r>
    <n v="326"/>
    <x v="49"/>
    <s v="宮治"/>
    <x v="2"/>
    <x v="3"/>
    <x v="12"/>
    <x v="0"/>
    <n v="136"/>
    <n v="125"/>
    <n v="118"/>
    <n v="123"/>
    <n v="101"/>
    <n v="126"/>
    <n v="123"/>
    <n v="129"/>
    <n v="123"/>
    <n v="31"/>
    <n v="502"/>
    <n v="501"/>
    <n v="1135"/>
    <n v="237"/>
    <n v="349"/>
    <n v="118"/>
    <n v="246"/>
    <n v="255"/>
    <s v="みやおさむ"/>
  </r>
  <r>
    <n v="327"/>
    <x v="20"/>
    <s v="宮治"/>
    <x v="0"/>
    <x v="3"/>
    <x v="12"/>
    <x v="0"/>
    <n v="132"/>
    <n v="129"/>
    <n v="119"/>
    <n v="126"/>
    <n v="101"/>
    <n v="125"/>
    <n v="123"/>
    <n v="127"/>
    <n v="124"/>
    <n v="31"/>
    <n v="506"/>
    <n v="499"/>
    <n v="1137"/>
    <n v="233"/>
    <n v="356"/>
    <n v="119"/>
    <n v="247"/>
    <n v="252"/>
    <s v="みやおさむ"/>
  </r>
  <r>
    <n v="328"/>
    <x v="0"/>
    <s v="角名倫太郎"/>
    <x v="0"/>
    <x v="0"/>
    <x v="12"/>
    <x v="0"/>
    <n v="126"/>
    <n v="118"/>
    <n v="112"/>
    <n v="121"/>
    <n v="101"/>
    <n v="128"/>
    <n v="114"/>
    <n v="117"/>
    <n v="117"/>
    <n v="36"/>
    <n v="477"/>
    <n v="476"/>
    <n v="1090"/>
    <n v="227"/>
    <n v="340"/>
    <n v="112"/>
    <n v="231"/>
    <n v="245"/>
    <s v="すなりんたろう"/>
  </r>
  <r>
    <n v="329"/>
    <x v="35"/>
    <s v="角名倫太郎"/>
    <x v="1"/>
    <x v="0"/>
    <x v="12"/>
    <x v="0"/>
    <n v="129"/>
    <n v="119"/>
    <n v="113"/>
    <n v="122"/>
    <n v="101"/>
    <n v="131"/>
    <n v="115"/>
    <n v="120"/>
    <n v="118"/>
    <n v="36"/>
    <n v="483"/>
    <n v="484"/>
    <n v="1104"/>
    <n v="230"/>
    <n v="342"/>
    <n v="113"/>
    <n v="233"/>
    <n v="251"/>
    <s v="すなりんたろう"/>
  </r>
  <r>
    <n v="330"/>
    <x v="16"/>
    <s v="角名倫太郎"/>
    <x v="2"/>
    <x v="0"/>
    <x v="12"/>
    <x v="0"/>
    <n v="131"/>
    <n v="117"/>
    <n v="111"/>
    <n v="120"/>
    <n v="101"/>
    <n v="134"/>
    <n v="115"/>
    <n v="122"/>
    <n v="118"/>
    <n v="36"/>
    <n v="479"/>
    <n v="489"/>
    <n v="1105"/>
    <n v="232"/>
    <n v="338"/>
    <n v="111"/>
    <n v="233"/>
    <n v="256"/>
    <s v="すなりんたろう"/>
  </r>
  <r>
    <n v="331"/>
    <x v="46"/>
    <s v="角名倫太郎"/>
    <x v="0"/>
    <x v="0"/>
    <x v="12"/>
    <x v="0"/>
    <n v="132"/>
    <n v="122"/>
    <n v="113"/>
    <n v="124"/>
    <n v="101"/>
    <n v="129"/>
    <n v="113"/>
    <n v="120"/>
    <n v="116"/>
    <n v="36"/>
    <n v="491"/>
    <n v="478"/>
    <n v="1106"/>
    <n v="233"/>
    <n v="347"/>
    <n v="113"/>
    <n v="229"/>
    <n v="249"/>
    <s v="すなりんたろう"/>
  </r>
  <r>
    <n v="332"/>
    <x v="41"/>
    <s v="角名倫太郎"/>
    <x v="1"/>
    <x v="0"/>
    <x v="12"/>
    <x v="0"/>
    <n v="131"/>
    <n v="119"/>
    <n v="114"/>
    <n v="122"/>
    <n v="101"/>
    <n v="134"/>
    <n v="116"/>
    <n v="122"/>
    <n v="119"/>
    <n v="36"/>
    <n v="486"/>
    <n v="491"/>
    <n v="1114"/>
    <n v="232"/>
    <n v="342"/>
    <n v="114"/>
    <n v="235"/>
    <n v="256"/>
    <s v="すなりんたろう"/>
  </r>
  <r>
    <n v="333"/>
    <x v="1"/>
    <s v="角名倫太郎"/>
    <x v="2"/>
    <x v="0"/>
    <x v="12"/>
    <x v="0"/>
    <n v="130"/>
    <n v="122"/>
    <n v="113"/>
    <n v="125"/>
    <n v="101"/>
    <n v="131"/>
    <n v="117"/>
    <n v="121"/>
    <n v="120"/>
    <n v="36"/>
    <n v="490"/>
    <n v="489"/>
    <n v="1116"/>
    <n v="231"/>
    <n v="348"/>
    <n v="113"/>
    <n v="237"/>
    <n v="252"/>
    <s v="すなりんたろう"/>
  </r>
  <r>
    <n v="334"/>
    <x v="19"/>
    <s v="角名倫太郎"/>
    <x v="0"/>
    <x v="0"/>
    <x v="12"/>
    <x v="0"/>
    <n v="132"/>
    <n v="120"/>
    <n v="115"/>
    <n v="123"/>
    <n v="101"/>
    <n v="136"/>
    <n v="117"/>
    <n v="124"/>
    <n v="120"/>
    <n v="36"/>
    <n v="490"/>
    <n v="497"/>
    <n v="1124"/>
    <n v="233"/>
    <n v="344"/>
    <n v="115"/>
    <n v="237"/>
    <n v="260"/>
    <s v="すなりんたろう"/>
  </r>
  <r>
    <n v="335"/>
    <x v="49"/>
    <s v="角名倫太郎"/>
    <x v="1"/>
    <x v="0"/>
    <x v="12"/>
    <x v="0"/>
    <n v="134"/>
    <n v="120"/>
    <n v="115"/>
    <n v="123"/>
    <n v="101"/>
    <n v="135"/>
    <n v="117"/>
    <n v="124"/>
    <n v="120"/>
    <n v="36"/>
    <n v="492"/>
    <n v="496"/>
    <n v="1125"/>
    <n v="235"/>
    <n v="344"/>
    <n v="115"/>
    <n v="237"/>
    <n v="259"/>
    <s v="すなりんたろう"/>
  </r>
  <r>
    <n v="336"/>
    <x v="0"/>
    <s v="北信介"/>
    <x v="0"/>
    <x v="3"/>
    <x v="12"/>
    <x v="0"/>
    <n v="125"/>
    <n v="119"/>
    <n v="115"/>
    <n v="119"/>
    <n v="97"/>
    <n v="118"/>
    <n v="121"/>
    <n v="120"/>
    <n v="121"/>
    <n v="36"/>
    <n v="478"/>
    <n v="480"/>
    <n v="1091"/>
    <n v="222"/>
    <n v="335"/>
    <n v="115"/>
    <n v="242"/>
    <n v="238"/>
    <s v="きたしんすけ"/>
  </r>
  <r>
    <n v="337"/>
    <x v="10"/>
    <s v="北信介"/>
    <x v="1"/>
    <x v="3"/>
    <x v="12"/>
    <x v="0"/>
    <n v="128"/>
    <n v="122"/>
    <n v="116"/>
    <n v="120"/>
    <n v="97"/>
    <n v="119"/>
    <n v="122"/>
    <n v="123"/>
    <n v="122"/>
    <n v="36"/>
    <n v="486"/>
    <n v="486"/>
    <n v="1105"/>
    <n v="225"/>
    <n v="339"/>
    <n v="116"/>
    <n v="244"/>
    <n v="242"/>
    <s v="きたしんすけ"/>
  </r>
  <r>
    <n v="338"/>
    <x v="22"/>
    <s v="北信介"/>
    <x v="2"/>
    <x v="3"/>
    <x v="12"/>
    <x v="0"/>
    <n v="128"/>
    <n v="125"/>
    <n v="114"/>
    <n v="122"/>
    <n v="97"/>
    <n v="117"/>
    <n v="124"/>
    <n v="121"/>
    <n v="122"/>
    <n v="36"/>
    <n v="489"/>
    <n v="484"/>
    <n v="1106"/>
    <n v="225"/>
    <n v="344"/>
    <n v="114"/>
    <n v="246"/>
    <n v="238"/>
    <s v="きたしんすけ"/>
  </r>
  <r>
    <n v="339"/>
    <x v="31"/>
    <s v="北信介"/>
    <x v="0"/>
    <x v="3"/>
    <x v="12"/>
    <x v="0"/>
    <n v="131"/>
    <n v="120"/>
    <n v="115"/>
    <n v="118"/>
    <n v="97"/>
    <n v="119"/>
    <n v="124"/>
    <n v="123"/>
    <n v="124"/>
    <n v="36"/>
    <n v="484"/>
    <n v="490"/>
    <n v="1107"/>
    <n v="228"/>
    <n v="335"/>
    <n v="115"/>
    <n v="248"/>
    <n v="242"/>
    <s v="きたしんすけ"/>
  </r>
  <r>
    <n v="340"/>
    <x v="44"/>
    <s v="北信介"/>
    <x v="1"/>
    <x v="3"/>
    <x v="12"/>
    <x v="0"/>
    <n v="131"/>
    <n v="122"/>
    <n v="117"/>
    <n v="120"/>
    <n v="97"/>
    <n v="121"/>
    <n v="123"/>
    <n v="125"/>
    <n v="123"/>
    <n v="36"/>
    <n v="490"/>
    <n v="492"/>
    <n v="1115"/>
    <n v="228"/>
    <n v="339"/>
    <n v="117"/>
    <n v="246"/>
    <n v="246"/>
    <s v="きたしんすけ"/>
  </r>
  <r>
    <n v="341"/>
    <x v="1"/>
    <s v="北信介"/>
    <x v="2"/>
    <x v="3"/>
    <x v="12"/>
    <x v="0"/>
    <n v="129"/>
    <n v="125"/>
    <n v="116"/>
    <n v="123"/>
    <n v="97"/>
    <n v="119"/>
    <n v="124"/>
    <n v="124"/>
    <n v="124"/>
    <n v="36"/>
    <n v="493"/>
    <n v="491"/>
    <n v="1117"/>
    <n v="226"/>
    <n v="345"/>
    <n v="116"/>
    <n v="248"/>
    <n v="243"/>
    <s v="きたしんすけ"/>
  </r>
  <r>
    <n v="342"/>
    <x v="8"/>
    <s v="北信介"/>
    <x v="0"/>
    <x v="3"/>
    <x v="12"/>
    <x v="0"/>
    <n v="133"/>
    <n v="123"/>
    <n v="118"/>
    <n v="121"/>
    <n v="97"/>
    <n v="122"/>
    <n v="124"/>
    <n v="127"/>
    <n v="124"/>
    <n v="36"/>
    <n v="495"/>
    <n v="497"/>
    <n v="1125"/>
    <n v="230"/>
    <n v="341"/>
    <n v="118"/>
    <n v="248"/>
    <n v="249"/>
    <s v="きたしんすけ"/>
  </r>
  <r>
    <n v="343"/>
    <x v="20"/>
    <s v="北信介"/>
    <x v="1"/>
    <x v="3"/>
    <x v="12"/>
    <x v="0"/>
    <n v="130"/>
    <n v="127"/>
    <n v="117"/>
    <n v="125"/>
    <n v="97"/>
    <n v="120"/>
    <n v="125"/>
    <n v="125"/>
    <n v="125"/>
    <n v="36"/>
    <n v="499"/>
    <n v="495"/>
    <n v="1127"/>
    <n v="227"/>
    <n v="349"/>
    <n v="117"/>
    <n v="250"/>
    <n v="245"/>
    <s v="きたしんすけ"/>
  </r>
  <r>
    <n v="344"/>
    <x v="0"/>
    <s v="尾白アラン"/>
    <x v="0"/>
    <x v="3"/>
    <x v="12"/>
    <x v="0"/>
    <n v="127"/>
    <n v="122"/>
    <n v="113"/>
    <n v="117"/>
    <n v="101"/>
    <n v="117"/>
    <n v="115"/>
    <n v="120"/>
    <n v="115"/>
    <n v="31"/>
    <n v="479"/>
    <n v="467"/>
    <n v="1078"/>
    <n v="228"/>
    <n v="340"/>
    <n v="113"/>
    <n v="230"/>
    <n v="237"/>
    <s v="おじろあらん"/>
  </r>
  <r>
    <n v="345"/>
    <x v="21"/>
    <s v="尾白アラン"/>
    <x v="0"/>
    <x v="3"/>
    <x v="12"/>
    <x v="0"/>
    <n v="130"/>
    <n v="125"/>
    <n v="114"/>
    <n v="118"/>
    <n v="101"/>
    <n v="118"/>
    <n v="116"/>
    <n v="123"/>
    <n v="116"/>
    <n v="31"/>
    <n v="487"/>
    <n v="473"/>
    <n v="1092"/>
    <n v="231"/>
    <n v="344"/>
    <n v="114"/>
    <n v="232"/>
    <n v="241"/>
    <s v="おじろあらん"/>
  </r>
  <r>
    <n v="346"/>
    <x v="34"/>
    <s v="尾白アラン"/>
    <x v="1"/>
    <x v="3"/>
    <x v="12"/>
    <x v="0"/>
    <n v="130"/>
    <n v="128"/>
    <n v="112"/>
    <n v="120"/>
    <n v="101"/>
    <n v="116"/>
    <n v="118"/>
    <n v="121"/>
    <n v="116"/>
    <n v="31"/>
    <n v="490"/>
    <n v="471"/>
    <n v="1093"/>
    <n v="231"/>
    <n v="349"/>
    <n v="112"/>
    <n v="234"/>
    <n v="237"/>
    <s v="おじろあらん"/>
  </r>
  <r>
    <n v="347"/>
    <x v="0"/>
    <s v="赤木路成"/>
    <x v="0"/>
    <x v="2"/>
    <x v="12"/>
    <x v="0"/>
    <n v="116"/>
    <n v="110"/>
    <n v="116"/>
    <n v="122"/>
    <n v="101"/>
    <n v="110"/>
    <n v="124"/>
    <n v="118"/>
    <n v="122"/>
    <n v="41"/>
    <n v="464"/>
    <n v="474"/>
    <n v="1080"/>
    <n v="217"/>
    <n v="333"/>
    <n v="116"/>
    <n v="246"/>
    <n v="228"/>
    <s v="あかぎみちなり"/>
  </r>
  <r>
    <n v="348"/>
    <x v="33"/>
    <s v="赤木路成"/>
    <x v="1"/>
    <x v="2"/>
    <x v="12"/>
    <x v="0"/>
    <n v="117"/>
    <n v="111"/>
    <n v="119"/>
    <n v="123"/>
    <n v="101"/>
    <n v="111"/>
    <n v="127"/>
    <n v="119"/>
    <n v="125"/>
    <n v="41"/>
    <n v="470"/>
    <n v="482"/>
    <n v="1094"/>
    <n v="218"/>
    <n v="335"/>
    <n v="119"/>
    <n v="252"/>
    <n v="230"/>
    <s v="あかぎみちなり"/>
  </r>
  <r>
    <n v="349"/>
    <x v="0"/>
    <s v="大耳練"/>
    <x v="0"/>
    <x v="0"/>
    <x v="12"/>
    <x v="0"/>
    <n v="118"/>
    <n v="114"/>
    <n v="114"/>
    <n v="120"/>
    <n v="97"/>
    <n v="129"/>
    <n v="115"/>
    <n v="115"/>
    <n v="117"/>
    <n v="31"/>
    <n v="466"/>
    <n v="476"/>
    <n v="1070"/>
    <n v="215"/>
    <n v="331"/>
    <n v="114"/>
    <n v="232"/>
    <n v="244"/>
    <s v="おおみみれん"/>
  </r>
  <r>
    <n v="350"/>
    <x v="8"/>
    <s v="大耳練"/>
    <x v="1"/>
    <x v="0"/>
    <x v="12"/>
    <x v="0"/>
    <n v="121"/>
    <n v="115"/>
    <n v="115"/>
    <n v="121"/>
    <n v="97"/>
    <n v="132"/>
    <n v="116"/>
    <n v="118"/>
    <n v="118"/>
    <n v="31"/>
    <n v="472"/>
    <n v="484"/>
    <n v="1084"/>
    <n v="218"/>
    <n v="333"/>
    <n v="115"/>
    <n v="234"/>
    <n v="250"/>
    <s v="おおみみれん"/>
  </r>
  <r>
    <n v="351"/>
    <x v="0"/>
    <s v="理石平介"/>
    <x v="0"/>
    <x v="3"/>
    <x v="12"/>
    <x v="0"/>
    <n v="121"/>
    <n v="126"/>
    <n v="112"/>
    <n v="115"/>
    <n v="97"/>
    <n v="115"/>
    <n v="115"/>
    <n v="118"/>
    <n v="117"/>
    <n v="31"/>
    <n v="474"/>
    <n v="465"/>
    <n v="1067"/>
    <n v="218"/>
    <n v="338"/>
    <n v="112"/>
    <n v="232"/>
    <n v="233"/>
    <s v="りせきへいすけ"/>
  </r>
  <r>
    <n v="352"/>
    <x v="0"/>
    <s v="銀島結"/>
    <x v="0"/>
    <x v="3"/>
    <x v="12"/>
    <x v="0"/>
    <n v="122"/>
    <n v="117"/>
    <n v="113"/>
    <n v="118"/>
    <n v="101"/>
    <n v="117"/>
    <n v="117"/>
    <n v="117"/>
    <n v="118"/>
    <n v="36"/>
    <n v="470"/>
    <n v="469"/>
    <n v="1076"/>
    <n v="223"/>
    <n v="336"/>
    <n v="113"/>
    <n v="235"/>
    <n v="234"/>
    <s v="ぎんじまひとし"/>
  </r>
  <r>
    <n v="353"/>
    <x v="33"/>
    <s v="銀島結"/>
    <x v="1"/>
    <x v="3"/>
    <x v="12"/>
    <x v="0"/>
    <n v="125"/>
    <n v="120"/>
    <n v="114"/>
    <n v="119"/>
    <n v="101"/>
    <n v="118"/>
    <n v="118"/>
    <n v="120"/>
    <n v="119"/>
    <n v="36"/>
    <n v="478"/>
    <n v="475"/>
    <n v="1090"/>
    <n v="226"/>
    <n v="340"/>
    <n v="114"/>
    <n v="237"/>
    <n v="238"/>
    <s v="ぎんじまひとし"/>
  </r>
  <r>
    <n v="354"/>
    <x v="0"/>
    <s v="木兎光太郎"/>
    <x v="2"/>
    <x v="3"/>
    <x v="13"/>
    <x v="0"/>
    <n v="128"/>
    <n v="127"/>
    <n v="114"/>
    <n v="119"/>
    <n v="101"/>
    <n v="118"/>
    <n v="121"/>
    <n v="121"/>
    <n v="121"/>
    <n v="26"/>
    <n v="488"/>
    <n v="481"/>
    <n v="1096"/>
    <n v="229"/>
    <n v="347"/>
    <n v="114"/>
    <n v="242"/>
    <n v="239"/>
    <s v="ぼくとこうたろう"/>
  </r>
  <r>
    <n v="355"/>
    <x v="2"/>
    <s v="木兎光太郎"/>
    <x v="0"/>
    <x v="3"/>
    <x v="13"/>
    <x v="0"/>
    <n v="131"/>
    <n v="130"/>
    <n v="115"/>
    <n v="120"/>
    <n v="101"/>
    <n v="119"/>
    <n v="122"/>
    <n v="124"/>
    <n v="122"/>
    <n v="26"/>
    <n v="496"/>
    <n v="487"/>
    <n v="1110"/>
    <n v="232"/>
    <n v="351"/>
    <n v="115"/>
    <n v="244"/>
    <n v="243"/>
    <s v="ぼくとこうたろう"/>
  </r>
  <r>
    <n v="356"/>
    <x v="10"/>
    <s v="木兎光太郎"/>
    <x v="1"/>
    <x v="3"/>
    <x v="13"/>
    <x v="0"/>
    <n v="133"/>
    <n v="128"/>
    <n v="115"/>
    <n v="118"/>
    <n v="101"/>
    <n v="121"/>
    <n v="122"/>
    <n v="126"/>
    <n v="121"/>
    <n v="26"/>
    <n v="494"/>
    <n v="490"/>
    <n v="1111"/>
    <n v="234"/>
    <n v="347"/>
    <n v="115"/>
    <n v="243"/>
    <n v="247"/>
    <s v="ぼくとこうたろう"/>
  </r>
  <r>
    <n v="357"/>
    <x v="1"/>
    <s v="木兎光太郎"/>
    <x v="2"/>
    <x v="3"/>
    <x v="13"/>
    <x v="0"/>
    <n v="134"/>
    <n v="127"/>
    <n v="115"/>
    <n v="117"/>
    <n v="101"/>
    <n v="119"/>
    <n v="125"/>
    <n v="124"/>
    <n v="124"/>
    <n v="26"/>
    <n v="493"/>
    <n v="492"/>
    <n v="1112"/>
    <n v="235"/>
    <n v="345"/>
    <n v="115"/>
    <n v="249"/>
    <n v="243"/>
    <s v="ぼくとこうたろう"/>
  </r>
  <r>
    <n v="358"/>
    <x v="38"/>
    <s v="木兎光太郎"/>
    <x v="0"/>
    <x v="3"/>
    <x v="13"/>
    <x v="0"/>
    <n v="134"/>
    <n v="131"/>
    <n v="115"/>
    <n v="120"/>
    <n v="101"/>
    <n v="121"/>
    <n v="124"/>
    <n v="125"/>
    <n v="123"/>
    <n v="26"/>
    <n v="500"/>
    <n v="493"/>
    <n v="1120"/>
    <n v="235"/>
    <n v="352"/>
    <n v="115"/>
    <n v="247"/>
    <n v="246"/>
    <s v="ぼくとこうたろう"/>
  </r>
  <r>
    <n v="359"/>
    <x v="11"/>
    <s v="木兎光太郎"/>
    <x v="1"/>
    <x v="3"/>
    <x v="13"/>
    <x v="0"/>
    <n v="132"/>
    <n v="130"/>
    <n v="115"/>
    <n v="120"/>
    <n v="101"/>
    <n v="122"/>
    <n v="125"/>
    <n v="126"/>
    <n v="124"/>
    <n v="26"/>
    <n v="497"/>
    <n v="497"/>
    <n v="1121"/>
    <n v="233"/>
    <n v="351"/>
    <n v="115"/>
    <n v="249"/>
    <n v="248"/>
    <s v="ぼくとこうたろう"/>
  </r>
  <r>
    <n v="360"/>
    <x v="18"/>
    <s v="木兎光太郎"/>
    <x v="2"/>
    <x v="3"/>
    <x v="13"/>
    <x v="0"/>
    <n v="137"/>
    <n v="132"/>
    <n v="116"/>
    <n v="121"/>
    <n v="101"/>
    <n v="123"/>
    <n v="125"/>
    <n v="126"/>
    <n v="124"/>
    <n v="26"/>
    <n v="506"/>
    <n v="498"/>
    <n v="1131"/>
    <n v="238"/>
    <n v="354"/>
    <n v="116"/>
    <n v="249"/>
    <n v="249"/>
    <s v="ぼくとこうたろう"/>
  </r>
  <r>
    <n v="361"/>
    <x v="49"/>
    <s v="木兎光太郎"/>
    <x v="0"/>
    <x v="3"/>
    <x v="13"/>
    <x v="0"/>
    <n v="140"/>
    <n v="133"/>
    <n v="117"/>
    <n v="122"/>
    <n v="101"/>
    <n v="124"/>
    <n v="126"/>
    <n v="127"/>
    <n v="125"/>
    <n v="26"/>
    <n v="512"/>
    <n v="502"/>
    <n v="1141"/>
    <n v="241"/>
    <n v="356"/>
    <n v="117"/>
    <n v="251"/>
    <n v="251"/>
    <s v="ぼくとこうたろう"/>
  </r>
  <r>
    <n v="362"/>
    <x v="42"/>
    <s v="木兎光太郎"/>
    <x v="1"/>
    <x v="3"/>
    <x v="13"/>
    <x v="0"/>
    <n v="138"/>
    <n v="133"/>
    <n v="117"/>
    <n v="122"/>
    <n v="101"/>
    <n v="125"/>
    <n v="127"/>
    <n v="128"/>
    <n v="126"/>
    <n v="26"/>
    <n v="510"/>
    <n v="506"/>
    <n v="1143"/>
    <n v="239"/>
    <n v="356"/>
    <n v="117"/>
    <n v="253"/>
    <n v="253"/>
    <s v="ぼくとこうたろう"/>
  </r>
  <r>
    <n v="363"/>
    <x v="0"/>
    <s v="木葉秋紀"/>
    <x v="2"/>
    <x v="3"/>
    <x v="13"/>
    <x v="0"/>
    <n v="123"/>
    <n v="117"/>
    <n v="120"/>
    <n v="123"/>
    <n v="101"/>
    <n v="116"/>
    <n v="121"/>
    <n v="121"/>
    <n v="121"/>
    <n v="36"/>
    <n v="483"/>
    <n v="479"/>
    <n v="1099"/>
    <n v="224"/>
    <n v="341"/>
    <n v="120"/>
    <n v="242"/>
    <n v="237"/>
    <s v="このはあきのり"/>
  </r>
  <r>
    <n v="364"/>
    <x v="36"/>
    <s v="木葉秋紀"/>
    <x v="0"/>
    <x v="3"/>
    <x v="13"/>
    <x v="0"/>
    <n v="126"/>
    <n v="120"/>
    <n v="121"/>
    <n v="124"/>
    <n v="101"/>
    <n v="117"/>
    <n v="122"/>
    <n v="124"/>
    <n v="122"/>
    <n v="36"/>
    <n v="491"/>
    <n v="485"/>
    <n v="1113"/>
    <n v="227"/>
    <n v="345"/>
    <n v="121"/>
    <n v="244"/>
    <n v="241"/>
    <s v="このはあきのり"/>
  </r>
  <r>
    <n v="365"/>
    <x v="32"/>
    <s v="木葉秋紀"/>
    <x v="1"/>
    <x v="3"/>
    <x v="13"/>
    <x v="0"/>
    <n v="127"/>
    <n v="117"/>
    <n v="123"/>
    <n v="122"/>
    <n v="101"/>
    <n v="117"/>
    <n v="125"/>
    <n v="122"/>
    <n v="124"/>
    <n v="36"/>
    <n v="489"/>
    <n v="488"/>
    <n v="1114"/>
    <n v="228"/>
    <n v="340"/>
    <n v="123"/>
    <n v="249"/>
    <n v="239"/>
    <s v="このはあきのり"/>
  </r>
  <r>
    <n v="366"/>
    <x v="46"/>
    <s v="木葉秋紀"/>
    <x v="2"/>
    <x v="3"/>
    <x v="13"/>
    <x v="0"/>
    <n v="127"/>
    <n v="117"/>
    <n v="119"/>
    <n v="122"/>
    <n v="101"/>
    <n v="120"/>
    <n v="124"/>
    <n v="126"/>
    <n v="123"/>
    <n v="36"/>
    <n v="485"/>
    <n v="493"/>
    <n v="1115"/>
    <n v="228"/>
    <n v="340"/>
    <n v="119"/>
    <n v="247"/>
    <n v="246"/>
    <s v="このはあきのり"/>
  </r>
  <r>
    <n v="367"/>
    <x v="41"/>
    <s v="木葉秋紀"/>
    <x v="0"/>
    <x v="3"/>
    <x v="13"/>
    <x v="0"/>
    <n v="126"/>
    <n v="120"/>
    <n v="121"/>
    <n v="124"/>
    <n v="101"/>
    <n v="120"/>
    <n v="125"/>
    <n v="126"/>
    <n v="124"/>
    <n v="36"/>
    <n v="491"/>
    <n v="495"/>
    <n v="1123"/>
    <n v="227"/>
    <n v="345"/>
    <n v="121"/>
    <n v="249"/>
    <n v="246"/>
    <s v="このはあきのり"/>
  </r>
  <r>
    <n v="368"/>
    <x v="0"/>
    <s v="猿杙大和"/>
    <x v="2"/>
    <x v="3"/>
    <x v="13"/>
    <x v="0"/>
    <n v="123"/>
    <n v="119"/>
    <n v="116"/>
    <n v="121"/>
    <n v="97"/>
    <n v="121"/>
    <n v="121"/>
    <n v="123"/>
    <n v="118"/>
    <n v="41"/>
    <n v="479"/>
    <n v="483"/>
    <n v="1100"/>
    <n v="220"/>
    <n v="337"/>
    <n v="116"/>
    <n v="239"/>
    <n v="244"/>
    <s v="さるくいやまと"/>
  </r>
  <r>
    <n v="369"/>
    <x v="7"/>
    <s v="猿杙大和"/>
    <x v="0"/>
    <x v="3"/>
    <x v="13"/>
    <x v="0"/>
    <n v="126"/>
    <n v="122"/>
    <n v="117"/>
    <n v="122"/>
    <n v="97"/>
    <n v="122"/>
    <n v="122"/>
    <n v="126"/>
    <n v="119"/>
    <n v="41"/>
    <n v="487"/>
    <n v="489"/>
    <n v="1114"/>
    <n v="223"/>
    <n v="341"/>
    <n v="117"/>
    <n v="241"/>
    <n v="248"/>
    <s v="さるくいやまと"/>
  </r>
  <r>
    <n v="370"/>
    <x v="0"/>
    <s v="小見春樹"/>
    <x v="2"/>
    <x v="2"/>
    <x v="13"/>
    <x v="0"/>
    <n v="113"/>
    <n v="110"/>
    <n v="113"/>
    <n v="120"/>
    <n v="101"/>
    <n v="110"/>
    <n v="123"/>
    <n v="119"/>
    <n v="122"/>
    <n v="41"/>
    <n v="456"/>
    <n v="474"/>
    <n v="1072"/>
    <n v="214"/>
    <n v="331"/>
    <n v="113"/>
    <n v="245"/>
    <n v="229"/>
    <s v="こみはるき"/>
  </r>
  <r>
    <n v="371"/>
    <x v="46"/>
    <s v="小見春樹"/>
    <x v="0"/>
    <x v="2"/>
    <x v="13"/>
    <x v="0"/>
    <n v="114"/>
    <n v="111"/>
    <n v="116"/>
    <n v="121"/>
    <n v="101"/>
    <n v="111"/>
    <n v="126"/>
    <n v="120"/>
    <n v="125"/>
    <n v="41"/>
    <n v="462"/>
    <n v="482"/>
    <n v="1086"/>
    <n v="215"/>
    <n v="333"/>
    <n v="116"/>
    <n v="251"/>
    <n v="231"/>
    <s v="こみはるき"/>
  </r>
  <r>
    <n v="372"/>
    <x v="0"/>
    <s v="尾長渉"/>
    <x v="2"/>
    <x v="0"/>
    <x v="13"/>
    <x v="0"/>
    <n v="117"/>
    <n v="117"/>
    <n v="112"/>
    <n v="116"/>
    <n v="97"/>
    <n v="121"/>
    <n v="113"/>
    <n v="114"/>
    <n v="115"/>
    <n v="36"/>
    <n v="462"/>
    <n v="463"/>
    <n v="1058"/>
    <n v="214"/>
    <n v="330"/>
    <n v="112"/>
    <n v="228"/>
    <n v="235"/>
    <s v="おながわたる"/>
  </r>
  <r>
    <n v="373"/>
    <x v="0"/>
    <s v="鷲尾辰生"/>
    <x v="2"/>
    <x v="0"/>
    <x v="13"/>
    <x v="0"/>
    <n v="121"/>
    <n v="121"/>
    <n v="112"/>
    <n v="122"/>
    <n v="97"/>
    <n v="125"/>
    <n v="115"/>
    <n v="116"/>
    <n v="115"/>
    <n v="36"/>
    <n v="476"/>
    <n v="471"/>
    <n v="1080"/>
    <n v="218"/>
    <n v="340"/>
    <n v="112"/>
    <n v="230"/>
    <n v="241"/>
    <s v="わしおたつき"/>
  </r>
  <r>
    <n v="374"/>
    <x v="7"/>
    <s v="鷲尾辰生"/>
    <x v="0"/>
    <x v="0"/>
    <x v="13"/>
    <x v="0"/>
    <n v="124"/>
    <n v="122"/>
    <n v="113"/>
    <n v="123"/>
    <n v="97"/>
    <n v="128"/>
    <n v="116"/>
    <n v="119"/>
    <n v="116"/>
    <n v="36"/>
    <n v="482"/>
    <n v="479"/>
    <n v="1094"/>
    <n v="221"/>
    <n v="342"/>
    <n v="113"/>
    <n v="232"/>
    <n v="247"/>
    <s v="わしおたつき"/>
  </r>
  <r>
    <n v="375"/>
    <x v="0"/>
    <s v="赤葦京治"/>
    <x v="1"/>
    <x v="1"/>
    <x v="13"/>
    <x v="0"/>
    <n v="119"/>
    <n v="121"/>
    <n v="126"/>
    <n v="126"/>
    <n v="101"/>
    <n v="114"/>
    <n v="121"/>
    <n v="118"/>
    <n v="119"/>
    <n v="41"/>
    <n v="492"/>
    <n v="472"/>
    <n v="1106"/>
    <n v="220"/>
    <n v="348"/>
    <n v="126"/>
    <n v="240"/>
    <n v="232"/>
    <s v="あかあしけいじ"/>
  </r>
  <r>
    <n v="376"/>
    <x v="2"/>
    <s v="赤葦京治"/>
    <x v="2"/>
    <x v="1"/>
    <x v="13"/>
    <x v="0"/>
    <n v="120"/>
    <n v="124"/>
    <n v="129"/>
    <n v="129"/>
    <n v="101"/>
    <n v="115"/>
    <n v="122"/>
    <n v="119"/>
    <n v="120"/>
    <n v="41"/>
    <n v="502"/>
    <n v="476"/>
    <n v="1120"/>
    <n v="221"/>
    <n v="354"/>
    <n v="129"/>
    <n v="242"/>
    <n v="234"/>
    <s v="あかあしけいじ"/>
  </r>
  <r>
    <n v="377"/>
    <x v="1"/>
    <s v="赤葦京治"/>
    <x v="0"/>
    <x v="1"/>
    <x v="13"/>
    <x v="0"/>
    <n v="118"/>
    <n v="126"/>
    <n v="132"/>
    <n v="131"/>
    <n v="101"/>
    <n v="112"/>
    <n v="122"/>
    <n v="117"/>
    <n v="120"/>
    <n v="41"/>
    <n v="507"/>
    <n v="471"/>
    <n v="1120"/>
    <n v="219"/>
    <n v="358"/>
    <n v="132"/>
    <n v="242"/>
    <n v="229"/>
    <s v="あかあしけいじ"/>
  </r>
  <r>
    <n v="378"/>
    <x v="23"/>
    <s v="赤葦京治"/>
    <x v="1"/>
    <x v="1"/>
    <x v="13"/>
    <x v="0"/>
    <n v="118"/>
    <n v="121"/>
    <n v="131"/>
    <n v="128"/>
    <n v="101"/>
    <n v="118"/>
    <n v="122"/>
    <n v="121"/>
    <n v="120"/>
    <n v="41"/>
    <n v="498"/>
    <n v="481"/>
    <n v="1121"/>
    <n v="219"/>
    <n v="350"/>
    <n v="131"/>
    <n v="242"/>
    <n v="239"/>
    <s v="あかあしけいじ"/>
  </r>
  <r>
    <n v="379"/>
    <x v="27"/>
    <s v="赤葦京治"/>
    <x v="2"/>
    <x v="1"/>
    <x v="13"/>
    <x v="0"/>
    <n v="121"/>
    <n v="126"/>
    <n v="132"/>
    <n v="131"/>
    <n v="101"/>
    <n v="115"/>
    <n v="123"/>
    <n v="119"/>
    <n v="121"/>
    <n v="41"/>
    <n v="510"/>
    <n v="478"/>
    <n v="1130"/>
    <n v="222"/>
    <n v="358"/>
    <n v="132"/>
    <n v="244"/>
    <n v="234"/>
    <s v="あかあしけいじ"/>
  </r>
  <r>
    <n v="380"/>
    <x v="37"/>
    <s v="赤葦京治"/>
    <x v="0"/>
    <x v="1"/>
    <x v="13"/>
    <x v="0"/>
    <n v="121"/>
    <n v="127"/>
    <n v="129"/>
    <n v="132"/>
    <n v="101"/>
    <n v="115"/>
    <n v="124"/>
    <n v="120"/>
    <n v="121"/>
    <n v="41"/>
    <n v="509"/>
    <n v="480"/>
    <n v="1131"/>
    <n v="222"/>
    <n v="360"/>
    <n v="129"/>
    <n v="245"/>
    <n v="235"/>
    <s v="あかあしけいじ"/>
  </r>
  <r>
    <n v="381"/>
    <x v="18"/>
    <s v="赤葦京治"/>
    <x v="1"/>
    <x v="1"/>
    <x v="13"/>
    <x v="0"/>
    <n v="122"/>
    <n v="128"/>
    <n v="134"/>
    <n v="132"/>
    <n v="101"/>
    <n v="116"/>
    <n v="124"/>
    <n v="120"/>
    <n v="122"/>
    <n v="41"/>
    <n v="516"/>
    <n v="482"/>
    <n v="1140"/>
    <n v="223"/>
    <n v="361"/>
    <n v="134"/>
    <n v="246"/>
    <n v="236"/>
    <s v="あかあしけいじ"/>
  </r>
  <r>
    <n v="382"/>
    <x v="28"/>
    <s v="赤葦京治"/>
    <x v="2"/>
    <x v="1"/>
    <x v="13"/>
    <x v="0"/>
    <n v="122"/>
    <n v="128"/>
    <n v="133"/>
    <n v="133"/>
    <n v="101"/>
    <n v="116"/>
    <n v="125"/>
    <n v="120"/>
    <n v="122"/>
    <n v="41"/>
    <n v="516"/>
    <n v="483"/>
    <n v="1141"/>
    <n v="223"/>
    <n v="362"/>
    <n v="133"/>
    <n v="247"/>
    <n v="236"/>
    <s v="あかあしけいじ"/>
  </r>
  <r>
    <n v="383"/>
    <x v="49"/>
    <s v="赤葦京治"/>
    <x v="0"/>
    <x v="1"/>
    <x v="13"/>
    <x v="0"/>
    <n v="123"/>
    <n v="129"/>
    <n v="136"/>
    <n v="133"/>
    <n v="101"/>
    <n v="117"/>
    <n v="126"/>
    <n v="121"/>
    <n v="123"/>
    <n v="41"/>
    <n v="521"/>
    <n v="487"/>
    <n v="1150"/>
    <n v="224"/>
    <n v="363"/>
    <n v="136"/>
    <n v="249"/>
    <n v="238"/>
    <s v="あかあしけいじ"/>
  </r>
  <r>
    <n v="384"/>
    <x v="0"/>
    <s v="姫川葵"/>
    <x v="2"/>
    <x v="3"/>
    <x v="14"/>
    <x v="0"/>
    <n v="118"/>
    <n v="125"/>
    <n v="115"/>
    <n v="123"/>
    <n v="101"/>
    <n v="114"/>
    <n v="116"/>
    <n v="115"/>
    <n v="118"/>
    <n v="31"/>
    <n v="481"/>
    <n v="463"/>
    <n v="1076"/>
    <n v="219"/>
    <n v="349"/>
    <n v="115"/>
    <n v="234"/>
    <n v="229"/>
    <s v="ひめかわあおい"/>
  </r>
  <r>
    <n v="385"/>
    <x v="16"/>
    <s v="姫川葵"/>
    <x v="0"/>
    <x v="3"/>
    <x v="14"/>
    <x v="0"/>
    <n v="121"/>
    <n v="128"/>
    <n v="116"/>
    <n v="124"/>
    <n v="101"/>
    <n v="115"/>
    <n v="117"/>
    <n v="118"/>
    <n v="119"/>
    <n v="31"/>
    <n v="489"/>
    <n v="469"/>
    <n v="1090"/>
    <n v="222"/>
    <n v="353"/>
    <n v="116"/>
    <n v="236"/>
    <n v="233"/>
    <s v="ひめかわあおい"/>
  </r>
  <r>
    <n v="386"/>
    <x v="0"/>
    <s v="当間義友"/>
    <x v="2"/>
    <x v="0"/>
    <x v="14"/>
    <x v="0"/>
    <n v="114"/>
    <n v="113"/>
    <n v="112"/>
    <n v="118"/>
    <n v="97"/>
    <n v="123"/>
    <n v="113"/>
    <n v="116"/>
    <n v="117"/>
    <n v="31"/>
    <n v="457"/>
    <n v="469"/>
    <n v="1054"/>
    <n v="211"/>
    <n v="328"/>
    <n v="112"/>
    <n v="230"/>
    <n v="239"/>
    <s v="あてまよしとも"/>
  </r>
  <r>
    <n v="387"/>
    <x v="0"/>
    <s v="越後栄"/>
    <x v="2"/>
    <x v="1"/>
    <x v="14"/>
    <x v="0"/>
    <n v="118"/>
    <n v="120"/>
    <n v="125"/>
    <n v="126"/>
    <n v="101"/>
    <n v="114"/>
    <n v="119"/>
    <n v="118"/>
    <n v="117"/>
    <n v="41"/>
    <n v="489"/>
    <n v="468"/>
    <n v="1099"/>
    <n v="219"/>
    <n v="347"/>
    <n v="125"/>
    <n v="236"/>
    <n v="232"/>
    <s v="えちごさかえ"/>
  </r>
  <r>
    <n v="388"/>
    <x v="0"/>
    <s v="貝掛亮文"/>
    <x v="2"/>
    <x v="2"/>
    <x v="14"/>
    <x v="0"/>
    <n v="113"/>
    <n v="110"/>
    <n v="112"/>
    <n v="121"/>
    <n v="101"/>
    <n v="110"/>
    <n v="123"/>
    <n v="119"/>
    <n v="121"/>
    <n v="41"/>
    <n v="456"/>
    <n v="473"/>
    <n v="1071"/>
    <n v="214"/>
    <n v="332"/>
    <n v="112"/>
    <n v="244"/>
    <n v="229"/>
    <s v="かいかけあきふみ"/>
  </r>
  <r>
    <n v="389"/>
    <x v="0"/>
    <s v="丸山一喜"/>
    <x v="1"/>
    <x v="3"/>
    <x v="14"/>
    <x v="0"/>
    <n v="120"/>
    <n v="117"/>
    <n v="113"/>
    <n v="119"/>
    <n v="101"/>
    <n v="119"/>
    <n v="117"/>
    <n v="118"/>
    <n v="117"/>
    <n v="36"/>
    <n v="469"/>
    <n v="471"/>
    <n v="1077"/>
    <n v="221"/>
    <n v="337"/>
    <n v="113"/>
    <n v="234"/>
    <n v="237"/>
    <s v="まるやまかずき"/>
  </r>
  <r>
    <n v="390"/>
    <x v="0"/>
    <s v="舞子侑志"/>
    <x v="2"/>
    <x v="3"/>
    <x v="14"/>
    <x v="0"/>
    <n v="120"/>
    <n v="113"/>
    <n v="112"/>
    <n v="119"/>
    <n v="97"/>
    <n v="118"/>
    <n v="118"/>
    <n v="117"/>
    <n v="117"/>
    <n v="41"/>
    <n v="464"/>
    <n v="470"/>
    <n v="1072"/>
    <n v="217"/>
    <n v="329"/>
    <n v="112"/>
    <n v="235"/>
    <n v="235"/>
    <s v="まいこゆうし"/>
  </r>
  <r>
    <n v="391"/>
    <x v="0"/>
    <s v="寺泊基希"/>
    <x v="2"/>
    <x v="3"/>
    <x v="14"/>
    <x v="0"/>
    <n v="127"/>
    <n v="116"/>
    <n v="112"/>
    <n v="119"/>
    <n v="97"/>
    <n v="117"/>
    <n v="114"/>
    <n v="118"/>
    <n v="116"/>
    <n v="36"/>
    <n v="474"/>
    <n v="465"/>
    <n v="1072"/>
    <n v="224"/>
    <n v="332"/>
    <n v="112"/>
    <n v="230"/>
    <n v="235"/>
    <s v="てらどまりもとき"/>
  </r>
  <r>
    <n v="392"/>
    <x v="0"/>
    <s v="星海光来"/>
    <x v="0"/>
    <x v="3"/>
    <x v="15"/>
    <x v="0"/>
    <n v="130"/>
    <n v="125"/>
    <n v="115"/>
    <n v="121"/>
    <n v="101"/>
    <n v="118"/>
    <n v="118"/>
    <n v="126"/>
    <n v="121"/>
    <n v="36"/>
    <n v="491"/>
    <n v="483"/>
    <n v="1111"/>
    <n v="231"/>
    <n v="347"/>
    <n v="115"/>
    <n v="239"/>
    <n v="244"/>
    <s v="ほしうみこうらい"/>
  </r>
  <r>
    <n v="393"/>
    <x v="30"/>
    <s v="星海光来"/>
    <x v="1"/>
    <x v="3"/>
    <x v="15"/>
    <x v="0"/>
    <n v="133"/>
    <n v="128"/>
    <n v="116"/>
    <n v="122"/>
    <n v="101"/>
    <n v="119"/>
    <n v="119"/>
    <n v="129"/>
    <n v="122"/>
    <n v="36"/>
    <n v="499"/>
    <n v="489"/>
    <n v="1125"/>
    <n v="234"/>
    <n v="351"/>
    <n v="116"/>
    <n v="241"/>
    <n v="248"/>
    <s v="ほしうみこうらい"/>
  </r>
  <r>
    <n v="394"/>
    <x v="35"/>
    <s v="星海光来"/>
    <x v="2"/>
    <x v="3"/>
    <x v="15"/>
    <x v="0"/>
    <n v="132"/>
    <n v="130"/>
    <n v="115"/>
    <n v="123"/>
    <n v="101"/>
    <n v="117"/>
    <n v="121"/>
    <n v="128"/>
    <n v="123"/>
    <n v="36"/>
    <n v="500"/>
    <n v="489"/>
    <n v="1126"/>
    <n v="233"/>
    <n v="354"/>
    <n v="115"/>
    <n v="244"/>
    <n v="245"/>
    <s v="ほしうみこうらい"/>
  </r>
  <r>
    <n v="395"/>
    <x v="16"/>
    <s v="星海光来"/>
    <x v="0"/>
    <x v="3"/>
    <x v="15"/>
    <x v="0"/>
    <n v="133"/>
    <n v="125"/>
    <n v="115"/>
    <n v="120"/>
    <n v="101"/>
    <n v="122"/>
    <n v="121"/>
    <n v="131"/>
    <n v="123"/>
    <n v="36"/>
    <n v="493"/>
    <n v="497"/>
    <n v="1127"/>
    <n v="234"/>
    <n v="346"/>
    <n v="115"/>
    <n v="244"/>
    <n v="253"/>
    <s v="ほしうみこうらい"/>
  </r>
  <r>
    <n v="396"/>
    <x v="31"/>
    <s v="星海光来"/>
    <x v="1"/>
    <x v="3"/>
    <x v="15"/>
    <x v="0"/>
    <n v="136"/>
    <n v="126"/>
    <n v="116"/>
    <n v="120"/>
    <n v="101"/>
    <n v="121"/>
    <n v="119"/>
    <n v="131"/>
    <n v="122"/>
    <n v="36"/>
    <n v="498"/>
    <n v="493"/>
    <n v="1128"/>
    <n v="237"/>
    <n v="347"/>
    <n v="116"/>
    <n v="241"/>
    <n v="252"/>
    <s v="ほしうみこうらい"/>
  </r>
  <r>
    <n v="397"/>
    <x v="9"/>
    <s v="星海光来"/>
    <x v="2"/>
    <x v="3"/>
    <x v="15"/>
    <x v="0"/>
    <n v="134"/>
    <n v="131"/>
    <n v="116"/>
    <n v="125"/>
    <n v="101"/>
    <n v="119"/>
    <n v="121"/>
    <n v="130"/>
    <n v="123"/>
    <n v="36"/>
    <n v="506"/>
    <n v="493"/>
    <n v="1136"/>
    <n v="235"/>
    <n v="357"/>
    <n v="116"/>
    <n v="244"/>
    <n v="249"/>
    <s v="ほしうみこうらい"/>
  </r>
  <r>
    <n v="398"/>
    <x v="0"/>
    <s v="昼神幸郎"/>
    <x v="0"/>
    <x v="0"/>
    <x v="15"/>
    <x v="0"/>
    <n v="125"/>
    <n v="122"/>
    <n v="112"/>
    <n v="121"/>
    <n v="101"/>
    <n v="131"/>
    <n v="115"/>
    <n v="115"/>
    <n v="117"/>
    <n v="41"/>
    <n v="480"/>
    <n v="478"/>
    <n v="1100"/>
    <n v="226"/>
    <n v="344"/>
    <n v="112"/>
    <n v="232"/>
    <n v="246"/>
    <s v="ひるがみさちろう"/>
  </r>
  <r>
    <n v="399"/>
    <x v="10"/>
    <s v="昼神幸郎"/>
    <x v="1"/>
    <x v="0"/>
    <x v="15"/>
    <x v="0"/>
    <n v="128"/>
    <n v="123"/>
    <n v="113"/>
    <n v="122"/>
    <n v="101"/>
    <n v="134"/>
    <n v="116"/>
    <n v="118"/>
    <n v="118"/>
    <n v="41"/>
    <n v="486"/>
    <n v="486"/>
    <n v="1114"/>
    <n v="229"/>
    <n v="346"/>
    <n v="113"/>
    <n v="234"/>
    <n v="252"/>
    <s v="ひるがみさちろう"/>
  </r>
  <r>
    <n v="400"/>
    <x v="44"/>
    <s v="昼神幸郎"/>
    <x v="2"/>
    <x v="0"/>
    <x v="15"/>
    <x v="0"/>
    <n v="129"/>
    <n v="121"/>
    <n v="113"/>
    <n v="120"/>
    <n v="101"/>
    <n v="137"/>
    <n v="115"/>
    <n v="121"/>
    <n v="118"/>
    <n v="41"/>
    <n v="483"/>
    <n v="491"/>
    <n v="1116"/>
    <n v="230"/>
    <n v="342"/>
    <n v="113"/>
    <n v="233"/>
    <n v="258"/>
    <s v="ひるがみさちろう"/>
  </r>
  <r>
    <n v="401"/>
    <x v="19"/>
    <s v="昼神幸郎"/>
    <x v="0"/>
    <x v="0"/>
    <x v="15"/>
    <x v="0"/>
    <n v="129"/>
    <n v="123"/>
    <n v="113"/>
    <n v="122"/>
    <n v="101"/>
    <n v="137"/>
    <n v="118"/>
    <n v="120"/>
    <n v="119"/>
    <n v="41"/>
    <n v="487"/>
    <n v="494"/>
    <n v="1123"/>
    <n v="230"/>
    <n v="346"/>
    <n v="113"/>
    <n v="237"/>
    <n v="257"/>
    <s v="ひるがみさちろう"/>
  </r>
  <r>
    <n v="402"/>
    <x v="0"/>
    <s v="佐久早聖臣"/>
    <x v="0"/>
    <x v="3"/>
    <x v="16"/>
    <x v="0"/>
    <n v="129"/>
    <n v="126"/>
    <n v="114"/>
    <n v="121"/>
    <n v="101"/>
    <n v="118"/>
    <n v="123"/>
    <n v="119"/>
    <n v="120"/>
    <n v="41"/>
    <n v="490"/>
    <n v="480"/>
    <n v="1112"/>
    <n v="230"/>
    <n v="348"/>
    <n v="114"/>
    <n v="243"/>
    <n v="237"/>
    <s v="さくさきよおみ"/>
  </r>
  <r>
    <n v="403"/>
    <x v="35"/>
    <s v="佐久早聖臣"/>
    <x v="1"/>
    <x v="3"/>
    <x v="16"/>
    <x v="0"/>
    <n v="132"/>
    <n v="129"/>
    <n v="115"/>
    <n v="122"/>
    <n v="101"/>
    <n v="119"/>
    <n v="124"/>
    <n v="122"/>
    <n v="121"/>
    <n v="41"/>
    <n v="498"/>
    <n v="486"/>
    <n v="1126"/>
    <n v="233"/>
    <n v="352"/>
    <n v="115"/>
    <n v="245"/>
    <n v="241"/>
    <s v="さくさきよおみ"/>
  </r>
  <r>
    <n v="404"/>
    <x v="31"/>
    <s v="佐久早聖臣"/>
    <x v="2"/>
    <x v="3"/>
    <x v="16"/>
    <x v="0"/>
    <n v="135"/>
    <n v="127"/>
    <n v="115"/>
    <n v="120"/>
    <n v="101"/>
    <n v="121"/>
    <n v="123"/>
    <n v="124"/>
    <n v="120"/>
    <n v="41"/>
    <n v="497"/>
    <n v="488"/>
    <n v="1127"/>
    <n v="236"/>
    <n v="348"/>
    <n v="115"/>
    <n v="243"/>
    <n v="245"/>
    <s v="さくさきよおみ"/>
  </r>
  <r>
    <n v="405"/>
    <x v="8"/>
    <s v="佐久早聖臣"/>
    <x v="0"/>
    <x v="3"/>
    <x v="16"/>
    <x v="0"/>
    <n v="136"/>
    <n v="130"/>
    <n v="115"/>
    <n v="122"/>
    <n v="101"/>
    <n v="121"/>
    <n v="126"/>
    <n v="123"/>
    <n v="122"/>
    <n v="41"/>
    <n v="503"/>
    <n v="492"/>
    <n v="1137"/>
    <n v="237"/>
    <n v="353"/>
    <n v="115"/>
    <n v="248"/>
    <n v="244"/>
    <s v="さくさきよおみ"/>
  </r>
  <r>
    <n v="406"/>
    <x v="0"/>
    <s v="小森元也"/>
    <x v="0"/>
    <x v="2"/>
    <x v="16"/>
    <x v="0"/>
    <n v="115"/>
    <n v="111"/>
    <n v="119"/>
    <n v="124"/>
    <n v="101"/>
    <n v="110"/>
    <n v="131"/>
    <n v="116"/>
    <n v="121"/>
    <n v="36"/>
    <n v="469"/>
    <n v="478"/>
    <n v="1084"/>
    <n v="216"/>
    <n v="336"/>
    <n v="119"/>
    <n v="252"/>
    <n v="226"/>
    <s v="こもりもとや"/>
  </r>
  <r>
    <n v="407"/>
    <x v="38"/>
    <s v="小森元也"/>
    <x v="1"/>
    <x v="2"/>
    <x v="16"/>
    <x v="0"/>
    <n v="116"/>
    <n v="112"/>
    <n v="122"/>
    <n v="125"/>
    <n v="101"/>
    <n v="111"/>
    <n v="134"/>
    <n v="117"/>
    <n v="124"/>
    <n v="36"/>
    <n v="475"/>
    <n v="486"/>
    <n v="1098"/>
    <n v="217"/>
    <n v="338"/>
    <n v="122"/>
    <n v="258"/>
    <n v="228"/>
    <s v="こもりもとや"/>
  </r>
  <r>
    <n v="408"/>
    <x v="7"/>
    <s v="小森元也"/>
    <x v="2"/>
    <x v="2"/>
    <x v="16"/>
    <x v="0"/>
    <n v="114"/>
    <n v="110"/>
    <n v="123"/>
    <n v="124"/>
    <n v="101"/>
    <n v="111"/>
    <n v="137"/>
    <n v="117"/>
    <n v="126"/>
    <n v="36"/>
    <n v="471"/>
    <n v="491"/>
    <n v="1099"/>
    <n v="215"/>
    <n v="335"/>
    <n v="123"/>
    <n v="263"/>
    <n v="228"/>
    <s v="こもりもとや"/>
  </r>
  <r>
    <n v="409"/>
    <x v="0"/>
    <s v="大将優"/>
    <x v="2"/>
    <x v="3"/>
    <x v="17"/>
    <x v="0"/>
    <n v="123"/>
    <n v="119"/>
    <n v="118"/>
    <n v="123"/>
    <n v="101"/>
    <n v="116"/>
    <n v="122"/>
    <n v="123"/>
    <n v="118"/>
    <n v="36"/>
    <n v="483"/>
    <n v="479"/>
    <n v="1099"/>
    <n v="224"/>
    <n v="343"/>
    <n v="118"/>
    <n v="240"/>
    <n v="239"/>
    <s v="だいしょうすぐる"/>
  </r>
  <r>
    <n v="410"/>
    <x v="25"/>
    <s v="大将優"/>
    <x v="0"/>
    <x v="3"/>
    <x v="17"/>
    <x v="0"/>
    <n v="126"/>
    <n v="122"/>
    <n v="119"/>
    <n v="124"/>
    <n v="101"/>
    <n v="117"/>
    <n v="123"/>
    <n v="126"/>
    <n v="119"/>
    <n v="36"/>
    <n v="491"/>
    <n v="485"/>
    <n v="1113"/>
    <n v="227"/>
    <n v="347"/>
    <n v="119"/>
    <n v="242"/>
    <n v="243"/>
    <s v="だいしょうすぐる"/>
  </r>
  <r>
    <n v="411"/>
    <x v="47"/>
    <s v="大将優"/>
    <x v="1"/>
    <x v="3"/>
    <x v="17"/>
    <x v="0"/>
    <n v="126"/>
    <n v="125"/>
    <n v="117"/>
    <n v="126"/>
    <n v="101"/>
    <n v="115"/>
    <n v="125"/>
    <n v="124"/>
    <n v="119"/>
    <n v="36"/>
    <n v="494"/>
    <n v="483"/>
    <n v="1114"/>
    <n v="227"/>
    <n v="352"/>
    <n v="117"/>
    <n v="244"/>
    <n v="239"/>
    <s v="だいしょうすぐる"/>
  </r>
  <r>
    <n v="412"/>
    <x v="37"/>
    <s v="大将優"/>
    <x v="2"/>
    <x v="3"/>
    <x v="17"/>
    <x v="0"/>
    <n v="129"/>
    <n v="119"/>
    <n v="117"/>
    <n v="122"/>
    <n v="101"/>
    <n v="119"/>
    <n v="125"/>
    <n v="127"/>
    <n v="120"/>
    <n v="36"/>
    <n v="487"/>
    <n v="491"/>
    <n v="1115"/>
    <n v="230"/>
    <n v="342"/>
    <n v="117"/>
    <n v="245"/>
    <n v="246"/>
    <s v="だいしょうすぐる"/>
  </r>
  <r>
    <n v="413"/>
    <x v="42"/>
    <s v="大将優"/>
    <x v="0"/>
    <x v="3"/>
    <x v="17"/>
    <x v="0"/>
    <n v="130"/>
    <n v="122"/>
    <n v="120"/>
    <n v="124"/>
    <n v="101"/>
    <n v="119"/>
    <n v="124"/>
    <n v="128"/>
    <n v="121"/>
    <n v="36"/>
    <n v="496"/>
    <n v="492"/>
    <n v="1125"/>
    <n v="231"/>
    <n v="347"/>
    <n v="120"/>
    <n v="245"/>
    <n v="247"/>
    <s v="だいしょうすぐる"/>
  </r>
  <r>
    <n v="414"/>
    <x v="0"/>
    <s v="沼井和馬"/>
    <x v="2"/>
    <x v="3"/>
    <x v="17"/>
    <x v="0"/>
    <n v="125"/>
    <n v="119"/>
    <n v="116"/>
    <n v="119"/>
    <n v="97"/>
    <n v="118"/>
    <n v="119"/>
    <n v="121"/>
    <n v="119"/>
    <n v="36"/>
    <n v="479"/>
    <n v="477"/>
    <n v="1089"/>
    <n v="222"/>
    <n v="335"/>
    <n v="116"/>
    <n v="238"/>
    <n v="239"/>
    <s v="ぬまいかずま"/>
  </r>
  <r>
    <n v="415"/>
    <x v="0"/>
    <s v="潜尚保"/>
    <x v="2"/>
    <x v="3"/>
    <x v="17"/>
    <x v="0"/>
    <n v="123"/>
    <n v="118"/>
    <n v="114"/>
    <n v="121"/>
    <n v="97"/>
    <n v="117"/>
    <n v="115"/>
    <n v="120"/>
    <n v="117"/>
    <n v="31"/>
    <n v="476"/>
    <n v="469"/>
    <n v="1073"/>
    <n v="220"/>
    <n v="336"/>
    <n v="114"/>
    <n v="232"/>
    <n v="237"/>
    <s v="くぐりなおやす"/>
  </r>
  <r>
    <n v="416"/>
    <x v="23"/>
    <s v="潜尚保"/>
    <x v="0"/>
    <x v="3"/>
    <x v="17"/>
    <x v="0"/>
    <n v="126"/>
    <n v="121"/>
    <n v="115"/>
    <n v="122"/>
    <n v="97"/>
    <n v="118"/>
    <n v="116"/>
    <n v="123"/>
    <n v="118"/>
    <n v="31"/>
    <n v="484"/>
    <n v="475"/>
    <n v="1087"/>
    <n v="223"/>
    <n v="340"/>
    <n v="115"/>
    <n v="234"/>
    <n v="241"/>
    <s v="くぐりなおやす"/>
  </r>
  <r>
    <n v="417"/>
    <x v="19"/>
    <s v="潜尚保"/>
    <x v="1"/>
    <x v="3"/>
    <x v="17"/>
    <x v="0"/>
    <n v="129"/>
    <n v="121"/>
    <n v="116"/>
    <n v="122"/>
    <n v="97"/>
    <n v="120"/>
    <n v="117"/>
    <n v="125"/>
    <n v="120"/>
    <n v="31"/>
    <n v="488"/>
    <n v="482"/>
    <n v="1098"/>
    <n v="226"/>
    <n v="340"/>
    <n v="116"/>
    <n v="237"/>
    <n v="245"/>
    <s v="くぐりなおやす"/>
  </r>
  <r>
    <n v="418"/>
    <x v="0"/>
    <s v="高千穂恵也"/>
    <x v="2"/>
    <x v="3"/>
    <x v="17"/>
    <x v="0"/>
    <n v="121"/>
    <n v="120"/>
    <n v="114"/>
    <n v="121"/>
    <n v="101"/>
    <n v="116"/>
    <n v="116"/>
    <n v="118"/>
    <n v="115"/>
    <n v="36"/>
    <n v="476"/>
    <n v="465"/>
    <n v="1078"/>
    <n v="222"/>
    <n v="342"/>
    <n v="114"/>
    <n v="231"/>
    <n v="234"/>
    <s v="たかちほよしや"/>
  </r>
  <r>
    <n v="419"/>
    <x v="0"/>
    <s v="広尾倖児"/>
    <x v="2"/>
    <x v="0"/>
    <x v="17"/>
    <x v="0"/>
    <n v="116"/>
    <n v="112"/>
    <n v="112"/>
    <n v="126"/>
    <n v="97"/>
    <n v="121"/>
    <n v="115"/>
    <n v="116"/>
    <n v="116"/>
    <n v="31"/>
    <n v="466"/>
    <n v="468"/>
    <n v="1062"/>
    <n v="213"/>
    <n v="335"/>
    <n v="112"/>
    <n v="231"/>
    <n v="237"/>
    <s v="ひろおこうじ"/>
  </r>
  <r>
    <n v="420"/>
    <x v="47"/>
    <s v="広尾倖児"/>
    <x v="0"/>
    <x v="0"/>
    <x v="17"/>
    <x v="0"/>
    <n v="119"/>
    <n v="113"/>
    <n v="113"/>
    <n v="127"/>
    <n v="97"/>
    <n v="124"/>
    <n v="116"/>
    <n v="119"/>
    <n v="117"/>
    <n v="31"/>
    <n v="472"/>
    <n v="476"/>
    <n v="1076"/>
    <n v="216"/>
    <n v="337"/>
    <n v="113"/>
    <n v="233"/>
    <n v="243"/>
    <s v="ひろおこうじ"/>
  </r>
  <r>
    <n v="421"/>
    <x v="0"/>
    <s v="先島伊澄"/>
    <x v="2"/>
    <x v="1"/>
    <x v="17"/>
    <x v="0"/>
    <n v="115"/>
    <n v="116"/>
    <n v="120"/>
    <n v="120"/>
    <n v="97"/>
    <n v="115"/>
    <n v="114"/>
    <n v="116"/>
    <n v="117"/>
    <n v="41"/>
    <n v="471"/>
    <n v="462"/>
    <n v="1071"/>
    <n v="212"/>
    <n v="333"/>
    <n v="120"/>
    <n v="231"/>
    <n v="231"/>
    <s v="さきしまいすみ"/>
  </r>
  <r>
    <n v="422"/>
    <x v="0"/>
    <s v="背黒晃彦"/>
    <x v="2"/>
    <x v="0"/>
    <x v="17"/>
    <x v="0"/>
    <n v="117"/>
    <n v="113"/>
    <n v="112"/>
    <n v="116"/>
    <n v="97"/>
    <n v="121"/>
    <n v="115"/>
    <n v="116"/>
    <n v="115"/>
    <n v="31"/>
    <n v="458"/>
    <n v="467"/>
    <n v="1053"/>
    <n v="214"/>
    <n v="326"/>
    <n v="112"/>
    <n v="230"/>
    <n v="237"/>
    <s v="せぐろあきひこ"/>
  </r>
  <r>
    <n v="423"/>
    <x v="0"/>
    <s v="赤間颯"/>
    <x v="2"/>
    <x v="2"/>
    <x v="17"/>
    <x v="0"/>
    <n v="112"/>
    <n v="110"/>
    <n v="114"/>
    <n v="120"/>
    <n v="101"/>
    <n v="110"/>
    <n v="121"/>
    <n v="119"/>
    <n v="120"/>
    <n v="41"/>
    <n v="456"/>
    <n v="470"/>
    <n v="1068"/>
    <n v="213"/>
    <n v="331"/>
    <n v="114"/>
    <n v="241"/>
    <n v="229"/>
    <s v="あかまそう"/>
  </r>
  <r>
    <n v="424"/>
    <x v="0"/>
    <s v="白峰周"/>
    <x v="0"/>
    <x v="1"/>
    <x v="18"/>
    <x v="0"/>
    <n v="117"/>
    <n v="121"/>
    <n v="123"/>
    <n v="121"/>
    <n v="101"/>
    <n v="119"/>
    <n v="119"/>
    <n v="118"/>
    <n v="117"/>
    <n v="41"/>
    <n v="482"/>
    <n v="473"/>
    <n v="1097"/>
    <n v="218"/>
    <n v="343"/>
    <n v="123"/>
    <n v="236"/>
    <n v="237"/>
    <s v="しらみねいたる"/>
  </r>
  <r>
    <n v="425"/>
    <x v="0"/>
    <s v="和倉久彦"/>
    <x v="0"/>
    <x v="0"/>
    <x v="18"/>
    <x v="0"/>
    <n v="115"/>
    <n v="116"/>
    <n v="112"/>
    <n v="122"/>
    <n v="97"/>
    <n v="121"/>
    <n v="116"/>
    <n v="116"/>
    <n v="116"/>
    <n v="36"/>
    <n v="465"/>
    <n v="469"/>
    <n v="1067"/>
    <n v="212"/>
    <n v="335"/>
    <n v="112"/>
    <n v="232"/>
    <n v="237"/>
    <s v="わくらひさひこ"/>
  </r>
  <r>
    <n v="426"/>
    <x v="0"/>
    <s v="金沢伊織"/>
    <x v="0"/>
    <x v="3"/>
    <x v="18"/>
    <x v="0"/>
    <n v="121"/>
    <n v="119"/>
    <n v="112"/>
    <n v="119"/>
    <n v="99"/>
    <n v="121"/>
    <n v="114"/>
    <n v="119"/>
    <n v="115"/>
    <n v="41"/>
    <n v="471"/>
    <n v="469"/>
    <n v="1080"/>
    <n v="220"/>
    <n v="337"/>
    <n v="112"/>
    <n v="229"/>
    <n v="240"/>
    <s v="かなざわいおり"/>
  </r>
  <r>
    <n v="427"/>
    <x v="0"/>
    <s v="志賀智也"/>
    <x v="0"/>
    <x v="0"/>
    <x v="18"/>
    <x v="0"/>
    <n v="118"/>
    <n v="115"/>
    <n v="112"/>
    <n v="117"/>
    <n v="97"/>
    <n v="119"/>
    <n v="114"/>
    <n v="115"/>
    <n v="114"/>
    <n v="36"/>
    <n v="462"/>
    <n v="462"/>
    <n v="1057"/>
    <n v="215"/>
    <n v="329"/>
    <n v="112"/>
    <n v="228"/>
    <n v="234"/>
    <s v="しがともなり"/>
  </r>
  <r>
    <n v="428"/>
    <x v="0"/>
    <s v="輪島友和"/>
    <x v="0"/>
    <x v="2"/>
    <x v="18"/>
    <x v="0"/>
    <n v="113"/>
    <n v="110"/>
    <n v="119"/>
    <n v="122"/>
    <n v="101"/>
    <n v="110"/>
    <n v="123"/>
    <n v="119"/>
    <n v="122"/>
    <n v="41"/>
    <n v="464"/>
    <n v="474"/>
    <n v="1080"/>
    <n v="214"/>
    <n v="333"/>
    <n v="119"/>
    <n v="245"/>
    <n v="229"/>
    <s v="わじまともかず"/>
  </r>
  <r>
    <n v="429"/>
    <x v="0"/>
    <s v="深谷謙朗"/>
    <x v="0"/>
    <x v="3"/>
    <x v="18"/>
    <x v="0"/>
    <n v="123"/>
    <n v="117"/>
    <n v="113"/>
    <n v="116"/>
    <n v="99"/>
    <n v="119"/>
    <n v="118"/>
    <n v="120"/>
    <n v="120"/>
    <n v="41"/>
    <n v="469"/>
    <n v="477"/>
    <n v="1086"/>
    <n v="222"/>
    <n v="332"/>
    <n v="113"/>
    <n v="238"/>
    <n v="239"/>
    <s v="ふかたにけんろう"/>
  </r>
  <r>
    <n v="430"/>
    <x v="0"/>
    <s v="山代総司"/>
    <x v="0"/>
    <x v="3"/>
    <x v="18"/>
    <x v="0"/>
    <n v="120"/>
    <n v="116"/>
    <n v="116"/>
    <n v="118"/>
    <n v="97"/>
    <n v="117"/>
    <n v="114"/>
    <n v="117"/>
    <n v="115"/>
    <n v="36"/>
    <n v="470"/>
    <n v="463"/>
    <n v="1066"/>
    <n v="217"/>
    <n v="331"/>
    <n v="116"/>
    <n v="229"/>
    <n v="234"/>
    <s v="やましろそうじ"/>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EB7769-741E-4D75-95EC-ADE9A29BC41D}" name="PivotChartTable1" cacheId="4" applyNumberFormats="0" applyBorderFormats="0" applyFontFormats="0" applyPatternFormats="0" applyAlignmentFormats="0" applyWidthHeightFormats="1" dataCaption="値" updatedVersion="8" minRefreshableVersion="3" useAutoFormatting="1" subtotalHiddenItems="1" itemPrintTitles="1" createdVersion="5" indent="0" outline="1" outlineData="1" multipleFieldFilters="0" chartFormat="30">
  <location ref="A5:L25" firstHeaderRow="0" firstDataRow="1" firstDataCol="1" rowPageCount="3" colPageCount="1"/>
  <pivotFields count="15">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hideNewItems="1" sortType="descending" defaultSubtotal="0" defaultAttributeDrillState="1">
      <items count="19">
        <item x="0"/>
        <item x="1"/>
        <item x="2"/>
        <item x="3"/>
        <item x="4"/>
        <item x="5"/>
        <item x="6"/>
        <item x="7"/>
        <item x="8"/>
        <item x="9"/>
        <item x="10"/>
        <item x="11"/>
        <item x="12"/>
        <item x="13"/>
        <item x="14"/>
        <item x="15"/>
        <item x="16"/>
        <item x="17"/>
        <item x="18"/>
      </items>
      <autoSortScope>
        <pivotArea dataOnly="0" outline="0" fieldPosition="0">
          <references count="1">
            <reference field="4294967294" count="1" selected="0">
              <x v="10"/>
            </reference>
          </references>
        </pivotArea>
      </autoSortScope>
    </pivotField>
  </pivotFields>
  <rowFields count="1">
    <field x="14"/>
  </rowFields>
  <rowItems count="20">
    <i>
      <x v="4"/>
    </i>
    <i>
      <x v="1"/>
    </i>
    <i>
      <x v="16"/>
    </i>
    <i>
      <x v="18"/>
    </i>
    <i>
      <x v="2"/>
    </i>
    <i>
      <x v="11"/>
    </i>
    <i>
      <x v="14"/>
    </i>
    <i>
      <x v="15"/>
    </i>
    <i>
      <x v="7"/>
    </i>
    <i>
      <x/>
    </i>
    <i>
      <x v="17"/>
    </i>
    <i>
      <x v="10"/>
    </i>
    <i>
      <x v="9"/>
    </i>
    <i>
      <x v="13"/>
    </i>
    <i>
      <x v="5"/>
    </i>
    <i>
      <x v="3"/>
    </i>
    <i>
      <x v="6"/>
    </i>
    <i>
      <x v="12"/>
    </i>
    <i>
      <x v="8"/>
    </i>
    <i t="grand">
      <x/>
    </i>
  </rowItems>
  <colFields count="1">
    <field x="-2"/>
  </colFields>
  <colItems count="11">
    <i>
      <x/>
    </i>
    <i i="1">
      <x v="1"/>
    </i>
    <i i="2">
      <x v="2"/>
    </i>
    <i i="3">
      <x v="3"/>
    </i>
    <i i="4">
      <x v="4"/>
    </i>
    <i i="5">
      <x v="5"/>
    </i>
    <i i="6">
      <x v="6"/>
    </i>
    <i i="7">
      <x v="7"/>
    </i>
    <i i="8">
      <x v="8"/>
    </i>
    <i i="9">
      <x v="9"/>
    </i>
    <i i="10">
      <x v="10"/>
    </i>
  </colItems>
  <pageFields count="3">
    <pageField fld="0" hier="1" name="[Q_Stat].[服装].&amp;[ユニフォーム]" cap="ユニフォーム"/>
    <pageField fld="1" hier="6" name="[Q_Stat].[レアリティ].&amp;[ICONIC]" cap="ICONIC"/>
    <pageField fld="3" hier="4" name="[Q_Stat].[ポジション].[All]" cap="All"/>
  </pageFields>
  <dataFields count="11">
    <dataField fld="2" subtotal="count" baseField="0" baseItem="0"/>
    <dataField fld="4" subtotal="count" baseField="0" baseItem="0"/>
    <dataField fld="5" subtotal="count" baseField="0" baseItem="0"/>
    <dataField fld="6" subtotal="count" baseField="0" baseItem="0"/>
    <dataField fld="7" subtotal="count" baseField="0" baseItem="0"/>
    <dataField fld="8" subtotal="count" baseField="0" baseItem="0"/>
    <dataField fld="12" subtotal="count" baseField="0" baseItem="0"/>
    <dataField fld="9" subtotal="count" baseField="0" baseItem="0"/>
    <dataField fld="10" subtotal="count" baseField="0" baseItem="0"/>
    <dataField fld="11" subtotal="count" baseField="0" baseItem="0"/>
    <dataField fld="13" subtotal="count" baseField="0" baseItem="0"/>
  </dataFields>
  <chartFormats count="11">
    <chartFormat chart="26" format="13" series="1">
      <pivotArea type="data" outline="0" fieldPosition="0">
        <references count="1">
          <reference field="4294967294" count="1" selected="0">
            <x v="0"/>
          </reference>
        </references>
      </pivotArea>
    </chartFormat>
    <chartFormat chart="26" format="14" series="1">
      <pivotArea type="data" outline="0" fieldPosition="0">
        <references count="1">
          <reference field="4294967294" count="1" selected="0">
            <x v="1"/>
          </reference>
        </references>
      </pivotArea>
    </chartFormat>
    <chartFormat chart="26" format="15" series="1">
      <pivotArea type="data" outline="0" fieldPosition="0">
        <references count="1">
          <reference field="4294967294" count="1" selected="0">
            <x v="2"/>
          </reference>
        </references>
      </pivotArea>
    </chartFormat>
    <chartFormat chart="26" format="16" series="1">
      <pivotArea type="data" outline="0" fieldPosition="0">
        <references count="1">
          <reference field="4294967294" count="1" selected="0">
            <x v="3"/>
          </reference>
        </references>
      </pivotArea>
    </chartFormat>
    <chartFormat chart="26" format="17" series="1">
      <pivotArea type="data" outline="0" fieldPosition="0">
        <references count="1">
          <reference field="4294967294" count="1" selected="0">
            <x v="4"/>
          </reference>
        </references>
      </pivotArea>
    </chartFormat>
    <chartFormat chart="26" format="18" series="1">
      <pivotArea type="data" outline="0" fieldPosition="0">
        <references count="1">
          <reference field="4294967294" count="1" selected="0">
            <x v="5"/>
          </reference>
        </references>
      </pivotArea>
    </chartFormat>
    <chartFormat chart="26" format="19" series="1">
      <pivotArea type="data" outline="0" fieldPosition="0">
        <references count="1">
          <reference field="4294967294" count="1" selected="0">
            <x v="6"/>
          </reference>
        </references>
      </pivotArea>
    </chartFormat>
    <chartFormat chart="26" format="20" series="1">
      <pivotArea type="data" outline="0" fieldPosition="0">
        <references count="1">
          <reference field="4294967294" count="1" selected="0">
            <x v="7"/>
          </reference>
        </references>
      </pivotArea>
    </chartFormat>
    <chartFormat chart="26" format="21" series="1">
      <pivotArea type="data" outline="0" fieldPosition="0">
        <references count="1">
          <reference field="4294967294" count="1" selected="0">
            <x v="8"/>
          </reference>
        </references>
      </pivotArea>
    </chartFormat>
    <chartFormat chart="26" format="22" series="1">
      <pivotArea type="data" outline="0" fieldPosition="0">
        <references count="1">
          <reference field="4294967294" count="1" selected="0">
            <x v="9"/>
          </reference>
        </references>
      </pivotArea>
    </chartFormat>
    <chartFormat chart="26" format="23" series="1">
      <pivotArea type="data" outline="0" fieldPosition="0">
        <references count="1">
          <reference field="4294967294" count="1" selected="0">
            <x v="10"/>
          </reference>
        </references>
      </pivotArea>
    </chartFormat>
  </chartFormats>
  <pivotHierarchies count="41">
    <pivotHierarchy dragToData="1"/>
    <pivotHierarchy multipleItemSelectionAllowed="1" dragToData="1">
      <members count="1" level="1">
        <member name="[Q_Stat].[服装].&amp;[ユニフォーム]"/>
      </members>
    </pivotHierarchy>
    <pivotHierarchy dragToData="1"/>
    <pivotHierarchy dragToData="1"/>
    <pivotHierarchy multipleItemSelectionAllowed="1" dragToData="1"/>
    <pivotHierarchy dragToData="1"/>
    <pivotHierarchy multipleItemSelectionAllowed="1" dragToData="1">
      <members count="1" level="1">
        <member name="[Q_Stat].[レアリティ].&amp;[ICONIC]"/>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pivotHierarchies>
  <rowHierarchiesUsage count="1">
    <rowHierarchyUsage hierarchyUsage="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2">
        <x15:serverFormat format="0.00"/>
        <x15:serverFormat format=""/>
      </x15:pivotTableServerFormats>
    </ext>
    <ext xmlns:x15="http://schemas.microsoft.com/office/spreadsheetml/2010/11/main" uri="{44433962-1CF7-4059-B4EE-95C3D5FFCF73}">
      <x15:pivotTableData rowCount="20" columnCount="11" cacheId="167432009">
        <x15:pivotRow count="11">
          <x15:c>
            <x15:v>127.5</x15:v>
            <x15:x in="0"/>
          </x15:c>
          <x15:c>
            <x15:v>123.5</x15:v>
            <x15:x in="1"/>
          </x15:c>
          <x15:c>
            <x15:v>113.5</x15:v>
            <x15:x in="1"/>
          </x15:c>
          <x15:c>
            <x15:v>121</x15:v>
            <x15:x in="1"/>
          </x15:c>
          <x15:c>
            <x15:v>101</x15:v>
            <x15:x in="1"/>
          </x15:c>
          <x15:c>
            <x15:v>124.5</x15:v>
            <x15:x in="1"/>
          </x15:c>
          <x15:c>
            <x15:v>120.5</x15:v>
            <x15:x in="1"/>
          </x15:c>
          <x15:c>
            <x15:v>116.5</x15:v>
            <x15:x in="1"/>
          </x15:c>
          <x15:c>
            <x15:v>119</x15:v>
            <x15:x in="1"/>
          </x15:c>
          <x15:c>
            <x15:v>38.5</x15:v>
            <x15:x in="1"/>
          </x15:c>
          <x15:c>
            <x15:v>1105.5</x15:v>
            <x15:x in="1"/>
          </x15:c>
        </x15:pivotRow>
        <x15:pivotRow count="11">
          <x15:c>
            <x15:v>122</x15:v>
            <x15:x in="0"/>
          </x15:c>
          <x15:c>
            <x15:v>118.5</x15:v>
            <x15:x in="1"/>
          </x15:c>
          <x15:c>
            <x15:v>116.5</x15:v>
            <x15:x in="1"/>
          </x15:c>
          <x15:c>
            <x15:v>122.5</x15:v>
            <x15:x in="1"/>
          </x15:c>
          <x15:c>
            <x15:v>101</x15:v>
            <x15:x in="1"/>
          </x15:c>
          <x15:c>
            <x15:v>114</x15:v>
            <x15:x in="1"/>
          </x15:c>
          <x15:c>
            <x15:v>117.5</x15:v>
            <x15:x in="1"/>
          </x15:c>
          <x15:c>
            <x15:v>127</x15:v>
            <x15:x in="1"/>
          </x15:c>
          <x15:c>
            <x15:v>120.5</x15:v>
            <x15:x in="1"/>
          </x15:c>
          <x15:c>
            <x15:v>38.5</x15:v>
            <x15:x in="1"/>
          </x15:c>
          <x15:c>
            <x15:v>1098</x15:v>
            <x15:x in="1"/>
          </x15:c>
        </x15:pivotRow>
        <x15:pivotRow count="11">
          <x15:c>
            <x15:v>123</x15:v>
            <x15:x in="0"/>
          </x15:c>
          <x15:c>
            <x15:v>120</x15:v>
            <x15:x in="1"/>
          </x15:c>
          <x15:c>
            <x15:v>116</x15:v>
            <x15:x in="1"/>
          </x15:c>
          <x15:c>
            <x15:v>122</x15:v>
            <x15:x in="1"/>
          </x15:c>
          <x15:c>
            <x15:v>101</x15:v>
            <x15:x in="1"/>
          </x15:c>
          <x15:c>
            <x15:v>117.5</x15:v>
            <x15:x in="1"/>
          </x15:c>
          <x15:c>
            <x15:v>118</x15:v>
            <x15:x in="1"/>
          </x15:c>
          <x15:c>
            <x15:v>117</x15:v>
            <x15:x in="1"/>
          </x15:c>
          <x15:c>
            <x15:v>119</x15:v>
            <x15:x in="1"/>
          </x15:c>
          <x15:c>
            <x15:v>36</x15:v>
            <x15:x in="1"/>
          </x15:c>
          <x15:c>
            <x15:v>1089.5</x15:v>
            <x15:x in="1"/>
          </x15:c>
        </x15:pivotRow>
        <x15:pivotRow count="11">
          <x15:c>
            <x15:v>121</x15:v>
            <x15:x in="0"/>
          </x15:c>
          <x15:c>
            <x15:v>119</x15:v>
            <x15:x in="1"/>
          </x15:c>
          <x15:c>
            <x15:v>114</x15:v>
            <x15:x in="1"/>
          </x15:c>
          <x15:c>
            <x15:v>121</x15:v>
            <x15:x in="1"/>
          </x15:c>
          <x15:c>
            <x15:v>101</x15:v>
            <x15:x in="1"/>
          </x15:c>
          <x15:c>
            <x15:v>118</x15:v>
            <x15:x in="1"/>
          </x15:c>
          <x15:c>
            <x15:v>119</x15:v>
            <x15:x in="1"/>
          </x15:c>
          <x15:c>
            <x15:v>121</x15:v>
            <x15:x in="1"/>
          </x15:c>
          <x15:c>
            <x15:v>119</x15:v>
            <x15:x in="1"/>
          </x15:c>
          <x15:c>
            <x15:v>36</x15:v>
            <x15:x in="1"/>
          </x15:c>
          <x15:c>
            <x15:v>1089</x15:v>
            <x15:x in="1"/>
          </x15:c>
        </x15:pivotRow>
        <x15:pivotRow count="11">
          <x15:c>
            <x15:v>122</x15:v>
            <x15:x in="0"/>
          </x15:c>
          <x15:c>
            <x15:v>119</x15:v>
            <x15:x in="1"/>
          </x15:c>
          <x15:c>
            <x15:v>114</x15:v>
            <x15:x in="1"/>
          </x15:c>
          <x15:c>
            <x15:v>120</x15:v>
            <x15:x in="1"/>
          </x15:c>
          <x15:c>
            <x15:v>101</x15:v>
            <x15:x in="1"/>
          </x15:c>
          <x15:c>
            <x15:v>117</x15:v>
            <x15:x in="1"/>
          </x15:c>
          <x15:c>
            <x15:v>118</x15:v>
            <x15:x in="1"/>
          </x15:c>
          <x15:c>
            <x15:v>117</x15:v>
            <x15:x in="1"/>
          </x15:c>
          <x15:c>
            <x15:v>118</x15:v>
            <x15:x in="1"/>
          </x15:c>
          <x15:c>
            <x15:v>36</x15:v>
            <x15:x in="1"/>
          </x15:c>
          <x15:c>
            <x15:v>1082</x15:v>
            <x15:x in="1"/>
          </x15:c>
        </x15:pivotRow>
        <x15:pivotRow count="11">
          <x15:c>
            <x15:v>118</x15:v>
            <x15:x in="0"/>
          </x15:c>
          <x15:c>
            <x15:v>117</x15:v>
            <x15:x in="1"/>
          </x15:c>
          <x15:c>
            <x15:v>116</x15:v>
            <x15:x in="1"/>
          </x15:c>
          <x15:c>
            <x15:v>119</x15:v>
            <x15:x in="1"/>
          </x15:c>
          <x15:c>
            <x15:v>101</x15:v>
            <x15:x in="1"/>
          </x15:c>
          <x15:c>
            <x15:v>119</x15:v>
            <x15:x in="1"/>
          </x15:c>
          <x15:c>
            <x15:v>118</x15:v>
            <x15:x in="1"/>
          </x15:c>
          <x15:c>
            <x15:v>115</x15:v>
            <x15:x in="1"/>
          </x15:c>
          <x15:c>
            <x15:v>117</x15:v>
            <x15:x in="1"/>
          </x15:c>
          <x15:c>
            <x15:v>41</x15:v>
            <x15:x in="1"/>
          </x15:c>
          <x15:c>
            <x15:v>1081</x15:v>
            <x15:x in="1"/>
          </x15:c>
        </x15:pivotRow>
        <x15:pivotRow count="11">
          <x15:c>
            <x15:v>118</x15:v>
            <x15:x in="0"/>
          </x15:c>
          <x15:c>
            <x15:v>116</x15:v>
            <x15:x in="1"/>
          </x15:c>
          <x15:c>
            <x15:v>113</x15:v>
            <x15:x in="1"/>
          </x15:c>
          <x15:c>
            <x15:v>119</x15:v>
            <x15:x in="1"/>
          </x15:c>
          <x15:c>
            <x15:v>99</x15:v>
            <x15:x in="1"/>
          </x15:c>
          <x15:c>
            <x15:v>119</x15:v>
            <x15:x in="1"/>
          </x15:c>
          <x15:c>
            <x15:v>118</x15:v>
            <x15:x in="1"/>
          </x15:c>
          <x15:c>
            <x15:v>116</x15:v>
            <x15:x in="1"/>
          </x15:c>
          <x15:c>
            <x15:v>116</x15:v>
            <x15:x in="1"/>
          </x15:c>
          <x15:c>
            <x15:v>41</x15:v>
            <x15:x in="1"/>
          </x15:c>
          <x15:c>
            <x15:v>1075</x15:v>
            <x15:x in="1"/>
          </x15:c>
        </x15:pivotRow>
        <x15:pivotRow count="11">
          <x15:c>
            <x15:v>118</x15:v>
            <x15:x in="0"/>
          </x15:c>
          <x15:c>
            <x15:v>116</x15:v>
            <x15:x in="1"/>
          </x15:c>
          <x15:c>
            <x15:v>112</x15:v>
            <x15:x in="1"/>
          </x15:c>
          <x15:c>
            <x15:v>119</x15:v>
            <x15:x in="1"/>
          </x15:c>
          <x15:c>
            <x15:v>101</x15:v>
            <x15:x in="1"/>
          </x15:c>
          <x15:c>
            <x15:v>117</x15:v>
            <x15:x in="1"/>
          </x15:c>
          <x15:c>
            <x15:v>118</x15:v>
            <x15:x in="1"/>
          </x15:c>
          <x15:c>
            <x15:v>117</x15:v>
            <x15:x in="1"/>
          </x15:c>
          <x15:c>
            <x15:v>117</x15:v>
            <x15:x in="1"/>
          </x15:c>
          <x15:c>
            <x15:v>36</x15:v>
            <x15:x in="1"/>
          </x15:c>
          <x15:c>
            <x15:v>1071</x15:v>
            <x15:x in="1"/>
          </x15:c>
        </x15:pivotRow>
        <x15:pivotRow count="11">
          <x15:c>
            <x15:v>119</x15:v>
            <x15:x in="0"/>
          </x15:c>
          <x15:c>
            <x15:v>117</x15:v>
            <x15:x in="1"/>
          </x15:c>
          <x15:c>
            <x15:v>114</x15:v>
            <x15:x in="1"/>
          </x15:c>
          <x15:c>
            <x15:v>120.5</x15:v>
            <x15:x in="1"/>
          </x15:c>
          <x15:c>
            <x15:v>97</x15:v>
            <x15:x in="1"/>
          </x15:c>
          <x15:c>
            <x15:v>116.5</x15:v>
            <x15:x in="1"/>
          </x15:c>
          <x15:c>
            <x15:v>118.5</x15:v>
            <x15:x in="1"/>
          </x15:c>
          <x15:c>
            <x15:v>115.5</x15:v>
            <x15:x in="1"/>
          </x15:c>
          <x15:c>
            <x15:v>117</x15:v>
            <x15:x in="1"/>
          </x15:c>
          <x15:c>
            <x15:v>36</x15:v>
            <x15:x in="1"/>
          </x15:c>
          <x15:c>
            <x15:v>1071</x15:v>
            <x15:x in="1"/>
          </x15:c>
        </x15:pivotRow>
        <x15:pivotRow count="11">
          <x15:c>
            <x15:v>121</x15:v>
            <x15:x in="0"/>
          </x15:c>
          <x15:c>
            <x15:v>117</x15:v>
            <x15:x in="1"/>
          </x15:c>
          <x15:c>
            <x15:v>112</x15:v>
            <x15:x in="1"/>
          </x15:c>
          <x15:c>
            <x15:v>121</x15:v>
            <x15:x in="1"/>
          </x15:c>
          <x15:c>
            <x15:v>97</x15:v>
            <x15:x in="1"/>
          </x15:c>
          <x15:c>
            <x15:v>122</x15:v>
            <x15:x in="1"/>
          </x15:c>
          <x15:c>
            <x15:v>116</x15:v>
            <x15:x in="1"/>
          </x15:c>
          <x15:c>
            <x15:v>115</x15:v>
            <x15:x in="1"/>
          </x15:c>
          <x15:c>
            <x15:v>118.5</x15:v>
            <x15:x in="1"/>
          </x15:c>
          <x15:c>
            <x15:v>31</x15:v>
            <x15:x in="1"/>
          </x15:c>
          <x15:c>
            <x15:v>1070.5</x15:v>
            <x15:x in="1"/>
          </x15:c>
        </x15:pivotRow>
        <x15:pivotRow count="11">
          <x15:c>
            <x15:v>119</x15:v>
            <x15:x in="0"/>
          </x15:c>
          <x15:c>
            <x15:v>116</x15:v>
            <x15:x in="1"/>
          </x15:c>
          <x15:c>
            <x15:v>113</x15:v>
            <x15:x in="1"/>
          </x15:c>
          <x15:c>
            <x15:v>120</x15:v>
            <x15:x in="1"/>
          </x15:c>
          <x15:c>
            <x15:v>97</x15:v>
            <x15:x in="1"/>
          </x15:c>
          <x15:c>
            <x15:v>116</x15:v>
            <x15:x in="1"/>
          </x15:c>
          <x15:c>
            <x15:v>118</x15:v>
            <x15:x in="1"/>
          </x15:c>
          <x15:c>
            <x15:v>116</x15:v>
            <x15:x in="1"/>
          </x15:c>
          <x15:c>
            <x15:v>118</x15:v>
            <x15:x in="1"/>
          </x15:c>
          <x15:c>
            <x15:v>36</x15:v>
            <x15:x in="1"/>
          </x15:c>
          <x15:c>
            <x15:v>1069</x15:v>
            <x15:x in="1"/>
          </x15:c>
        </x15:pivotRow>
        <x15:pivotRow count="11">
          <x15:c>
            <x15:v>117</x15:v>
            <x15:x in="0"/>
          </x15:c>
          <x15:c>
            <x15:v>118</x15:v>
            <x15:x in="1"/>
          </x15:c>
          <x15:c>
            <x15:v>117</x15:v>
            <x15:x in="1"/>
          </x15:c>
          <x15:c>
            <x15:v>118</x15:v>
            <x15:x in="1"/>
          </x15:c>
          <x15:c>
            <x15:v>97</x15:v>
            <x15:x in="1"/>
          </x15:c>
          <x15:c>
            <x15:v>116</x15:v>
            <x15:x in="1"/>
          </x15:c>
          <x15:c>
            <x15:v>116</x15:v>
            <x15:x in="1"/>
          </x15:c>
          <x15:c>
            <x15:v>117</x15:v>
            <x15:x in="1"/>
          </x15:c>
          <x15:c>
            <x15:v>117</x15:v>
            <x15:x in="1"/>
          </x15:c>
          <x15:c>
            <x15:v>36</x15:v>
            <x15:x in="1"/>
          </x15:c>
          <x15:c>
            <x15:v>1069</x15:v>
            <x15:x in="1"/>
          </x15:c>
        </x15:pivotRow>
        <x15:pivotRow count="11">
          <x15:c>
            <x15:v>117</x15:v>
            <x15:x in="0"/>
          </x15:c>
          <x15:c>
            <x15:v>115</x15:v>
            <x15:x in="1"/>
          </x15:c>
          <x15:c>
            <x15:v>113</x15:v>
            <x15:x in="1"/>
          </x15:c>
          <x15:c>
            <x15:v>120</x15:v>
            <x15:x in="1"/>
          </x15:c>
          <x15:c>
            <x15:v>97</x15:v>
            <x15:x in="1"/>
          </x15:c>
          <x15:c>
            <x15:v>115</x15:v>
            <x15:x in="1"/>
          </x15:c>
          <x15:c>
            <x15:v>117</x15:v>
            <x15:x in="1"/>
          </x15:c>
          <x15:c>
            <x15:v>115</x15:v>
            <x15:x in="1"/>
          </x15:c>
          <x15:c>
            <x15:v>117</x15:v>
            <x15:x in="1"/>
          </x15:c>
          <x15:c>
            <x15:v>41</x15:v>
            <x15:x in="1"/>
          </x15:c>
          <x15:c>
            <x15:v>1067</x15:v>
            <x15:x in="1"/>
          </x15:c>
        </x15:pivotRow>
        <x15:pivotRow count="11">
          <x15:c>
            <x15:v>117.5</x15:v>
            <x15:x in="0"/>
          </x15:c>
          <x15:c>
            <x15:v>116</x15:v>
            <x15:x in="1"/>
          </x15:c>
          <x15:c>
            <x15:v>114</x15:v>
            <x15:x in="1"/>
          </x15:c>
          <x15:c>
            <x15:v>120.5</x15:v>
            <x15:x in="1"/>
          </x15:c>
          <x15:c>
            <x15:v>97</x15:v>
            <x15:x in="1"/>
          </x15:c>
          <x15:c>
            <x15:v>117</x15:v>
            <x15:x in="1"/>
          </x15:c>
          <x15:c>
            <x15:v>116.5</x15:v>
            <x15:x in="1"/>
          </x15:c>
          <x15:c>
            <x15:v>116</x15:v>
            <x15:x in="1"/>
          </x15:c>
          <x15:c>
            <x15:v>116</x15:v>
            <x15:x in="1"/>
          </x15:c>
          <x15:c>
            <x15:v>31</x15:v>
            <x15:x in="1"/>
          </x15:c>
          <x15:c>
            <x15:v>1061.5</x15:v>
            <x15:x in="1"/>
          </x15:c>
        </x15:pivotRow>
        <x15:pivotRow count="11">
          <x15:c>
            <x15:v>117</x15:v>
            <x15:x in="0"/>
          </x15:c>
          <x15:c>
            <x15:v>114.5</x15:v>
            <x15:x in="1"/>
          </x15:c>
          <x15:c>
            <x15:v>114</x15:v>
            <x15:x in="1"/>
          </x15:c>
          <x15:c>
            <x15:v>120.5</x15:v>
            <x15:x in="1"/>
          </x15:c>
          <x15:c>
            <x15:v>99</x15:v>
            <x15:x in="1"/>
          </x15:c>
          <x15:c>
            <x15:v>115</x15:v>
            <x15:x in="1"/>
          </x15:c>
          <x15:c>
            <x15:v>115.5</x15:v>
            <x15:x in="1"/>
          </x15:c>
          <x15:c>
            <x15:v>116.5</x15:v>
            <x15:x in="1"/>
          </x15:c>
          <x15:c>
            <x15:v>115</x15:v>
            <x15:x in="1"/>
          </x15:c>
          <x15:c>
            <x15:v>34.5</x15:v>
            <x15:x in="1"/>
          </x15:c>
          <x15:c>
            <x15:v>1061.5</x15:v>
            <x15:x in="1"/>
          </x15:c>
        </x15:pivotRow>
        <x15:pivotRow count="11">
          <x15:c>
            <x15:v>116.5</x15:v>
            <x15:x in="0"/>
          </x15:c>
          <x15:c>
            <x15:v>116</x15:v>
            <x15:x in="1"/>
          </x15:c>
          <x15:c>
            <x15:v>113</x15:v>
            <x15:x in="1"/>
          </x15:c>
          <x15:c>
            <x15:v>121.5</x15:v>
            <x15:x in="1"/>
          </x15:c>
          <x15:c>
            <x15:v>100</x15:v>
            <x15:x in="1"/>
          </x15:c>
          <x15:c>
            <x15:v>116</x15:v>
            <x15:x in="1"/>
          </x15:c>
          <x15:c>
            <x15:v>115</x15:v>
            <x15:x in="1"/>
          </x15:c>
          <x15:c>
            <x15:v>116.5</x15:v>
            <x15:x in="1"/>
          </x15:c>
          <x15:c>
            <x15:v>115</x15:v>
            <x15:x in="1"/>
          </x15:c>
          <x15:c>
            <x15:v>31</x15:v>
            <x15:x in="1"/>
          </x15:c>
          <x15:c>
            <x15:v>1060.5</x15:v>
            <x15:x in="1"/>
          </x15:c>
        </x15:pivotRow>
        <x15:pivotRow count="11">
          <x15:c>
            <x15:v>118</x15:v>
            <x15:x in="0"/>
          </x15:c>
          <x15:c>
            <x15:v>116</x15:v>
            <x15:x in="1"/>
          </x15:c>
          <x15:c>
            <x15:v>114</x15:v>
            <x15:x in="1"/>
          </x15:c>
          <x15:c>
            <x15:v>120</x15:v>
            <x15:x in="1"/>
          </x15:c>
          <x15:c>
            <x15:v>97</x15:v>
            <x15:x in="1"/>
          </x15:c>
          <x15:c>
            <x15:v>116</x15:v>
            <x15:x in="1"/>
          </x15:c>
          <x15:c>
            <x15:v>117</x15:v>
            <x15:x in="1"/>
          </x15:c>
          <x15:c>
            <x15:v>115</x15:v>
            <x15:x in="1"/>
          </x15:c>
          <x15:c>
            <x15:v>116</x15:v>
            <x15:x in="1"/>
          </x15:c>
          <x15:c>
            <x15:v>31</x15:v>
            <x15:x in="1"/>
          </x15:c>
          <x15:c>
            <x15:v>1060</x15:v>
            <x15:x in="1"/>
          </x15:c>
        </x15:pivotRow>
        <x15:pivotRow count="11">
          <x15:c>
            <x15:v>118</x15:v>
            <x15:x in="0"/>
          </x15:c>
          <x15:c>
            <x15:v>116</x15:v>
            <x15:x in="1"/>
          </x15:c>
          <x15:c>
            <x15:v>114</x15:v>
            <x15:x in="1"/>
          </x15:c>
          <x15:c>
            <x15:v>119</x15:v>
            <x15:x in="1"/>
          </x15:c>
          <x15:c>
            <x15:v>97</x15:v>
            <x15:x in="1"/>
          </x15:c>
          <x15:c>
            <x15:v>115</x15:v>
            <x15:x in="1"/>
          </x15:c>
          <x15:c>
            <x15:v>116</x15:v>
            <x15:x in="1"/>
          </x15:c>
          <x15:c>
            <x15:v>115</x15:v>
            <x15:x in="1"/>
          </x15:c>
          <x15:c>
            <x15:v>116</x15:v>
            <x15:x in="1"/>
          </x15:c>
          <x15:c>
            <x15:v>31</x15:v>
            <x15:x in="1"/>
          </x15:c>
          <x15:c>
            <x15:v>1057</x15:v>
            <x15:x in="1"/>
          </x15:c>
        </x15:pivotRow>
        <x15:pivotRow count="11">
          <x15:c>
            <x15:v>117</x15:v>
            <x15:x in="0"/>
          </x15:c>
          <x15:c>
            <x15:v>115</x15:v>
            <x15:x in="1"/>
          </x15:c>
          <x15:c>
            <x15:v>114</x15:v>
            <x15:x in="1"/>
          </x15:c>
          <x15:c>
            <x15:v>119</x15:v>
            <x15:x in="1"/>
          </x15:c>
          <x15:c>
            <x15:v>97</x15:v>
            <x15:x in="1"/>
          </x15:c>
          <x15:c>
            <x15:v>116</x15:v>
            <x15:x in="1"/>
          </x15:c>
          <x15:c>
            <x15:v>116</x15:v>
            <x15:x in="1"/>
          </x15:c>
          <x15:c>
            <x15:v>116</x15:v>
            <x15:x in="1"/>
          </x15:c>
          <x15:c>
            <x15:v>116</x15:v>
            <x15:x in="1"/>
          </x15:c>
          <x15:c>
            <x15:v>31</x15:v>
            <x15:x in="1"/>
          </x15:c>
          <x15:c>
            <x15:v>1057</x15:v>
            <x15:x in="1"/>
          </x15:c>
        </x15:pivotRow>
        <x15:pivotRow count="11">
          <x15:c>
            <x15:v>118</x15:v>
            <x15:x in="0"/>
          </x15:c>
          <x15:c>
            <x15:v>117</x15:v>
            <x15:x in="1"/>
          </x15:c>
          <x15:c>
            <x15:v>114</x15:v>
            <x15:x in="1"/>
          </x15:c>
          <x15:c>
            <x15:v>120</x15:v>
            <x15:x in="1"/>
          </x15:c>
          <x15:c>
            <x15:v>97</x15:v>
            <x15:x in="1"/>
          </x15:c>
          <x15:c>
            <x15:v>117</x15:v>
            <x15:x in="1"/>
          </x15:c>
          <x15:c>
            <x15:v>116</x15:v>
            <x15:x in="1"/>
          </x15:c>
          <x15:c>
            <x15:v>116</x15:v>
            <x15:x in="1"/>
          </x15:c>
          <x15:c>
            <x15:v>117</x15:v>
            <x15:x in="1"/>
          </x15:c>
          <x15:c>
            <x15:v>36</x15:v>
            <x15:x in="1"/>
          </x15:c>
          <x15:c>
            <x15:v>1068</x15:v>
            <x15:x in="1"/>
          </x15:c>
        </x15:pivotRow>
      </x15:pivotTableData>
    </ext>
    <ext xmlns:x15="http://schemas.microsoft.com/office/spreadsheetml/2010/11/main" uri="{E67621CE-5B39-4880-91FE-76760E9C1902}">
      <x15:pivotTableUISettings>
        <x15:activeTabTopLevelEntity name="[Q_Sta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EF8A4B-5C3F-45C7-8D60-5DB49A691FFF}" name="P_Stat" cacheId="12" applyNumberFormats="0" applyBorderFormats="0" applyFontFormats="0" applyPatternFormats="0" applyAlignmentFormats="0" applyWidthHeightFormats="1" dataCaption="値" updatedVersion="8" minRefreshableVersion="3" useAutoFormatting="1" colGrandTotals="0" itemPrintTitles="1" createdVersion="8" indent="0" outline="1" outlineData="1" multipleFieldFilters="0" chartFormat="23">
  <location ref="B47:M67" firstHeaderRow="0" firstDataRow="1" firstDataCol="1" rowPageCount="4" colPageCount="1"/>
  <pivotFields count="26">
    <pivotField showAll="0"/>
    <pivotField axis="axisPage" showAll="0">
      <items count="51">
        <item x="29"/>
        <item x="0"/>
        <item x="2"/>
        <item x="15"/>
        <item x="14"/>
        <item x="1"/>
        <item x="36"/>
        <item x="30"/>
        <item x="48"/>
        <item x="10"/>
        <item x="25"/>
        <item x="3"/>
        <item x="21"/>
        <item x="35"/>
        <item x="26"/>
        <item x="39"/>
        <item x="23"/>
        <item x="32"/>
        <item x="38"/>
        <item x="16"/>
        <item x="4"/>
        <item x="22"/>
        <item x="27"/>
        <item x="45"/>
        <item x="47"/>
        <item x="5"/>
        <item x="24"/>
        <item x="33"/>
        <item x="43"/>
        <item x="31"/>
        <item x="6"/>
        <item x="11"/>
        <item x="12"/>
        <item x="17"/>
        <item x="37"/>
        <item x="40"/>
        <item x="44"/>
        <item x="46"/>
        <item x="41"/>
        <item x="34"/>
        <item x="18"/>
        <item x="7"/>
        <item x="13"/>
        <item x="28"/>
        <item x="19"/>
        <item x="8"/>
        <item x="49"/>
        <item x="9"/>
        <item x="20"/>
        <item x="42"/>
        <item t="default"/>
      </items>
    </pivotField>
    <pivotField showAll="0"/>
    <pivotField axis="axisPage" showAll="0">
      <items count="4">
        <item x="1"/>
        <item x="0"/>
        <item x="2"/>
        <item t="default"/>
      </items>
    </pivotField>
    <pivotField axis="axisPage" showAll="0">
      <items count="5">
        <item x="2"/>
        <item x="0"/>
        <item x="1"/>
        <item x="3"/>
        <item t="default"/>
      </items>
    </pivotField>
    <pivotField axis="axisRow" showAll="0">
      <items count="20">
        <item sd="0" x="15"/>
        <item sd="0" x="16"/>
        <item sd="0" x="9"/>
        <item sd="0" x="13"/>
        <item sd="0" x="12"/>
        <item x="18"/>
        <item sd="0" x="14"/>
        <item sd="0" x="17"/>
        <item sd="0" x="2"/>
        <item sd="0" x="0"/>
        <item sd="0" x="7"/>
        <item sd="0" x="10"/>
        <item sd="0" x="3"/>
        <item sd="0" x="1"/>
        <item sd="0" x="8"/>
        <item x="11"/>
        <item sd="0" x="5"/>
        <item sd="0" x="6"/>
        <item sd="0" x="4"/>
        <item t="default" sd="0"/>
      </items>
    </pivotField>
    <pivotField axis="axisPage" showAll="0">
      <items count="3">
        <item x="0"/>
        <item x="1"/>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dataField="1" showAll="0"/>
    <pivotField showAll="0"/>
    <pivotField showAll="0"/>
    <pivotField showAll="0"/>
    <pivotField showAll="0"/>
    <pivotField showAll="0"/>
    <pivotField showAll="0"/>
  </pivotFields>
  <rowFields count="1">
    <field x="5"/>
  </rowFields>
  <rowItems count="20">
    <i>
      <x/>
    </i>
    <i>
      <x v="1"/>
    </i>
    <i>
      <x v="2"/>
    </i>
    <i>
      <x v="3"/>
    </i>
    <i>
      <x v="4"/>
    </i>
    <i>
      <x v="5"/>
    </i>
    <i>
      <x v="6"/>
    </i>
    <i>
      <x v="7"/>
    </i>
    <i>
      <x v="8"/>
    </i>
    <i>
      <x v="9"/>
    </i>
    <i>
      <x v="10"/>
    </i>
    <i>
      <x v="11"/>
    </i>
    <i>
      <x v="12"/>
    </i>
    <i>
      <x v="13"/>
    </i>
    <i>
      <x v="14"/>
    </i>
    <i>
      <x v="15"/>
    </i>
    <i>
      <x v="16"/>
    </i>
    <i>
      <x v="17"/>
    </i>
    <i>
      <x v="18"/>
    </i>
    <i t="grand">
      <x/>
    </i>
  </rowItems>
  <colFields count="1">
    <field x="-2"/>
  </colFields>
  <colItems count="11">
    <i>
      <x/>
    </i>
    <i i="1">
      <x v="1"/>
    </i>
    <i i="2">
      <x v="2"/>
    </i>
    <i i="3">
      <x v="3"/>
    </i>
    <i i="4">
      <x v="4"/>
    </i>
    <i i="5">
      <x v="5"/>
    </i>
    <i i="6">
      <x v="6"/>
    </i>
    <i i="7">
      <x v="7"/>
    </i>
    <i i="8">
      <x v="8"/>
    </i>
    <i i="9">
      <x v="9"/>
    </i>
    <i i="10">
      <x v="10"/>
    </i>
  </colItems>
  <pageFields count="4">
    <pageField fld="1" item="1" hier="-1"/>
    <pageField fld="3" hier="-1"/>
    <pageField fld="4" hier="-1"/>
    <pageField fld="6" item="0" hier="-1"/>
  </pageFields>
  <dataFields count="11">
    <dataField name="平均 / スパイク" fld="7" subtotal="average" baseField="6" baseItem="0"/>
    <dataField name="平均 / サーブ" fld="8" subtotal="average" baseField="0" baseItem="0"/>
    <dataField name="平均 / セッティング" fld="9" subtotal="average" baseField="0" baseItem="0"/>
    <dataField name="平均 / 頭脳" fld="10" subtotal="average" baseField="5" baseItem="0"/>
    <dataField name="平均 / 幸運" fld="11" subtotal="average" baseField="5" baseItem="0"/>
    <dataField name="平均 / ブロック" fld="12" subtotal="average" baseField="5" baseItem="0"/>
    <dataField name="平均 / バネ" fld="14" subtotal="average" baseField="5" baseItem="0"/>
    <dataField name="平均 / レシーブ" fld="13" subtotal="average" baseField="5" baseItem="0"/>
    <dataField name="平均 / スピード" fld="15" subtotal="average" baseField="0" baseItem="0"/>
    <dataField name="平均 / メンタル" fld="16" subtotal="average" baseField="5" baseItem="0"/>
    <dataField name="平均 / 合計" fld="19" subtotal="average" baseField="5" baseItem="0"/>
  </dataFields>
  <chartFormats count="12">
    <chartFormat chart="17" format="22" series="1">
      <pivotArea type="data" outline="0" fieldPosition="0">
        <references count="1">
          <reference field="4294967294" count="1" selected="0">
            <x v="0"/>
          </reference>
        </references>
      </pivotArea>
    </chartFormat>
    <chartFormat chart="17" format="23" series="1">
      <pivotArea type="data" outline="0" fieldPosition="0">
        <references count="1">
          <reference field="4294967294" count="1" selected="0">
            <x v="1"/>
          </reference>
        </references>
      </pivotArea>
    </chartFormat>
    <chartFormat chart="17" format="24" series="1">
      <pivotArea type="data" outline="0" fieldPosition="0">
        <references count="1">
          <reference field="4294967294" count="1" selected="0">
            <x v="2"/>
          </reference>
        </references>
      </pivotArea>
    </chartFormat>
    <chartFormat chart="17" format="25" series="1">
      <pivotArea type="data" outline="0" fieldPosition="0">
        <references count="1">
          <reference field="4294967294" count="1" selected="0">
            <x v="3"/>
          </reference>
        </references>
      </pivotArea>
    </chartFormat>
    <chartFormat chart="17" format="26" series="1">
      <pivotArea type="data" outline="0" fieldPosition="0">
        <references count="1">
          <reference field="4294967294" count="1" selected="0">
            <x v="4"/>
          </reference>
        </references>
      </pivotArea>
    </chartFormat>
    <chartFormat chart="17" format="27" series="1">
      <pivotArea type="data" outline="0" fieldPosition="0">
        <references count="1">
          <reference field="4294967294" count="1" selected="0">
            <x v="5"/>
          </reference>
        </references>
      </pivotArea>
    </chartFormat>
    <chartFormat chart="17" format="28" series="1">
      <pivotArea type="data" outline="0" fieldPosition="0">
        <references count="1">
          <reference field="4294967294" count="1" selected="0">
            <x v="6"/>
          </reference>
        </references>
      </pivotArea>
    </chartFormat>
    <chartFormat chart="17" format="29" series="1">
      <pivotArea type="data" outline="0" fieldPosition="0">
        <references count="1">
          <reference field="4294967294" count="1" selected="0">
            <x v="7"/>
          </reference>
        </references>
      </pivotArea>
    </chartFormat>
    <chartFormat chart="17" format="30" series="1">
      <pivotArea type="data" outline="0" fieldPosition="0">
        <references count="1">
          <reference field="4294967294" count="1" selected="0">
            <x v="8"/>
          </reference>
        </references>
      </pivotArea>
    </chartFormat>
    <chartFormat chart="17" format="31" series="1">
      <pivotArea type="data" outline="0" fieldPosition="0">
        <references count="1">
          <reference field="4294967294" count="1" selected="0">
            <x v="9"/>
          </reference>
        </references>
      </pivotArea>
    </chartFormat>
    <chartFormat chart="17" format="32" series="1">
      <pivotArea type="data" outline="0" fieldPosition="0">
        <references count="1">
          <reference field="4294967294" count="1" selected="0">
            <x v="10"/>
          </reference>
        </references>
      </pivotArea>
    </chartFormat>
    <chartFormat chart="17" format="33">
      <pivotArea type="data" outline="0" fieldPosition="0">
        <references count="2">
          <reference field="4294967294" count="1" selected="0">
            <x v="5"/>
          </reference>
          <reference field="5"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512E341C-5A0B-4FB6-B2C5-E90ED70E95C4}" autoFormatId="20" applyNumberFormats="0" applyBorderFormats="0" applyFontFormats="0" applyPatternFormats="0" applyAlignmentFormats="0" applyWidthHeightFormats="0">
  <queryTableRefresh nextId="46">
    <queryTableFields count="26">
      <queryTableField id="1" name="No." tableColumnId="1"/>
      <queryTableField id="2" name="服装" tableColumnId="2"/>
      <queryTableField id="3" name="名前" tableColumnId="3"/>
      <queryTableField id="4" name="じゃんけん" tableColumnId="4"/>
      <queryTableField id="5" name="ポジション" tableColumnId="5"/>
      <queryTableField id="6" name="高校" tableColumnId="6"/>
      <queryTableField id="7" name="レアリティ" tableColumnId="7"/>
      <queryTableField id="12" name="スパイク" tableColumnId="12"/>
      <queryTableField id="13" name="サーブ" tableColumnId="13"/>
      <queryTableField id="14" name="セッティング" tableColumnId="14"/>
      <queryTableField id="15" name="頭脳" tableColumnId="15"/>
      <queryTableField id="16" name="幸運" tableColumnId="16"/>
      <queryTableField id="17" name="ブロック" tableColumnId="17"/>
      <queryTableField id="18" name="レシーブ" tableColumnId="18"/>
      <queryTableField id="19" name="バネ" tableColumnId="19"/>
      <queryTableField id="20" name="スピード" tableColumnId="20"/>
      <queryTableField id="21" name="メンタル" tableColumnId="21"/>
      <queryTableField id="22" name="攻撃力" tableColumnId="22"/>
      <queryTableField id="23" name="守備力" tableColumnId="23"/>
      <queryTableField id="26" name="TotalStat" tableColumnId="26"/>
      <queryTableField id="27" name="AttackVal" tableColumnId="27"/>
      <queryTableField id="28" name="ServeVal" tableColumnId="28"/>
      <queryTableField id="29" name="TossVal" tableColumnId="29"/>
      <queryTableField id="30" name="ReceiveVal" tableColumnId="30"/>
      <queryTableField id="31" name="BlockVal" tableColumnId="31"/>
      <queryTableField id="25" name="よみがな" tableColumnId="2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12" xr16:uid="{1E914035-92FE-4AC3-BAB5-4A29455D8D04}" autoFormatId="20" applyNumberFormats="0" applyBorderFormats="0" applyFontFormats="0" applyPatternFormats="0" applyAlignmentFormats="0" applyWidthHeightFormats="0">
  <queryTableRefresh nextId="60">
    <queryTableFields count="11">
      <queryTableField id="1" name="No." tableColumnId="1"/>
      <queryTableField id="56" name="服装" tableColumnId="2"/>
      <queryTableField id="57"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15" xr16:uid="{6BECF0BD-2B2B-4197-B666-53D2CD4514E9}" autoFormatId="20" applyNumberFormats="0" applyBorderFormats="0" applyFontFormats="0" applyPatternFormats="0" applyAlignmentFormats="0" applyWidthHeightFormats="0">
  <queryTableRefresh nextId="64">
    <queryTableFields count="11">
      <queryTableField id="1" name="No." tableColumnId="1"/>
      <queryTableField id="55" name="服装" tableColumnId="2"/>
      <queryTableField id="7" name="攻撃力" tableColumnId="7"/>
      <queryTableField id="6" name="守備力" tableColumnId="6"/>
      <queryTableField id="56" name="服装順.ID" tableColumnId="31"/>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9" xr16:uid="{F634C2E5-A3A7-4B38-8740-A39F68CB2F85}" autoFormatId="20" applyNumberFormats="0" applyBorderFormats="0" applyFontFormats="0" applyPatternFormats="0" applyAlignmentFormats="0" applyWidthHeightFormats="0">
  <queryTableRefresh nextId="64">
    <queryTableFields count="11">
      <queryTableField id="1" name="No." tableColumnId="1"/>
      <queryTableField id="55" name="服装" tableColumnId="2"/>
      <queryTableField id="7" name="攻撃力" tableColumnId="7"/>
      <queryTableField id="6" name="守備力" tableColumnId="6"/>
      <queryTableField id="56" name="服装順.ID" tableColumnId="31"/>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22" xr16:uid="{A9FAF743-15AA-4500-9F69-D8FD28BE103A}"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18" xr16:uid="{90AE0949-3BB7-4C01-AD68-8335ED2E1B70}"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9" backgroundRefresh="0" connectionId="23" xr16:uid="{053605D2-9D47-4775-B7C7-809CB29D3FAF}"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8" backgroundRefresh="0" connectionId="16" xr16:uid="{DEC32A7E-CB0E-4095-8DEB-EA4EF849BBDB}"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7" backgroundRefresh="0" connectionId="19" xr16:uid="{32BBA452-FF7C-4B1A-9D28-170ABE5D87B9}"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9" xr16:uid="{AFBBCEFA-39A0-4B11-9CF5-CC36DCCA8CE2}"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0" backgroundRefresh="0" connectionId="26" xr16:uid="{B26F6905-4446-47A3-BCF2-96247FE723CF}"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21" xr16:uid="{AACE2C56-34CC-482A-BC06-704E3F199B5D}" autoFormatId="20" applyNumberFormats="0" applyBorderFormats="0" applyFontFormats="0" applyPatternFormats="0" applyAlignmentFormats="0" applyWidthHeightFormats="0">
  <queryTableRefresh nextId="34">
    <queryTableFields count="11">
      <queryTableField id="1" name="No." tableColumnId="1"/>
      <queryTableField id="30" name="服装" tableColumnId="30"/>
      <queryTableField id="31" name="服装順.ID" tableColumnId="31"/>
      <queryTableField id="11" name="攻撃力" tableColumnId="11"/>
      <queryTableField id="12" name="守備力" tableColumnId="12"/>
      <queryTableField id="13" name="DispName" tableColumnId="13"/>
      <queryTableField id="14" name="Q_RZS.AttackVal" tableColumnId="14"/>
      <queryTableField id="15" name="Q_RZS.ServeVal" tableColumnId="15"/>
      <queryTableField id="16" name="Q_RZS.TossVal" tableColumnId="16"/>
      <queryTableField id="17" name="Q_RZS.ReceiveVal" tableColumnId="17"/>
      <queryTableField id="18" name="Q_RZS.BlockVal" tableColumnId="1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5" connectionId="20" xr16:uid="{C7B1A574-1A70-4623-856E-C570D1D998B4}" autoFormatId="20" applyNumberFormats="0" applyBorderFormats="0" applyFontFormats="0" applyPatternFormats="0" applyAlignmentFormats="0" applyWidthHeightFormats="0">
  <queryTableRefresh nextId="32">
    <queryTableFields count="11">
      <queryTableField id="1" name="No." tableColumnId="1"/>
      <queryTableField id="8" name="服装" tableColumnId="8"/>
      <queryTableField id="9" name="服装順.ID" tableColumnId="9"/>
      <queryTableField id="13" name="攻撃力" tableColumnId="13"/>
      <queryTableField id="14" name="守備力" tableColumnId="14"/>
      <queryTableField id="15" name="DispName" tableColumnId="15"/>
      <queryTableField id="16" name="Q_RZS.AttackVal" tableColumnId="16"/>
      <queryTableField id="17" name="Q_RZS.ServeVal" tableColumnId="17"/>
      <queryTableField id="18" name="Q_RZS.TossVal" tableColumnId="18"/>
      <queryTableField id="19" name="Q_RZS.ReceiveVal" tableColumnId="19"/>
      <queryTableField id="20" name="Q_RZS.BlockVal" tableColumnId="20"/>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3" backgroundRefresh="0" connectionId="11" xr16:uid="{AF1F9E07-A269-4D42-8052-E91C0428A882}"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1" backgroundRefresh="0" connectionId="30" xr16:uid="{5672F1E4-661E-4EC9-984A-3D34960AF74B}"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5" xr16:uid="{B49406AC-753D-4581-B56A-D2971970B1F6}"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4" backgroundRefresh="0" connectionId="14" xr16:uid="{A1125D70-50B3-49E1-83F6-0DA8BFD5CDD4}"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0" xr16:uid="{A0B9088A-27EB-41C8-8CC0-94FEEC8C4B3C}" autoFormatId="20" applyNumberFormats="0" applyBorderFormats="0" applyFontFormats="0" applyPatternFormats="0" applyAlignmentFormats="0" applyWidthHeightFormats="0">
  <queryTableRefresh nextId="71">
    <queryTableFields count="11">
      <queryTableField id="1" name="No." tableColumnId="1"/>
      <queryTableField id="67" name="服装" tableColumnId="2"/>
      <queryTableField id="68" name="服装順.ID" tableColumnId="31"/>
      <queryTableField id="7" name="攻撃力" tableColumnId="7"/>
      <queryTableField id="6" name="守備力" tableColumnId="6"/>
      <queryTableField id="42" name="DispName" tableColumnId="30"/>
      <queryTableField id="25" name="Q_RZS.AttackVal" tableColumnId="19"/>
      <queryTableField id="26" name="Q_RZS.ServeVal" tableColumnId="20"/>
      <queryTableField id="27" name="Q_RZS.TossVal" tableColumnId="21"/>
      <queryTableField id="28" name="Q_RZS.ReceiveVal" tableColumnId="22"/>
      <queryTableField id="29" name="Q_RZS.BlockVal" tableColumnId="23"/>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2" backgroundRefresh="0" connectionId="17" xr16:uid="{9C8E58CD-5F2A-4853-8D43-86C89B7D11AF}" autoFormatId="20" applyNumberFormats="0" applyBorderFormats="0" applyFontFormats="0" applyPatternFormats="0" applyAlignmentFormats="0" applyWidthHeightFormats="0">
  <queryTableRefresh nextId="59">
    <queryTableFields count="11">
      <queryTableField id="1" name="No." tableColumnId="1"/>
      <queryTableField id="55" name="服装" tableColumnId="2"/>
      <queryTableField id="56" name="服装順.ID" tableColumnId="31"/>
      <queryTableField id="7" name="攻撃力" tableColumnId="7"/>
      <queryTableField id="6" name="守備力" tableColumnId="6"/>
      <queryTableField id="30" name="DispName" tableColumnId="30"/>
      <queryTableField id="25" name="Q_RZS.AttackVal" tableColumnId="25"/>
      <queryTableField id="26" name="Q_RZS.ServeVal" tableColumnId="26"/>
      <queryTableField id="27" name="Q_RZS.TossVal" tableColumnId="27"/>
      <queryTableField id="28" name="Q_RZS.ReceiveVal" tableColumnId="28"/>
      <queryTableField id="29" name="Q_RZS.BlockVal" tableColumnId="29"/>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connectionId="24" xr16:uid="{981A0F6E-5062-4586-A1C4-B7414D8CE172}" autoFormatId="20" applyNumberFormats="0" applyBorderFormats="0" applyFontFormats="0" applyPatternFormats="0" applyAlignmentFormats="0" applyWidthHeightFormats="0">
  <queryTableRefresh nextId="12">
    <queryTableFields count="11">
      <queryTableField id="1" name="No." tableColumnId="1"/>
      <queryTableField id="2" name="服装" tableColumnId="2"/>
      <queryTableField id="3" name="服装順.ID" tableColumnId="3"/>
      <queryTableField id="4" name="攻撃力" tableColumnId="4"/>
      <queryTableField id="5" name="守備力" tableColumnId="5"/>
      <queryTableField id="6" name="DispName" tableColumnId="6"/>
      <queryTableField id="7" name="Q_RZS.AttackVal" tableColumnId="7"/>
      <queryTableField id="8" name="Q_RZS.ServeVal" tableColumnId="8"/>
      <queryTableField id="9" name="Q_RZS.TossVal" tableColumnId="9"/>
      <queryTableField id="10" name="Q_RZS.ReceiveVal" tableColumnId="10"/>
      <queryTableField id="11" name="Q_RZS.BlockVal" tableColumnId="11"/>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3254AF64-9308-43C9-94D3-1ACCD26DA0AD}" name="Growth_Lv" displayName="Growth_Lv" ref="A1:M161" totalsRowShown="0" headerRowDxfId="180" headerRowBorderDxfId="179" tableBorderDxfId="178">
  <autoFilter ref="A1:M161" xr:uid="{F42E8944-2A15-4019-9ACC-0CBE7F1CA104}"/>
  <tableColumns count="13">
    <tableColumn id="1" xr3:uid="{129D7441-7728-448B-9616-AD91B7244394}" name="LV"/>
    <tableColumn id="2" xr3:uid="{FA3CFB9F-288D-4765-9CA4-53AAEF3398CD}" name="スパイク"/>
    <tableColumn id="3" xr3:uid="{9DF17EDB-F18B-401C-A79A-FD4A2CBFA3DC}" name="サーブ"/>
    <tableColumn id="4" xr3:uid="{2463CFD8-113E-469F-BDC3-F622A5BD19F6}" name="セッティング"/>
    <tableColumn id="5" xr3:uid="{6D559C4B-BBF4-4825-88AD-EAE1F1515B05}" name="頭脳"/>
    <tableColumn id="6" xr3:uid="{E37EF815-453B-43C0-A9D6-7DEC2AAAB857}" name="幸運"/>
    <tableColumn id="7" xr3:uid="{A36CD88B-DA86-43BE-880E-D5E773228DD6}" name="ブロック"/>
    <tableColumn id="8" xr3:uid="{B28B2B29-1062-48EE-8B8D-D2EAD77489C9}" name="レシーブ"/>
    <tableColumn id="9" xr3:uid="{EF979D15-8D74-459C-96C7-523474668E54}" name="バネ"/>
    <tableColumn id="10" xr3:uid="{56AF034D-3292-4DE3-946A-8745DCD63A44}" name="スピード"/>
    <tableColumn id="11" xr3:uid="{81D5F8B9-90FD-40BE-9203-F8F17293AC97}" name="メンタル"/>
    <tableColumn id="12" xr3:uid="{DBA5AB6F-8F58-4946-BCC2-342953A45A7A}" name="攻撃力">
      <calculatedColumnFormula>SUM(B2:E2)</calculatedColumnFormula>
    </tableColumn>
    <tableColumn id="13" xr3:uid="{AE4A0CB9-3E0A-4B3D-95E7-68026DBBD08F}" name="守備力">
      <calculatedColumnFormula>SUM(G2:J2)</calculatedColumnFormula>
    </tableColumn>
  </tableColumns>
  <tableStyleInfo name="Stat"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3710309-4F4D-4A27-8AB6-27D5037DD572}" name="Growth_Star" displayName="Growth_Star" ref="P1:AB6" totalsRowShown="0" headerRowDxfId="177" headerRowBorderDxfId="176" tableBorderDxfId="175">
  <autoFilter ref="P1:AB6" xr:uid="{681ACED0-D15C-4C42-ADEA-94C50BAF5F78}"/>
  <tableColumns count="13">
    <tableColumn id="1" xr3:uid="{7F212E94-58EA-42C3-AF7C-B9A8E556DDAC}" name="☆" dataDxfId="174"/>
    <tableColumn id="2" xr3:uid="{D94AD057-048E-41B2-B14B-C8074EE569AE}" name="スパイク"/>
    <tableColumn id="3" xr3:uid="{FD4ED633-4B7F-4247-98FC-C004E28359AA}" name="サーブ"/>
    <tableColumn id="4" xr3:uid="{E63666DE-1482-43A6-AEC3-E8AB04CEEB7C}" name="セッティング"/>
    <tableColumn id="5" xr3:uid="{C38D5936-773F-4C45-8F0E-C7B1F786B71B}" name="頭脳"/>
    <tableColumn id="6" xr3:uid="{86BA9937-C3E4-40A0-BEDA-8295FAE94CEA}" name="幸運"/>
    <tableColumn id="7" xr3:uid="{8399EE29-BECD-48D7-AD0C-7EFF07415A58}" name="ブロック"/>
    <tableColumn id="8" xr3:uid="{4E8A1326-5315-4960-93CE-4F724BD91C62}" name="レシーブ"/>
    <tableColumn id="9" xr3:uid="{BD707309-BE52-4EDB-8E6C-A26FEB327DCA}" name="バネ"/>
    <tableColumn id="10" xr3:uid="{304DF84E-942A-46BB-BF24-8FA1072474D5}" name="スピード"/>
    <tableColumn id="11" xr3:uid="{236E4BE9-2D41-46D2-9F22-FD9B45654E61}" name="メンタル"/>
    <tableColumn id="12" xr3:uid="{52DE3591-E361-4085-8B06-32255F3C11D1}" name="攻撃力">
      <calculatedColumnFormula>SUM(Q2:T2)</calculatedColumnFormula>
    </tableColumn>
    <tableColumn id="13" xr3:uid="{70666A83-C8A6-43A0-A4BA-E0F96A798EDD}" name="守備力">
      <calculatedColumnFormula>SUM(V2:Y2)</calculatedColumnFormula>
    </tableColumn>
  </tableColumns>
  <tableStyleInfo name="Stat"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D1C71C-948D-416D-A8B8-4895631C66F8}" name="Q_Stat" displayName="Q_Stat" ref="A1:Z431" tableType="queryTable" totalsRowShown="0">
  <autoFilter ref="A1:Z431" xr:uid="{DCD1C71C-948D-416D-A8B8-4895631C66F8}"/>
  <tableColumns count="26">
    <tableColumn id="1" xr3:uid="{8C28EBEF-BBED-4D3A-8AA9-9FCD0C7608FB}" uniqueName="1" name="No." queryTableFieldId="1" dataDxfId="25"/>
    <tableColumn id="2" xr3:uid="{D117A825-E692-469D-93A3-CBC29C736605}" uniqueName="2" name="服装" queryTableFieldId="2" dataDxfId="24"/>
    <tableColumn id="3" xr3:uid="{4B538484-A6B9-46EC-9916-19C2D310C9D2}" uniqueName="3" name="名前" queryTableFieldId="3" dataDxfId="23"/>
    <tableColumn id="4" xr3:uid="{22B49A7C-CA85-4282-BA46-C2BFD3096ACD}" uniqueName="4" name="じゃんけん" queryTableFieldId="4" dataDxfId="22"/>
    <tableColumn id="5" xr3:uid="{1A826DA8-5C49-4AFB-819D-019FD3C18BAA}" uniqueName="5" name="ポジション" queryTableFieldId="5" dataDxfId="21"/>
    <tableColumn id="6" xr3:uid="{13CC6921-251D-4AA4-ACCF-0C9B2E5C95E2}" uniqueName="6" name="高校" queryTableFieldId="6" dataDxfId="20"/>
    <tableColumn id="7" xr3:uid="{77F1E819-E2D4-492C-A044-F073467B3D2A}" uniqueName="7" name="レアリティ" queryTableFieldId="7" dataDxfId="19"/>
    <tableColumn id="12" xr3:uid="{666A9361-B13E-4726-8C3A-3FFC20C6CFDC}" uniqueName="12" name="スパイク" queryTableFieldId="12"/>
    <tableColumn id="13" xr3:uid="{620FDAFC-22D2-4CF5-A6AA-A07FE25800F4}" uniqueName="13" name="サーブ" queryTableFieldId="13"/>
    <tableColumn id="14" xr3:uid="{C56D5250-3968-4A3B-B30E-62ED37ECC08E}" uniqueName="14" name="セッティング" queryTableFieldId="14"/>
    <tableColumn id="15" xr3:uid="{8AD9C3AC-6C66-44C9-9AA1-CD9C26EAFD04}" uniqueName="15" name="頭脳" queryTableFieldId="15"/>
    <tableColumn id="16" xr3:uid="{B75F104E-5D77-4CD5-839B-ABF44050C523}" uniqueName="16" name="幸運" queryTableFieldId="16"/>
    <tableColumn id="17" xr3:uid="{6E93CCAB-4347-4F58-9021-727857F82078}" uniqueName="17" name="ブロック" queryTableFieldId="17"/>
    <tableColumn id="18" xr3:uid="{C9F58B92-89E4-4753-8EAB-7C6AA4882322}" uniqueName="18" name="レシーブ" queryTableFieldId="18"/>
    <tableColumn id="19" xr3:uid="{E76E164D-81E5-4696-A712-E72F29FE9DA4}" uniqueName="19" name="バネ" queryTableFieldId="19"/>
    <tableColumn id="20" xr3:uid="{A6B5BA15-540D-4D24-841B-A48459D4DE5F}" uniqueName="20" name="スピード" queryTableFieldId="20"/>
    <tableColumn id="21" xr3:uid="{4F82080B-25CB-4E32-9D5C-9CC8AA104E13}" uniqueName="21" name="メンタル" queryTableFieldId="21"/>
    <tableColumn id="22" xr3:uid="{93F7FE96-F37E-49D6-B182-0232D4F17F4B}" uniqueName="22" name="攻撃力" queryTableFieldId="22"/>
    <tableColumn id="23" xr3:uid="{AF91D578-AE8B-40BD-A089-174BC6C3F088}" uniqueName="23" name="守備力" queryTableFieldId="23"/>
    <tableColumn id="26" xr3:uid="{E7BEC249-07E1-4D5B-A0EE-DF50C9CBB48A}" uniqueName="26" name="TotalStat" queryTableFieldId="26"/>
    <tableColumn id="27" xr3:uid="{6327A339-3524-4391-9BCE-CAA05BDF5200}" uniqueName="27" name="AttackVal" queryTableFieldId="27"/>
    <tableColumn id="28" xr3:uid="{1944BA6B-35EE-4FF9-8A2B-9E02F514D928}" uniqueName="28" name="ServeVal" queryTableFieldId="28"/>
    <tableColumn id="29" xr3:uid="{C1D9A840-4D60-459E-A684-1811E2074A09}" uniqueName="29" name="TossVal" queryTableFieldId="29"/>
    <tableColumn id="30" xr3:uid="{64CA0855-40CB-439E-8786-771CA8E0BE02}" uniqueName="30" name="ReceiveVal" queryTableFieldId="30"/>
    <tableColumn id="31" xr3:uid="{2AD5FD43-70EC-4A6F-AAD9-E165C58E91E7}" uniqueName="31" name="BlockVal" queryTableFieldId="31"/>
    <tableColumn id="25" xr3:uid="{D01CCB96-178D-4507-8D9E-A025D9F869D9}" uniqueName="25" name="よみがな" queryTableFieldId="25" dataDxf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AE389BC-2A97-4A7F-91B2-1B1A5E136491}" name="烏野" displayName="烏野" ref="A1:K80" tableType="queryTable" totalsRowShown="0">
  <autoFilter ref="A1:K80" xr:uid="{4AE389BC-2A97-4A7F-91B2-1B1A5E136491}"/>
  <tableColumns count="11">
    <tableColumn id="1" xr3:uid="{DFE77191-1928-4303-9D26-F0EC4C0EE55C}" uniqueName="1" name="No." queryTableFieldId="1" dataDxfId="173"/>
    <tableColumn id="2" xr3:uid="{E593A895-7A86-454D-89B6-AAFAF5168284}" uniqueName="2" name="服装" queryTableFieldId="56" dataDxfId="172"/>
    <tableColumn id="31" xr3:uid="{E119F06A-B2F7-40DA-98C6-603D8FACBD7E}" uniqueName="31" name="服装順.ID" queryTableFieldId="57" dataDxfId="171"/>
    <tableColumn id="7" xr3:uid="{50833413-CE7A-4864-B475-DBB48519B9D2}" uniqueName="7" name="攻撃力" queryTableFieldId="7"/>
    <tableColumn id="6" xr3:uid="{1DB229CC-18DC-48ED-87D3-37226FF78CCC}" uniqueName="6" name="守備力" queryTableFieldId="6"/>
    <tableColumn id="30" xr3:uid="{F254D5EB-1D81-4EC0-9AE9-DE35094E0990}" uniqueName="30" name="DispName" queryTableFieldId="30" dataDxfId="170"/>
    <tableColumn id="25" xr3:uid="{D41396BD-C6E5-4AFC-BB1B-E1B3ACCB993F}" uniqueName="25" name="Q_RZS.AttackVal" queryTableFieldId="25" dataDxfId="169"/>
    <tableColumn id="26" xr3:uid="{6CD4FA64-152B-4B84-8569-26DC9F2808E0}" uniqueName="26" name="Q_RZS.ServeVal" queryTableFieldId="26" dataDxfId="168"/>
    <tableColumn id="27" xr3:uid="{3A1C95BC-D473-48E7-A4E5-E9688BA9CA49}" uniqueName="27" name="Q_RZS.TossVal" queryTableFieldId="27" dataDxfId="167"/>
    <tableColumn id="28" xr3:uid="{8BF4F962-1FD7-4A09-8CB2-7E3AAD6776FA}" uniqueName="28" name="Q_RZS.ReceiveVal" queryTableFieldId="28" dataDxfId="166"/>
    <tableColumn id="29" xr3:uid="{326D3D95-E8BA-47BE-BDBC-DF1D9A8E73A2}" uniqueName="29" name="Q_RZS.BlockVal" queryTableFieldId="29" dataDxfId="16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D961DA-8220-4A44-9E63-97EB0223D03C}" name="音駒" displayName="音駒" ref="A1:K46" tableType="queryTable" totalsRowShown="0">
  <autoFilter ref="A1:K46" xr:uid="{2FD961DA-8220-4A44-9E63-97EB0223D03C}"/>
  <tableColumns count="11">
    <tableColumn id="1" xr3:uid="{5AF42359-36DA-41D8-BD79-4F08FE4B694C}" uniqueName="1" name="No." queryTableFieldId="1" dataDxfId="17"/>
    <tableColumn id="2" xr3:uid="{9CC0ED91-3D40-4176-9E65-CAA2EF61FF57}" uniqueName="2" name="服装" queryTableFieldId="55" dataDxfId="16"/>
    <tableColumn id="7" xr3:uid="{748C1233-D2BF-4A2A-9CEE-9B5F5D99655C}" uniqueName="7" name="攻撃力" queryTableFieldId="7"/>
    <tableColumn id="6" xr3:uid="{74D4B3A8-845B-4C55-97DD-9ADE4DFF4043}" uniqueName="6" name="守備力" queryTableFieldId="6"/>
    <tableColumn id="31" xr3:uid="{BFA5211C-1FD6-41B7-918B-8300672F8F5F}" uniqueName="31" name="服装順.ID" queryTableFieldId="56" dataDxfId="15"/>
    <tableColumn id="30" xr3:uid="{54C36B40-1108-4B11-852F-E2BD7762A08C}" uniqueName="30" name="DispName" queryTableFieldId="30" dataDxfId="14"/>
    <tableColumn id="25" xr3:uid="{6F5B89C9-0EF7-47A0-80C2-C29A2A7D276D}" uniqueName="25" name="Q_RZS.AttackVal" queryTableFieldId="25" dataDxfId="13"/>
    <tableColumn id="26" xr3:uid="{10DD39DC-573A-4982-BE54-EF737755AFFB}" uniqueName="26" name="Q_RZS.ServeVal" queryTableFieldId="26" dataDxfId="12"/>
    <tableColumn id="27" xr3:uid="{218C9C31-D14D-425E-A3D0-5A9F823DB054}" uniqueName="27" name="Q_RZS.TossVal" queryTableFieldId="27" dataDxfId="11"/>
    <tableColumn id="28" xr3:uid="{23BFA3BE-57BF-4E48-B534-BF29B9140228}" uniqueName="28" name="Q_RZS.ReceiveVal" queryTableFieldId="28" dataDxfId="10"/>
    <tableColumn id="29" xr3:uid="{ABB3ED51-5867-41C5-94F1-C136C684F619}" uniqueName="29" name="Q_RZS.BlockVal" queryTableFieldId="29" dataDxfId="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6C0F119-F5E4-4C22-86D0-9E96814C4EBF}" name="伊達工" displayName="伊達工" ref="A1:K33" tableType="queryTable" totalsRowShown="0">
  <autoFilter ref="A1:K33" xr:uid="{46C0F119-F5E4-4C22-86D0-9E96814C4EBF}"/>
  <tableColumns count="11">
    <tableColumn id="1" xr3:uid="{F6ABBDDF-690B-46E9-8F72-10C95655A403}" uniqueName="1" name="No." queryTableFieldId="1" dataDxfId="164"/>
    <tableColumn id="2" xr3:uid="{4A46260F-4B9C-47D1-8C70-E1D1DD2C53E3}" uniqueName="2" name="服装" queryTableFieldId="55" dataDxfId="163"/>
    <tableColumn id="7" xr3:uid="{0237A186-9EC4-408E-9614-5EBC78BB13C9}" uniqueName="7" name="攻撃力" queryTableFieldId="7"/>
    <tableColumn id="6" xr3:uid="{4CB27A3B-C961-4638-8BF2-DEA156E9B6EE}" uniqueName="6" name="守備力" queryTableFieldId="6"/>
    <tableColumn id="31" xr3:uid="{BA8FA943-4ACA-4825-98A1-205F02E7FA76}" uniqueName="31" name="服装順.ID" queryTableFieldId="56" dataDxfId="162"/>
    <tableColumn id="30" xr3:uid="{250876B6-B894-487B-8BCD-67BC97264D26}" uniqueName="30" name="DispName" queryTableFieldId="30" dataDxfId="161"/>
    <tableColumn id="25" xr3:uid="{900BEE08-7159-42EE-8E43-3D2EB4FFC66C}" uniqueName="25" name="Q_RZS.AttackVal" queryTableFieldId="25" dataDxfId="160"/>
    <tableColumn id="26" xr3:uid="{A168C5AA-6EB2-450C-B6E5-F640F1DC8F9C}" uniqueName="26" name="Q_RZS.ServeVal" queryTableFieldId="26" dataDxfId="159"/>
    <tableColumn id="27" xr3:uid="{066512B0-5A64-45B3-9159-B369D3509E90}" uniqueName="27" name="Q_RZS.TossVal" queryTableFieldId="27" dataDxfId="158"/>
    <tableColumn id="28" xr3:uid="{07DB818A-5129-4C4E-8453-6CAAE86C0A4D}" uniqueName="28" name="Q_RZS.ReceiveVal" queryTableFieldId="28" dataDxfId="157"/>
    <tableColumn id="29" xr3:uid="{2F878E73-2B22-49F9-B3CF-5457CFA39571}" uniqueName="29" name="Q_RZS.BlockVal" queryTableFieldId="29" dataDxfId="156"/>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2AECF76-6BEA-4B81-ABDB-4C89D0ECD72F}" name="青城" displayName="青城" ref="A1:K46" tableType="queryTable" totalsRowShown="0">
  <autoFilter ref="A1:K46" xr:uid="{32AECF76-6BEA-4B81-ABDB-4C89D0ECD72F}"/>
  <tableColumns count="11">
    <tableColumn id="1" xr3:uid="{E9B80985-2222-4166-9902-BB8F6866C961}" uniqueName="1" name="No." queryTableFieldId="1" dataDxfId="8"/>
    <tableColumn id="2" xr3:uid="{0A5556FF-8E94-4D54-BA53-9C6AB357C089}" uniqueName="2" name="服装" queryTableFieldId="55" dataDxfId="7"/>
    <tableColumn id="31" xr3:uid="{2ED38917-F30A-4859-AA32-DFD4A74573F5}" uniqueName="31" name="服装順.ID" queryTableFieldId="56" dataDxfId="6"/>
    <tableColumn id="7" xr3:uid="{1E6C1DC9-94EE-4647-94F6-14F63127B20F}" uniqueName="7" name="攻撃力" queryTableFieldId="7"/>
    <tableColumn id="6" xr3:uid="{132F9549-7E0B-4BF0-A492-1FB293F970F4}" uniqueName="6" name="守備力" queryTableFieldId="6"/>
    <tableColumn id="30" xr3:uid="{8071533B-0D9A-425B-98B4-71537188A3A7}" uniqueName="30" name="DispName" queryTableFieldId="30" dataDxfId="5"/>
    <tableColumn id="25" xr3:uid="{5813DC01-9774-4B6D-9610-793F39D1820B}" uniqueName="25" name="Q_RZS.AttackVal" queryTableFieldId="25" dataDxfId="4"/>
    <tableColumn id="26" xr3:uid="{4DC89C59-D7EA-40EE-9660-790C9EC166AF}" uniqueName="26" name="Q_RZS.ServeVal" queryTableFieldId="26" dataDxfId="3"/>
    <tableColumn id="27" xr3:uid="{32420389-17E9-465A-B19A-FEBF473AB9C4}" uniqueName="27" name="Q_RZS.TossVal" queryTableFieldId="27" dataDxfId="2"/>
    <tableColumn id="28" xr3:uid="{C738D1F5-8833-4D16-A92A-0960E88A4EEF}" uniqueName="28" name="Q_RZS.ReceiveVal" queryTableFieldId="28" dataDxfId="1"/>
    <tableColumn id="29" xr3:uid="{AB0C71E1-31B0-4F93-AAE4-705B4EF02C15}" uniqueName="29" name="Q_RZS.BlockVal" queryTableFieldId="29" dataDxfId="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C237B73-FF4B-417B-B4BC-16B8D141AB00}" name="常波" displayName="常波" ref="A1:K10" tableType="queryTable" totalsRowShown="0">
  <autoFilter ref="A1:K10" xr:uid="{2C237B73-FF4B-417B-B4BC-16B8D141AB00}"/>
  <tableColumns count="11">
    <tableColumn id="1" xr3:uid="{3C52B0AF-978B-4663-9A7B-C800EB8F0E2B}" uniqueName="1" name="No." queryTableFieldId="1" dataDxfId="155"/>
    <tableColumn id="2" xr3:uid="{B8A5442C-DD2A-42F0-BB6A-DF450F9FEC27}" uniqueName="2" name="服装" queryTableFieldId="55" dataDxfId="154"/>
    <tableColumn id="31" xr3:uid="{8E819B7A-7BEF-4342-947C-0AE13BA0F25D}" uniqueName="31" name="服装順.ID" queryTableFieldId="56" dataDxfId="153"/>
    <tableColumn id="7" xr3:uid="{E1DFF1F5-59AC-4629-8C50-A9D534AAFD13}" uniqueName="7" name="攻撃力" queryTableFieldId="7"/>
    <tableColumn id="6" xr3:uid="{17A8FB80-65B0-4292-AA8A-1726297E9EBC}" uniqueName="6" name="守備力" queryTableFieldId="6"/>
    <tableColumn id="30" xr3:uid="{D74CA1B0-9E65-4CFE-9E18-7B6CF2FBB75A}" uniqueName="30" name="DispName" queryTableFieldId="30" dataDxfId="152"/>
    <tableColumn id="25" xr3:uid="{733D3011-2E35-40B0-835D-20F43EC724F4}" uniqueName="25" name="Q_RZS.AttackVal" queryTableFieldId="25" dataDxfId="151"/>
    <tableColumn id="26" xr3:uid="{085AE997-1FCB-4423-80BA-85DE6822A7DE}" uniqueName="26" name="Q_RZS.ServeVal" queryTableFieldId="26" dataDxfId="150"/>
    <tableColumn id="27" xr3:uid="{5C523380-194E-4B69-AC62-9845D2E42CB6}" uniqueName="27" name="Q_RZS.TossVal" queryTableFieldId="27" dataDxfId="149"/>
    <tableColumn id="28" xr3:uid="{FCC940B1-1133-45FD-A7EE-6AD0A1024D81}" uniqueName="28" name="Q_RZS.ReceiveVal" queryTableFieldId="28" dataDxfId="148"/>
    <tableColumn id="29" xr3:uid="{D8A4DBDB-7D09-4CBE-8E71-96CC2EC73FF2}" uniqueName="29" name="Q_RZS.BlockVal" queryTableFieldId="29" dataDxfId="147"/>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88C7246-B264-4808-BD35-FECE66255357}" name="扇南" displayName="扇南" ref="A1:K10" tableType="queryTable" totalsRowShown="0">
  <autoFilter ref="A1:K10" xr:uid="{C88C7246-B264-4808-BD35-FECE66255357}"/>
  <tableColumns count="11">
    <tableColumn id="1" xr3:uid="{B77E5359-D613-4EC3-9CFC-32E1EA580D43}" uniqueName="1" name="No." queryTableFieldId="1" dataDxfId="146"/>
    <tableColumn id="2" xr3:uid="{C65640DE-15A9-4E13-A59F-E7B0DA4990DA}" uniqueName="2" name="服装" queryTableFieldId="55" dataDxfId="145"/>
    <tableColumn id="31" xr3:uid="{D661A65D-7865-46FA-8E12-1BAD13225C8E}" uniqueName="31" name="服装順.ID" queryTableFieldId="56" dataDxfId="144"/>
    <tableColumn id="7" xr3:uid="{186D5D77-1757-495C-A284-07D5800C8266}" uniqueName="7" name="攻撃力" queryTableFieldId="7"/>
    <tableColumn id="6" xr3:uid="{69756DFF-A6FB-4E6A-ADE6-09ECFD48310F}" uniqueName="6" name="守備力" queryTableFieldId="6"/>
    <tableColumn id="30" xr3:uid="{95BF9D63-86D2-4727-8BE5-990154A9A94F}" uniqueName="30" name="DispName" queryTableFieldId="30" dataDxfId="143"/>
    <tableColumn id="25" xr3:uid="{86BE4A13-B740-4786-AF16-23AB1270B6DD}" uniqueName="25" name="Q_RZS.AttackVal" queryTableFieldId="25" dataDxfId="142"/>
    <tableColumn id="26" xr3:uid="{BDDD1036-ABBF-4529-B4A0-792F33EBF9CE}" uniqueName="26" name="Q_RZS.ServeVal" queryTableFieldId="26" dataDxfId="141"/>
    <tableColumn id="27" xr3:uid="{40D03B3B-2D31-4224-BDDF-4CD317CEA7A5}" uniqueName="27" name="Q_RZS.TossVal" queryTableFieldId="27" dataDxfId="140"/>
    <tableColumn id="28" xr3:uid="{E472C219-08BD-4734-8A9D-F87E99DE6E34}" uniqueName="28" name="Q_RZS.ReceiveVal" queryTableFieldId="28" dataDxfId="139"/>
    <tableColumn id="29" xr3:uid="{83C9EEE2-9393-47E2-A294-69D6C1EFA80C}" uniqueName="29" name="Q_RZS.BlockVal" queryTableFieldId="29" dataDxfId="138"/>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2BF02C2-9D52-4C93-B46A-F9907B1AC091}" name="角川" displayName="角川" ref="A1:K10" tableType="queryTable" totalsRowShown="0">
  <autoFilter ref="A1:K10" xr:uid="{B2BF02C2-9D52-4C93-B46A-F9907B1AC091}"/>
  <tableColumns count="11">
    <tableColumn id="1" xr3:uid="{CF30C223-0DF9-49E3-A47C-A5BC10BF7732}" uniqueName="1" name="No." queryTableFieldId="1" dataDxfId="137"/>
    <tableColumn id="2" xr3:uid="{DE5C1D79-5D94-4902-B997-2C841C359533}" uniqueName="2" name="服装" queryTableFieldId="55" dataDxfId="136"/>
    <tableColumn id="31" xr3:uid="{2B6FD43D-8648-4BBB-AC90-0461B853819A}" uniqueName="31" name="服装順.ID" queryTableFieldId="56" dataDxfId="135"/>
    <tableColumn id="7" xr3:uid="{2D19E9FD-17C6-4873-B05B-2592F3365DE0}" uniqueName="7" name="攻撃力" queryTableFieldId="7"/>
    <tableColumn id="6" xr3:uid="{F215531E-2C5E-423F-A250-856389B6A0CC}" uniqueName="6" name="守備力" queryTableFieldId="6"/>
    <tableColumn id="30" xr3:uid="{88A6EFF8-A774-48F3-8960-0A00B568FED0}" uniqueName="30" name="DispName" queryTableFieldId="30" dataDxfId="134"/>
    <tableColumn id="25" xr3:uid="{E38BC9E3-D8A8-4049-972E-5D31477E65DC}" uniqueName="25" name="Q_RZS.AttackVal" queryTableFieldId="25" dataDxfId="133"/>
    <tableColumn id="26" xr3:uid="{DE65ED1A-15C9-436D-B056-A15F584C2DF8}" uniqueName="26" name="Q_RZS.ServeVal" queryTableFieldId="26" dataDxfId="132"/>
    <tableColumn id="27" xr3:uid="{A7B70C4A-FC77-462F-BFC8-F8968A00EFCA}" uniqueName="27" name="Q_RZS.TossVal" queryTableFieldId="27" dataDxfId="131"/>
    <tableColumn id="28" xr3:uid="{CC59F2F1-AD5C-4905-A61F-77A9EA8F9220}" uniqueName="28" name="Q_RZS.ReceiveVal" queryTableFieldId="28" dataDxfId="130"/>
    <tableColumn id="29" xr3:uid="{6004B27E-FF3E-49C4-BABF-4247C7025E15}" uniqueName="29" name="Q_RZS.BlockVal" queryTableFieldId="29" dataDxfId="129"/>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8B329D5-C3CF-4525-86F1-E098FC8AF97C}" name="条善寺" displayName="条善寺" ref="A1:K15" tableType="queryTable" totalsRowShown="0">
  <autoFilter ref="A1:K15" xr:uid="{88B329D5-C3CF-4525-86F1-E098FC8AF97C}"/>
  <tableColumns count="11">
    <tableColumn id="1" xr3:uid="{DE1DC08F-9185-47A8-91DF-D554B8124007}" uniqueName="1" name="No." queryTableFieldId="1" dataDxfId="128"/>
    <tableColumn id="2" xr3:uid="{148C3DD7-779B-410D-BE1F-B7C3AAC8F5CD}" uniqueName="2" name="服装" queryTableFieldId="55" dataDxfId="127"/>
    <tableColumn id="31" xr3:uid="{1768857F-B146-472F-BA12-E99700D757A4}" uniqueName="31" name="服装順.ID" queryTableFieldId="56" dataDxfId="126"/>
    <tableColumn id="7" xr3:uid="{191E85CA-B39E-4284-B754-1695A9CA804E}" uniqueName="7" name="攻撃力" queryTableFieldId="7"/>
    <tableColumn id="6" xr3:uid="{2D4AB42A-6BFF-40ED-8156-0A1240B92E35}" uniqueName="6" name="守備力" queryTableFieldId="6"/>
    <tableColumn id="30" xr3:uid="{5CC2EA34-6A6C-4D76-B860-56C15357EFB2}" uniqueName="30" name="DispName" queryTableFieldId="30" dataDxfId="125"/>
    <tableColumn id="25" xr3:uid="{0FA8F8C9-83C9-48C6-9D91-AB7F106892F6}" uniqueName="25" name="Q_RZS.AttackVal" queryTableFieldId="25" dataDxfId="124"/>
    <tableColumn id="26" xr3:uid="{70DC020F-6B3B-4A6B-88BA-BB21712ECE7F}" uniqueName="26" name="Q_RZS.ServeVal" queryTableFieldId="26" dataDxfId="123"/>
    <tableColumn id="27" xr3:uid="{CE6672B2-B788-44C6-B962-061A3C4C195A}" uniqueName="27" name="Q_RZS.TossVal" queryTableFieldId="27" dataDxfId="122"/>
    <tableColumn id="28" xr3:uid="{423574E9-9D44-4624-A657-30DBDC386496}" uniqueName="28" name="Q_RZS.ReceiveVal" queryTableFieldId="28" dataDxfId="121"/>
    <tableColumn id="29" xr3:uid="{72268391-E846-4737-B579-1121FF2F7576}" uniqueName="29" name="Q_RZS.BlockVal" queryTableFieldId="29" dataDxfId="120"/>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7900C16-4B0F-43B6-A8CF-7C767A5F797D}" name="和久南" displayName="和久南" ref="A1:K11" tableType="queryTable" totalsRowShown="0">
  <autoFilter ref="A1:K11" xr:uid="{17900C16-4B0F-43B6-A8CF-7C767A5F797D}"/>
  <tableColumns count="11">
    <tableColumn id="1" xr3:uid="{0BFA3A22-F521-4C8A-BC29-9F8B2243518E}" uniqueName="1" name="No." queryTableFieldId="1" dataDxfId="119"/>
    <tableColumn id="2" xr3:uid="{D906E158-DD92-4650-8422-E4EC5D7EFFF7}" uniqueName="2" name="服装" queryTableFieldId="55" dataDxfId="118"/>
    <tableColumn id="31" xr3:uid="{E41CE8EB-FB1A-43F3-80D4-3992FD26F3D0}" uniqueName="31" name="服装順.ID" queryTableFieldId="56" dataDxfId="117"/>
    <tableColumn id="7" xr3:uid="{402E6C23-F62B-490C-A6EE-012161DE0357}" uniqueName="7" name="攻撃力" queryTableFieldId="7"/>
    <tableColumn id="6" xr3:uid="{00285CD6-BA43-411B-953B-7CD538B2D741}" uniqueName="6" name="守備力" queryTableFieldId="6"/>
    <tableColumn id="30" xr3:uid="{3E107D41-7383-4182-9606-D7DE40C6BF5D}" uniqueName="30" name="DispName" queryTableFieldId="30" dataDxfId="116"/>
    <tableColumn id="25" xr3:uid="{401986A3-054D-492F-8652-8FC7723C9468}" uniqueName="25" name="Q_RZS.AttackVal" queryTableFieldId="25" dataDxfId="115"/>
    <tableColumn id="26" xr3:uid="{1E6FAFAC-F18E-4E40-81E5-680B1D4FCCA8}" uniqueName="26" name="Q_RZS.ServeVal" queryTableFieldId="26" dataDxfId="114"/>
    <tableColumn id="27" xr3:uid="{23F60619-AA94-4D26-8FF7-F3E253C84047}" uniqueName="27" name="Q_RZS.TossVal" queryTableFieldId="27" dataDxfId="113"/>
    <tableColumn id="28" xr3:uid="{A97472DB-32C5-46F8-8C7B-7DDD6A5B293C}" uniqueName="28" name="Q_RZS.ReceiveVal" queryTableFieldId="28" dataDxfId="112"/>
    <tableColumn id="29" xr3:uid="{719C4671-4FB0-43E3-8D98-FF7155DBEA56}" uniqueName="29" name="Q_RZS.BlockVal" queryTableFieldId="29" dataDxfId="111"/>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C50F7EB-C57E-4079-BF1D-F2C904EF808F}" name="白鳥沢" displayName="白鳥沢" ref="A1:K43" tableType="queryTable" totalsRowShown="0">
  <autoFilter ref="A1:K43" xr:uid="{6C50F7EB-C57E-4079-BF1D-F2C904EF808F}"/>
  <tableColumns count="11">
    <tableColumn id="1" xr3:uid="{E8085C3D-5A0C-493E-8FCD-37DC6F81A08E}" uniqueName="1" name="No." queryTableFieldId="1" dataDxfId="110"/>
    <tableColumn id="2" xr3:uid="{4983DDA4-083E-48CD-BFE8-E367C211F512}" uniqueName="2" name="服装" queryTableFieldId="55" dataDxfId="109"/>
    <tableColumn id="31" xr3:uid="{ED0E1EAA-119B-4323-9280-D1F53F747EC4}" uniqueName="31" name="服装順.ID" queryTableFieldId="56" dataDxfId="108"/>
    <tableColumn id="7" xr3:uid="{550FA4B2-6FFA-4064-AC72-1C3AEDE38770}" uniqueName="7" name="攻撃力" queryTableFieldId="7"/>
    <tableColumn id="6" xr3:uid="{40F0737D-1CB5-46B2-A721-98B5C3D102CC}" uniqueName="6" name="守備力" queryTableFieldId="6"/>
    <tableColumn id="30" xr3:uid="{A935E2F8-F540-43BE-AEE9-9BCA3FEBF4EF}" uniqueName="30" name="DispName" queryTableFieldId="30" dataDxfId="107"/>
    <tableColumn id="25" xr3:uid="{EDF1712C-C3FE-41FB-AA3F-A3EC6C8EC9B3}" uniqueName="25" name="Q_RZS.AttackVal" queryTableFieldId="25" dataDxfId="106"/>
    <tableColumn id="26" xr3:uid="{6691CF21-C097-4385-AF78-BEB7959FD0E2}" uniqueName="26" name="Q_RZS.ServeVal" queryTableFieldId="26" dataDxfId="105"/>
    <tableColumn id="27" xr3:uid="{881A3D3C-38D0-4DC2-9FF5-3EDECD2D0662}" uniqueName="27" name="Q_RZS.TossVal" queryTableFieldId="27" dataDxfId="104"/>
    <tableColumn id="28" xr3:uid="{4563FBAA-1A16-43F4-9B62-3FC3FEF31208}" uniqueName="28" name="Q_RZS.ReceiveVal" queryTableFieldId="28" dataDxfId="103"/>
    <tableColumn id="29" xr3:uid="{B5C4BEAB-CB90-4E68-B52E-D6A7C0925133}" uniqueName="29" name="Q_RZS.BlockVal" queryTableFieldId="29" dataDxfId="10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BB12946-035D-42EE-9AE5-F053E700306C}" name="生川" displayName="生川" ref="A1:K8" tableType="queryTable" totalsRowShown="0">
  <autoFilter ref="A1:K8" xr:uid="{CBB12946-035D-42EE-9AE5-F053E700306C}"/>
  <tableColumns count="11">
    <tableColumn id="1" xr3:uid="{4E05FE9C-E0E1-44A6-AADC-C9CA12BF78E2}" uniqueName="1" name="No." queryTableFieldId="1" dataDxfId="101"/>
    <tableColumn id="30" xr3:uid="{F1233E9A-672E-4756-870A-C82E17E7384E}" uniqueName="30" name="服装" queryTableFieldId="30" dataDxfId="100"/>
    <tableColumn id="31" xr3:uid="{086B6473-9A14-4C99-8816-D970E5CBB98A}" uniqueName="31" name="服装順.ID" queryTableFieldId="31" dataDxfId="99"/>
    <tableColumn id="11" xr3:uid="{00D46593-2C9C-49AC-B2AB-007E6499AB71}" uniqueName="11" name="攻撃力" queryTableFieldId="11"/>
    <tableColumn id="12" xr3:uid="{C97363DB-065C-42B6-A97A-E2610E49B06A}" uniqueName="12" name="守備力" queryTableFieldId="12"/>
    <tableColumn id="13" xr3:uid="{70254F7B-8DBF-41AA-BDB9-6776D13A1400}" uniqueName="13" name="DispName" queryTableFieldId="13" dataDxfId="98"/>
    <tableColumn id="14" xr3:uid="{B79D2140-047A-4838-B4A2-A98BDDB42F12}" uniqueName="14" name="Q_RZS.AttackVal" queryTableFieldId="14" dataDxfId="97"/>
    <tableColumn id="15" xr3:uid="{DDC866FD-4080-47DE-BF68-B4841F44AE8A}" uniqueName="15" name="Q_RZS.ServeVal" queryTableFieldId="15" dataDxfId="96"/>
    <tableColumn id="16" xr3:uid="{06981742-8AAC-41A4-BBBB-B3556CC66973}" uniqueName="16" name="Q_RZS.TossVal" queryTableFieldId="16" dataDxfId="95"/>
    <tableColumn id="17" xr3:uid="{C41167A6-4789-4FE9-A6A1-1F3DA846F1AB}" uniqueName="17" name="Q_RZS.ReceiveVal" queryTableFieldId="17" dataDxfId="94"/>
    <tableColumn id="18" xr3:uid="{564CF207-64FC-43AA-B929-4FBB6DE2A9CB}" uniqueName="18" name="Q_RZS.BlockVal" queryTableFieldId="18" dataDxfId="93"/>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5DEDD2E-3FF9-4916-B64C-C49A89261719}" name="森然" displayName="森然" ref="A1:K8" tableType="queryTable" totalsRowShown="0">
  <autoFilter ref="A1:K8" xr:uid="{35DEDD2E-3FF9-4916-B64C-C49A89261719}"/>
  <tableColumns count="11">
    <tableColumn id="1" xr3:uid="{A9705A41-9454-4834-AB2E-1B9FAF765397}" uniqueName="1" name="No." queryTableFieldId="1" dataDxfId="92"/>
    <tableColumn id="8" xr3:uid="{EE5F7C9E-C82E-487E-A45E-F218F15C2F45}" uniqueName="8" name="服装" queryTableFieldId="8" dataDxfId="91"/>
    <tableColumn id="9" xr3:uid="{E2428F83-6D09-411F-9D56-AC04E173C164}" uniqueName="9" name="服装順.ID" queryTableFieldId="9" dataDxfId="90"/>
    <tableColumn id="13" xr3:uid="{A6320E74-6016-4B8B-8D3F-5606056A69BE}" uniqueName="13" name="攻撃力" queryTableFieldId="13"/>
    <tableColumn id="14" xr3:uid="{4BABF501-A152-4F5A-A430-0BB90B6980CC}" uniqueName="14" name="守備力" queryTableFieldId="14"/>
    <tableColumn id="15" xr3:uid="{97210EDB-6A3C-4967-98F6-E87A437C5A98}" uniqueName="15" name="DispName" queryTableFieldId="15" dataDxfId="89"/>
    <tableColumn id="16" xr3:uid="{2AE19ADE-EF16-46B6-8FF2-37B1A416A453}" uniqueName="16" name="Q_RZS.AttackVal" queryTableFieldId="16" dataDxfId="88"/>
    <tableColumn id="17" xr3:uid="{B7CEE299-2317-4EDD-AF87-9D1431094743}" uniqueName="17" name="Q_RZS.ServeVal" queryTableFieldId="17" dataDxfId="87"/>
    <tableColumn id="18" xr3:uid="{D6114AF3-411C-4DAF-A8CF-E9EEA38E41A3}" uniqueName="18" name="Q_RZS.TossVal" queryTableFieldId="18" dataDxfId="86"/>
    <tableColumn id="19" xr3:uid="{73034457-E3AF-451E-B06F-3D286C93FC81}" uniqueName="19" name="Q_RZS.ReceiveVal" queryTableFieldId="19" dataDxfId="85"/>
    <tableColumn id="20" xr3:uid="{16409FF4-4BBD-4D0E-ABC6-C04F3DDD79FB}" uniqueName="20" name="Q_RZS.BlockVal" queryTableFieldId="20" dataDxfId="84"/>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809DBBB9-2735-4BED-AF48-F5B5D1951483}" name="稲荷崎" displayName="稲荷崎" ref="A1:K44" tableType="queryTable" totalsRowShown="0">
  <autoFilter ref="A1:K44" xr:uid="{809DBBB9-2735-4BED-AF48-F5B5D1951483}"/>
  <tableColumns count="11">
    <tableColumn id="1" xr3:uid="{F2FCD7D6-4BDA-4376-BF51-86EE52C80D14}" uniqueName="1" name="No." queryTableFieldId="1" dataDxfId="83"/>
    <tableColumn id="2" xr3:uid="{F70AC133-27B2-4AE3-9C1D-87E80F0E770C}" uniqueName="2" name="服装" queryTableFieldId="55" dataDxfId="82"/>
    <tableColumn id="31" xr3:uid="{8CE8B716-7731-46AF-A869-F1062D5B7CAE}" uniqueName="31" name="服装順.ID" queryTableFieldId="56" dataDxfId="81"/>
    <tableColumn id="7" xr3:uid="{793E9E76-CD8D-4D5D-82B1-01D3FCB4E442}" uniqueName="7" name="攻撃力" queryTableFieldId="7"/>
    <tableColumn id="6" xr3:uid="{E4248A53-7644-4520-AE83-5954C9CB6E8D}" uniqueName="6" name="守備力" queryTableFieldId="6"/>
    <tableColumn id="30" xr3:uid="{715DFC35-FB1E-4ADC-98B9-E46DCBD3EE4D}" uniqueName="30" name="DispName" queryTableFieldId="30" dataDxfId="80"/>
    <tableColumn id="25" xr3:uid="{9CB568C5-F34C-452A-B567-0A8778E000BC}" uniqueName="25" name="Q_RZS.AttackVal" queryTableFieldId="25" dataDxfId="79"/>
    <tableColumn id="26" xr3:uid="{D4245045-451F-4EA8-B091-DD8EB8BB138F}" uniqueName="26" name="Q_RZS.ServeVal" queryTableFieldId="26" dataDxfId="78"/>
    <tableColumn id="27" xr3:uid="{BE0F771B-EBB5-449C-8896-C3B6D933C459}" uniqueName="27" name="Q_RZS.TossVal" queryTableFieldId="27" dataDxfId="77"/>
    <tableColumn id="28" xr3:uid="{F83F13BD-2DA2-4631-808C-0FAAD1199909}" uniqueName="28" name="Q_RZS.ReceiveVal" queryTableFieldId="28" dataDxfId="76"/>
    <tableColumn id="29" xr3:uid="{DBBB4146-A0D9-46F1-90F4-F46198691F9F}" uniqueName="29" name="Q_RZS.BlockVal" queryTableFieldId="29" dataDxfId="75"/>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D72D442D-E89B-49F9-9BAC-8791430DD1AA}" name="梟谷" displayName="梟谷" ref="A1:K31" tableType="queryTable" totalsRowShown="0">
  <autoFilter ref="A1:K31" xr:uid="{D72D442D-E89B-49F9-9BAC-8791430DD1AA}"/>
  <tableColumns count="11">
    <tableColumn id="1" xr3:uid="{E0874E7A-3C95-4877-9FF2-1F40C3D27D96}" uniqueName="1" name="No." queryTableFieldId="1" dataDxfId="74"/>
    <tableColumn id="2" xr3:uid="{42B174F7-4BB8-46CD-8451-13BDE33C506D}" uniqueName="2" name="服装" queryTableFieldId="55" dataDxfId="73"/>
    <tableColumn id="31" xr3:uid="{7FE625A4-A0D2-4800-B3B5-107A10F28EF3}" uniqueName="31" name="服装順.ID" queryTableFieldId="56" dataDxfId="72"/>
    <tableColumn id="7" xr3:uid="{24D19B37-3239-499E-9B53-A5A02F039539}" uniqueName="7" name="攻撃力" queryTableFieldId="7"/>
    <tableColumn id="6" xr3:uid="{24B8B925-A439-4148-8CB0-C7EF6CFE07EB}" uniqueName="6" name="守備力" queryTableFieldId="6"/>
    <tableColumn id="30" xr3:uid="{550EEFFB-9CFD-4AAF-8590-623C6C63860E}" uniqueName="30" name="DispName" queryTableFieldId="30" dataDxfId="71"/>
    <tableColumn id="25" xr3:uid="{5834761C-71DA-4B56-BCBD-9B7E2F59B051}" uniqueName="25" name="Q_RZS.AttackVal" queryTableFieldId="25" dataDxfId="70"/>
    <tableColumn id="26" xr3:uid="{8B4F204F-8D9D-4038-A487-A17E1FCA621E}" uniqueName="26" name="Q_RZS.ServeVal" queryTableFieldId="26" dataDxfId="69"/>
    <tableColumn id="27" xr3:uid="{E6B4308B-1348-4224-ACBA-849DA0BEC055}" uniqueName="27" name="Q_RZS.TossVal" queryTableFieldId="27" dataDxfId="68"/>
    <tableColumn id="28" xr3:uid="{D22C6842-28FA-451F-ACB7-F14BFB5A0CC7}" uniqueName="28" name="Q_RZS.ReceiveVal" queryTableFieldId="28" dataDxfId="67"/>
    <tableColumn id="29" xr3:uid="{9C019DF8-2FD4-4D5B-ABAA-F6E1F516A291}" uniqueName="29" name="Q_RZS.BlockVal" queryTableFieldId="29" dataDxfId="66"/>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63F2D26-0652-453F-AF21-7369CA36E3AE}" name="椿原" displayName="椿原" ref="A1:K9" tableType="queryTable" totalsRowShown="0">
  <autoFilter ref="A1:K9" xr:uid="{D63F2D26-0652-453F-AF21-7369CA36E3AE}"/>
  <tableColumns count="11">
    <tableColumn id="1" xr3:uid="{A59675A2-CEA8-45C1-AB81-BA5FFBC499A8}" uniqueName="1" name="No." queryTableFieldId="1" dataDxfId="65"/>
    <tableColumn id="2" xr3:uid="{DB96F40F-8C54-46CC-B153-E808B65B6498}" uniqueName="2" name="服装" queryTableFieldId="55" dataDxfId="64"/>
    <tableColumn id="31" xr3:uid="{4C80A8B1-74B3-4F6E-A5F8-262815509117}" uniqueName="31" name="服装順.ID" queryTableFieldId="56" dataDxfId="63"/>
    <tableColumn id="7" xr3:uid="{D17E8819-CB1D-4D42-8FD3-A71954684D96}" uniqueName="7" name="攻撃力" queryTableFieldId="7"/>
    <tableColumn id="6" xr3:uid="{1FE6EAF1-490C-4DE4-BA97-18420A02B97F}" uniqueName="6" name="守備力" queryTableFieldId="6"/>
    <tableColumn id="30" xr3:uid="{C5D675AE-61AA-4F25-A609-979C92A25580}" uniqueName="30" name="DispName" queryTableFieldId="30" dataDxfId="62"/>
    <tableColumn id="25" xr3:uid="{F5C2D152-EA78-4B52-8CF2-6207F203B655}" uniqueName="25" name="Q_RZS.AttackVal" queryTableFieldId="25" dataDxfId="61"/>
    <tableColumn id="26" xr3:uid="{7F1D0939-F94A-4821-AA9A-E983F2BC110E}" uniqueName="26" name="Q_RZS.ServeVal" queryTableFieldId="26" dataDxfId="60"/>
    <tableColumn id="27" xr3:uid="{3C0FB43D-01F7-426E-B784-CC506EE31617}" uniqueName="27" name="Q_RZS.TossVal" queryTableFieldId="27" dataDxfId="59"/>
    <tableColumn id="28" xr3:uid="{0AA321A5-B120-4811-8CD2-665048632400}" uniqueName="28" name="Q_RZS.ReceiveVal" queryTableFieldId="28" dataDxfId="58"/>
    <tableColumn id="29" xr3:uid="{FEDAA81A-BB7E-4322-943C-AF7FFDFA23FF}" uniqueName="29" name="Q_RZS.BlockVal" queryTableFieldId="29" dataDxfId="57"/>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C2331B8B-5A96-4DEC-8779-AD14B7318166}" name="鴎台" displayName="鴎台" ref="A1:K11" tableType="queryTable" totalsRowShown="0">
  <autoFilter ref="A1:K11" xr:uid="{C2331B8B-5A96-4DEC-8779-AD14B7318166}"/>
  <tableColumns count="11">
    <tableColumn id="1" xr3:uid="{3E7932B0-5493-4864-955B-9F59A7E834C4}" uniqueName="1" name="No." queryTableFieldId="1" dataDxfId="56"/>
    <tableColumn id="2" xr3:uid="{4B955EFB-45C7-4EDC-AFA2-2DBE8024163E}" uniqueName="2" name="服装" queryTableFieldId="55" dataDxfId="55"/>
    <tableColumn id="31" xr3:uid="{8A86FE26-2982-46E5-90BD-A9884FFE134A}" uniqueName="31" name="服装順.ID" queryTableFieldId="56" dataDxfId="54"/>
    <tableColumn id="7" xr3:uid="{4C5B50FF-D400-49F9-B413-F71E78D4F404}" uniqueName="7" name="攻撃力" queryTableFieldId="7"/>
    <tableColumn id="6" xr3:uid="{2E44C611-58A7-46FA-B996-D53F1FEF18A4}" uniqueName="6" name="守備力" queryTableFieldId="6"/>
    <tableColumn id="30" xr3:uid="{0CD962B1-769D-4DE4-95D6-1784CEBC96E3}" uniqueName="30" name="DispName" queryTableFieldId="30" dataDxfId="53"/>
    <tableColumn id="25" xr3:uid="{B629FFF2-73C3-43CA-93A5-FA825A4A53BF}" uniqueName="25" name="Q_RZS.AttackVal" queryTableFieldId="25" dataDxfId="52"/>
    <tableColumn id="26" xr3:uid="{A4FE05F0-4AE8-47AD-B3F8-63ED63A286A0}" uniqueName="26" name="Q_RZS.ServeVal" queryTableFieldId="26" dataDxfId="51"/>
    <tableColumn id="27" xr3:uid="{BADB94B2-E627-4171-94A3-9DAA8B326FBA}" uniqueName="27" name="Q_RZS.TossVal" queryTableFieldId="27" dataDxfId="50"/>
    <tableColumn id="28" xr3:uid="{4FE2395C-BCB2-4EAE-BA75-2B0632360EAD}" uniqueName="28" name="Q_RZS.ReceiveVal" queryTableFieldId="28" dataDxfId="49"/>
    <tableColumn id="29" xr3:uid="{5D449642-F523-4B90-A893-3D032B4E119E}" uniqueName="29" name="Q_RZS.BlockVal" queryTableFieldId="29" dataDxfId="48"/>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7795A02-9E04-4795-B3E1-F3F08FEFECB9}" name="井闥山" displayName="井闥山" ref="A1:K8" tableType="queryTable" totalsRowShown="0">
  <autoFilter ref="A1:K8" xr:uid="{77795A02-9E04-4795-B3E1-F3F08FEFECB9}"/>
  <tableColumns count="11">
    <tableColumn id="1" xr3:uid="{696280A4-B655-4EB1-A5A1-ACD49BC542ED}" uniqueName="1" name="No." queryTableFieldId="1" dataDxfId="47"/>
    <tableColumn id="2" xr3:uid="{0BA48C46-5AD3-4479-937E-BA52D7B5CA76}" uniqueName="2" name="服装" queryTableFieldId="67" dataDxfId="46"/>
    <tableColumn id="31" xr3:uid="{E0BC4CF0-8439-456F-8283-4DB742095CF4}" uniqueName="31" name="服装順.ID" queryTableFieldId="68" dataDxfId="45"/>
    <tableColumn id="7" xr3:uid="{96369E45-5D8E-48BA-94C5-6288997D689B}" uniqueName="7" name="攻撃力" queryTableFieldId="7"/>
    <tableColumn id="6" xr3:uid="{1FC6370A-9A1A-4402-B2A0-BE9A625F2170}" uniqueName="6" name="守備力" queryTableFieldId="6"/>
    <tableColumn id="30" xr3:uid="{7D735624-F7FE-4051-B70A-97E32198FC9A}" uniqueName="30" name="DispName" queryTableFieldId="42" dataDxfId="44"/>
    <tableColumn id="19" xr3:uid="{738B603B-0878-4238-A548-60E8B8268F98}" uniqueName="19" name="Q_RZS.AttackVal" queryTableFieldId="25" dataDxfId="43"/>
    <tableColumn id="20" xr3:uid="{100333A9-4C0C-4BEA-861F-F5C1AFC2802F}" uniqueName="20" name="Q_RZS.ServeVal" queryTableFieldId="26" dataDxfId="42"/>
    <tableColumn id="21" xr3:uid="{CE394A45-6E53-440C-9FE5-5B6E8B838606}" uniqueName="21" name="Q_RZS.TossVal" queryTableFieldId="27" dataDxfId="41"/>
    <tableColumn id="22" xr3:uid="{2F0E53E8-E889-45DF-B29E-8D60B0BA07C0}" uniqueName="22" name="Q_RZS.ReceiveVal" queryTableFieldId="28" dataDxfId="40"/>
    <tableColumn id="23" xr3:uid="{782C347D-DA8A-4D3B-91BE-9E98B4C6525C}" uniqueName="23" name="Q_RZS.BlockVal" queryTableFieldId="29" dataDxfId="39"/>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392DC93-92BE-4673-976C-42960FC6704D}" name="戸美" displayName="戸美" ref="A1:K16" tableType="queryTable" totalsRowShown="0">
  <autoFilter ref="A1:K16" xr:uid="{4392DC93-92BE-4673-976C-42960FC6704D}"/>
  <tableColumns count="11">
    <tableColumn id="1" xr3:uid="{8EEF5F9E-4830-45FE-AD46-518B0DE15B27}" uniqueName="1" name="No." queryTableFieldId="1" dataDxfId="38"/>
    <tableColumn id="2" xr3:uid="{3E65FB36-CC55-41F9-9A87-583620C1F046}" uniqueName="2" name="服装" queryTableFieldId="55" dataDxfId="37"/>
    <tableColumn id="31" xr3:uid="{D7DA5115-3933-432F-909C-CFF36D2EB88F}" uniqueName="31" name="服装順.ID" queryTableFieldId="56" dataDxfId="36"/>
    <tableColumn id="7" xr3:uid="{52957CCF-7D07-4DA5-868E-A37E95C11C2B}" uniqueName="7" name="攻撃力" queryTableFieldId="7"/>
    <tableColumn id="6" xr3:uid="{CB553440-199F-4F6E-8FB8-E5B77468A12A}" uniqueName="6" name="守備力" queryTableFieldId="6"/>
    <tableColumn id="30" xr3:uid="{C11E7133-66EF-4BAA-95C6-013D88E532ED}" uniqueName="30" name="DispName" queryTableFieldId="30" dataDxfId="35"/>
    <tableColumn id="25" xr3:uid="{FC19DD77-6DCF-4F17-A73A-32BEF9573254}" uniqueName="25" name="Q_RZS.AttackVal" queryTableFieldId="25" dataDxfId="34"/>
    <tableColumn id="26" xr3:uid="{66ACE13D-1E9F-411E-911D-87C7FFD56C44}" uniqueName="26" name="Q_RZS.ServeVal" queryTableFieldId="26" dataDxfId="33"/>
    <tableColumn id="27" xr3:uid="{A261DD1F-EBCC-4E4E-AC22-9D77084C5182}" uniqueName="27" name="Q_RZS.TossVal" queryTableFieldId="27" dataDxfId="32"/>
    <tableColumn id="28" xr3:uid="{138883CA-3EAC-4795-9633-D2A49067366B}" uniqueName="28" name="Q_RZS.ReceiveVal" queryTableFieldId="28" dataDxfId="31"/>
    <tableColumn id="29" xr3:uid="{F26A0E93-8EFA-4F87-AD29-E0F58A8FEA07}" uniqueName="29" name="Q_RZS.BlockVal" queryTableFieldId="29" dataDxfId="30"/>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1C77541-00CB-4C3F-8922-D5751955ECB9}" name="早流川" displayName="早流川" ref="A1:K8" tableType="queryTable" totalsRowShown="0">
  <autoFilter ref="A1:K8" xr:uid="{A1C77541-00CB-4C3F-8922-D5751955ECB9}"/>
  <tableColumns count="11">
    <tableColumn id="1" xr3:uid="{37039E6C-58B4-48B3-BADD-78C638E4B7C1}" uniqueName="1" name="No." queryTableFieldId="1"/>
    <tableColumn id="2" xr3:uid="{AC989AF8-69CC-4E14-91BB-C6557E25FD6F}" uniqueName="2" name="服装" queryTableFieldId="2" dataDxfId="29"/>
    <tableColumn id="3" xr3:uid="{08AACA22-2614-4F22-AAD8-4F3566BF6FDE}" uniqueName="3" name="服装順.ID" queryTableFieldId="3" dataDxfId="28"/>
    <tableColumn id="4" xr3:uid="{A9A4BDAD-F07D-453F-B664-70357451837A}" uniqueName="4" name="攻撃力" queryTableFieldId="4"/>
    <tableColumn id="5" xr3:uid="{06541ECA-4DE4-473D-A245-26F98045DE92}" uniqueName="5" name="守備力" queryTableFieldId="5"/>
    <tableColumn id="6" xr3:uid="{742E9B3F-4397-42FA-808D-E4C09CA18B49}" uniqueName="6" name="DispName" queryTableFieldId="6" dataDxfId="27"/>
    <tableColumn id="7" xr3:uid="{EC65BA2E-2682-4C2F-9DDF-A70325F2636D}" uniqueName="7" name="Q_RZS.AttackVal" queryTableFieldId="7"/>
    <tableColumn id="8" xr3:uid="{EF169D13-F943-404B-A21A-21988275D027}" uniqueName="8" name="Q_RZS.ServeVal" queryTableFieldId="8"/>
    <tableColumn id="9" xr3:uid="{E6EFB305-76F7-481B-AE95-E1FFDF0280B1}" uniqueName="9" name="Q_RZS.TossVal" queryTableFieldId="9"/>
    <tableColumn id="10" xr3:uid="{97F3D152-6482-405C-9D43-BB8E6DCF8781}" uniqueName="10" name="Q_RZS.ReceiveVal" queryTableFieldId="10"/>
    <tableColumn id="11" xr3:uid="{A66BD805-248B-4CD5-9506-952D21235B44}" uniqueName="11" name="Q_RZS.BlockVal" queryTableFieldId="11"/>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D72E8E57-CD1C-4080-BB80-91C2C87BC7A0}" name="Tbl_Costume" displayName="Tbl_Costume" ref="A1:B54" totalsRowShown="0">
  <autoFilter ref="A1:B54" xr:uid="{D72E8E57-CD1C-4080-BB80-91C2C87BC7A0}"/>
  <tableColumns count="2">
    <tableColumn id="1" xr3:uid="{3D87F49B-EAFB-4D04-9DD2-55CCC7CF9BAC}" name="服装"/>
    <tableColumn id="2" xr3:uid="{01F97B7E-19A4-4DAF-9730-364C3E98AB74}" name="ID" dataDxfId="26">
      <calculatedColumnFormula>ROW()-1</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138193D-629D-4369-B8DF-D188E18DF119}" name="currentFilePath" displayName="currentFilePath" ref="F1:F2" totalsRowShown="0">
  <autoFilter ref="F1:F2" xr:uid="{9138193D-629D-4369-B8DF-D188E18DF119}"/>
  <tableColumns count="1">
    <tableColumn id="1" xr3:uid="{3B457EFB-0C8C-4963-BCAC-A016E30E3126}" name="myPath">
      <calculatedColumnFormula>LEFT(F3,FIND("[",F3)-1)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バッジ">
  <a:themeElements>
    <a:clrScheme name="バッジ">
      <a:dk1>
        <a:sysClr val="windowText" lastClr="000000"/>
      </a:dk1>
      <a:lt1>
        <a:sysClr val="window" lastClr="FFFFFF"/>
      </a:lt1>
      <a:dk2>
        <a:srgbClr val="2A1A00"/>
      </a:dk2>
      <a:lt2>
        <a:srgbClr val="F3F3F2"/>
      </a:lt2>
      <a:accent1>
        <a:srgbClr val="F8B323"/>
      </a:accent1>
      <a:accent2>
        <a:srgbClr val="656A59"/>
      </a:accent2>
      <a:accent3>
        <a:srgbClr val="46B2B5"/>
      </a:accent3>
      <a:accent4>
        <a:srgbClr val="8CAA7E"/>
      </a:accent4>
      <a:accent5>
        <a:srgbClr val="D36F68"/>
      </a:accent5>
      <a:accent6>
        <a:srgbClr val="826276"/>
      </a:accent6>
      <a:hlink>
        <a:srgbClr val="46B2B5"/>
      </a:hlink>
      <a:folHlink>
        <a:srgbClr val="A46694"/>
      </a:folHlink>
    </a:clrScheme>
    <a:fontScheme name="バッジ">
      <a:majorFont>
        <a:latin typeface="Impact" panose="020B080603090205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ill Sans MT" panose="020B0502020104020203"/>
        <a:ea typeface=""/>
        <a:cs typeface=""/>
        <a:font script="Grek" typeface="Corbel"/>
        <a:font script="Cyrl" typeface="Corbel"/>
        <a:font script="Jpan" typeface="メイリオ"/>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バッジ">
      <a:fillStyleLst>
        <a:solidFill>
          <a:schemeClr val="phClr"/>
        </a:solidFill>
        <a:gradFill rotWithShape="1">
          <a:gsLst>
            <a:gs pos="0">
              <a:schemeClr val="phClr">
                <a:tint val="67000"/>
                <a:satMod val="105000"/>
                <a:lumMod val="110000"/>
              </a:schemeClr>
            </a:gs>
            <a:gs pos="50000">
              <a:schemeClr val="phClr">
                <a:tint val="73000"/>
                <a:satMod val="103000"/>
                <a:lumMod val="105000"/>
              </a:schemeClr>
            </a:gs>
            <a:gs pos="100000">
              <a:schemeClr val="phClr">
                <a:tint val="81000"/>
                <a:satMod val="109000"/>
                <a:lumMod val="105000"/>
              </a:schemeClr>
            </a:gs>
          </a:gsLst>
          <a:lin ang="5400000" scaled="0"/>
        </a:gradFill>
        <a:gradFill rotWithShape="1">
          <a:gsLst>
            <a:gs pos="0">
              <a:schemeClr val="phClr">
                <a:tint val="94000"/>
                <a:satMod val="103000"/>
                <a:lumMod val="102000"/>
              </a:schemeClr>
            </a:gs>
            <a:gs pos="50000">
              <a:schemeClr val="phClr">
                <a:shade val="100000"/>
                <a:satMod val="110000"/>
                <a:lumMod val="100000"/>
              </a:schemeClr>
            </a:gs>
            <a:gs pos="100000">
              <a:schemeClr val="phClr">
                <a:shade val="78000"/>
                <a:satMod val="120000"/>
                <a:lumMod val="99000"/>
              </a:schemeClr>
            </a:gs>
          </a:gsLst>
          <a:lin ang="5400000" scaled="0"/>
        </a:gradFill>
      </a:fillStyleLst>
      <a:lnStyleLst>
        <a:ln w="6350" cap="flat" cmpd="sng" algn="in">
          <a:solidFill>
            <a:schemeClr val="phClr"/>
          </a:solidFill>
          <a:prstDash val="solid"/>
        </a:ln>
        <a:ln w="12700" cap="flat" cmpd="sng" algn="in">
          <a:solidFill>
            <a:schemeClr val="phClr"/>
          </a:solidFill>
          <a:prstDash val="solid"/>
        </a:ln>
        <a:ln w="50800" cap="flat" cmpd="sng" algn="in">
          <a:solidFill>
            <a:schemeClr val="phClr"/>
          </a:solidFill>
          <a:prstDash val="solid"/>
        </a:ln>
      </a:lnStyleLst>
      <a:effectStyleLst>
        <a:effectStyle>
          <a:effectLst/>
        </a:effectStyle>
        <a:effectStyle>
          <a:effectLst/>
        </a:effectStyle>
        <a:effectStyle>
          <a:effectLst>
            <a:outerShdw blurRad="38100" dist="25400" dir="5400000" algn="ctr" rotWithShape="0">
              <a:srgbClr val="000000">
                <a:alpha val="25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Badge" id="{71A07785-5930-41D4-9A83-E23602B48E98}" vid="{771EA782-DFA6-45B1-AEA3-661F1715B310}"/>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01A5784-202D-4900-AFE8-F716AD2EF354}">
  <we:reference id="wa104381701" version="1.0.0.4" store="ja-JP" storeType="OMEX"/>
  <we:alternateReferences>
    <we:reference id="WA104381701" version="1.0.0.4" store="WA10438170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70C4B-C838-43B3-B4FA-E7DDFCCCDF62}">
  <sheetPr codeName="Sheet1"/>
  <dimension ref="AE1:AG92"/>
  <sheetViews>
    <sheetView tabSelected="1" topLeftCell="A70" zoomScaleNormal="100" workbookViewId="0">
      <selection activeCell="BC105" sqref="BC105"/>
    </sheetView>
  </sheetViews>
  <sheetFormatPr defaultRowHeight="16.5" x14ac:dyDescent="0.4"/>
  <sheetData>
    <row r="1" spans="31:33" x14ac:dyDescent="0.4">
      <c r="AE1" t="s">
        <v>590</v>
      </c>
      <c r="AF1" t="s">
        <v>591</v>
      </c>
      <c r="AG1" t="s">
        <v>592</v>
      </c>
    </row>
    <row r="92" spans="32:32" x14ac:dyDescent="0.4">
      <c r="AF92" t="s">
        <v>838</v>
      </c>
    </row>
  </sheetData>
  <phoneticPr fontId="1"/>
  <pageMargins left="0.7" right="0.7" top="0.75" bottom="0.75" header="0.3" footer="0.3"/>
  <pageSetup paperSize="9" orientation="portrait" horizontalDpi="4294967293"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63BC9-AD81-470E-8072-89FD1AB1E6AD}">
  <sheetPr codeName="Sheet2"/>
  <dimension ref="B42:M67"/>
  <sheetViews>
    <sheetView zoomScaleNormal="100" workbookViewId="0">
      <selection activeCell="B52" sqref="B52"/>
    </sheetView>
  </sheetViews>
  <sheetFormatPr defaultRowHeight="16.5" x14ac:dyDescent="0.4"/>
  <cols>
    <col min="1" max="1" width="9.25" bestFit="1" customWidth="1"/>
    <col min="2" max="2" width="10.25" bestFit="1" customWidth="1"/>
    <col min="3" max="3" width="13.875" bestFit="1" customWidth="1"/>
    <col min="4" max="4" width="13.25" bestFit="1" customWidth="1"/>
    <col min="5" max="5" width="17.5" bestFit="1" customWidth="1"/>
    <col min="6" max="11" width="14.5" bestFit="1" customWidth="1"/>
    <col min="12" max="12" width="13.875" bestFit="1" customWidth="1"/>
    <col min="13" max="13" width="14.5" bestFit="1" customWidth="1"/>
    <col min="14" max="21" width="5.125" bestFit="1" customWidth="1"/>
    <col min="22" max="22" width="4.875" bestFit="1" customWidth="1"/>
    <col min="23" max="33" width="5.125" bestFit="1" customWidth="1"/>
    <col min="34" max="34" width="6.5" bestFit="1" customWidth="1"/>
    <col min="35" max="40" width="5.125" bestFit="1" customWidth="1"/>
    <col min="41" max="41" width="4.875" bestFit="1" customWidth="1"/>
    <col min="42" max="46" width="5.125" bestFit="1" customWidth="1"/>
    <col min="47" max="50" width="4.875" bestFit="1" customWidth="1"/>
    <col min="51" max="51" width="4.5" bestFit="1" customWidth="1"/>
    <col min="52" max="52" width="4.625" bestFit="1" customWidth="1"/>
    <col min="53" max="53" width="10.875" bestFit="1" customWidth="1"/>
    <col min="54" max="54" width="4.875" bestFit="1" customWidth="1"/>
    <col min="55" max="58" width="5.125" bestFit="1" customWidth="1"/>
    <col min="59" max="59" width="6.5" bestFit="1" customWidth="1"/>
    <col min="60" max="63" width="5.125" bestFit="1" customWidth="1"/>
    <col min="64" max="64" width="4.875" bestFit="1" customWidth="1"/>
    <col min="65" max="72" width="5.125" bestFit="1" customWidth="1"/>
    <col min="73" max="73" width="4.875" bestFit="1" customWidth="1"/>
    <col min="74" max="74" width="5.125" bestFit="1" customWidth="1"/>
    <col min="75" max="75" width="6.5" bestFit="1" customWidth="1"/>
    <col min="76" max="91" width="5.125" bestFit="1" customWidth="1"/>
    <col min="92" max="92" width="4.875" bestFit="1" customWidth="1"/>
    <col min="93" max="97" width="5.125" bestFit="1" customWidth="1"/>
    <col min="98" max="101" width="4.875" bestFit="1" customWidth="1"/>
    <col min="102" max="102" width="4.5" bestFit="1" customWidth="1"/>
    <col min="103" max="103" width="4.625" bestFit="1" customWidth="1"/>
    <col min="104" max="104" width="15" bestFit="1" customWidth="1"/>
    <col min="105" max="105" width="4.875" bestFit="1" customWidth="1"/>
    <col min="106" max="109" width="5.125" bestFit="1" customWidth="1"/>
    <col min="110" max="110" width="6.5" bestFit="1" customWidth="1"/>
    <col min="111" max="114" width="5.125" bestFit="1" customWidth="1"/>
    <col min="115" max="115" width="4.875" bestFit="1" customWidth="1"/>
    <col min="116" max="123" width="5.125" bestFit="1" customWidth="1"/>
    <col min="124" max="124" width="4.875" bestFit="1" customWidth="1"/>
    <col min="125" max="125" width="5.125" bestFit="1" customWidth="1"/>
    <col min="126" max="126" width="6.5" bestFit="1" customWidth="1"/>
    <col min="127" max="135" width="5.125" bestFit="1" customWidth="1"/>
    <col min="136" max="136" width="6.5" bestFit="1" customWidth="1"/>
    <col min="137" max="142" width="5.125" bestFit="1" customWidth="1"/>
    <col min="143" max="143" width="4.875" bestFit="1" customWidth="1"/>
    <col min="144" max="148" width="5.125" bestFit="1" customWidth="1"/>
    <col min="149" max="152" width="4.875" bestFit="1" customWidth="1"/>
    <col min="153" max="153" width="4.5" bestFit="1" customWidth="1"/>
    <col min="154" max="154" width="4.625" bestFit="1" customWidth="1"/>
    <col min="155" max="155" width="10.375" bestFit="1" customWidth="1"/>
    <col min="156" max="156" width="4.875" bestFit="1" customWidth="1"/>
    <col min="157" max="160" width="5.125" bestFit="1" customWidth="1"/>
    <col min="161" max="161" width="6.5" bestFit="1" customWidth="1"/>
    <col min="162" max="165" width="5.125" bestFit="1" customWidth="1"/>
    <col min="166" max="166" width="6.5" bestFit="1" customWidth="1"/>
    <col min="167" max="174" width="5.125" bestFit="1" customWidth="1"/>
    <col min="175" max="175" width="4.875" bestFit="1" customWidth="1"/>
    <col min="176" max="186" width="5.125" bestFit="1" customWidth="1"/>
    <col min="187" max="187" width="6.5" bestFit="1" customWidth="1"/>
    <col min="188" max="193" width="5.125" bestFit="1" customWidth="1"/>
    <col min="194" max="194" width="4.875" bestFit="1" customWidth="1"/>
    <col min="195" max="199" width="5.125" bestFit="1" customWidth="1"/>
    <col min="200" max="203" width="4.875" bestFit="1" customWidth="1"/>
    <col min="204" max="204" width="4.5" bestFit="1" customWidth="1"/>
    <col min="205" max="205" width="4.625" bestFit="1" customWidth="1"/>
    <col min="206" max="206" width="10.375" bestFit="1" customWidth="1"/>
    <col min="207" max="207" width="4.875" bestFit="1" customWidth="1"/>
    <col min="208" max="216" width="5.125" bestFit="1" customWidth="1"/>
    <col min="217" max="217" width="4.875" bestFit="1" customWidth="1"/>
    <col min="218" max="225" width="5.125" bestFit="1" customWidth="1"/>
    <col min="226" max="226" width="4.875" bestFit="1" customWidth="1"/>
    <col min="227" max="244" width="5.125" bestFit="1" customWidth="1"/>
    <col min="245" max="245" width="4.875" bestFit="1" customWidth="1"/>
    <col min="246" max="250" width="5.125" bestFit="1" customWidth="1"/>
    <col min="251" max="254" width="4.875" bestFit="1" customWidth="1"/>
    <col min="255" max="255" width="4.5" bestFit="1" customWidth="1"/>
    <col min="256" max="256" width="4.625" bestFit="1" customWidth="1"/>
    <col min="257" max="257" width="12.125" bestFit="1" customWidth="1"/>
    <col min="258" max="258" width="4.875" bestFit="1" customWidth="1"/>
    <col min="259" max="262" width="5.125" bestFit="1" customWidth="1"/>
    <col min="263" max="263" width="6.5" bestFit="1" customWidth="1"/>
    <col min="264" max="266" width="5.125" bestFit="1" customWidth="1"/>
    <col min="267" max="268" width="6.5" bestFit="1" customWidth="1"/>
    <col min="269" max="276" width="5.125" bestFit="1" customWidth="1"/>
    <col min="277" max="277" width="4.875" bestFit="1" customWidth="1"/>
    <col min="278" max="288" width="5.125" bestFit="1" customWidth="1"/>
    <col min="289" max="289" width="6.5" bestFit="1" customWidth="1"/>
    <col min="290" max="295" width="5.125" bestFit="1" customWidth="1"/>
    <col min="296" max="296" width="4.875" bestFit="1" customWidth="1"/>
    <col min="297" max="301" width="5.125" bestFit="1" customWidth="1"/>
    <col min="302" max="305" width="4.875" bestFit="1" customWidth="1"/>
    <col min="306" max="306" width="4.5" bestFit="1" customWidth="1"/>
    <col min="307" max="307" width="4.625" bestFit="1" customWidth="1"/>
    <col min="308" max="308" width="9.625" bestFit="1" customWidth="1"/>
    <col min="309" max="309" width="4.875" bestFit="1" customWidth="1"/>
    <col min="310" max="313" width="5.125" bestFit="1" customWidth="1"/>
    <col min="314" max="314" width="6.5" bestFit="1" customWidth="1"/>
    <col min="315" max="317" width="5.125" bestFit="1" customWidth="1"/>
    <col min="318" max="318" width="6.5" bestFit="1" customWidth="1"/>
    <col min="319" max="319" width="4.875" bestFit="1" customWidth="1"/>
    <col min="320" max="327" width="5.125" bestFit="1" customWidth="1"/>
    <col min="328" max="328" width="4.875" bestFit="1" customWidth="1"/>
    <col min="329" max="339" width="5.125" bestFit="1" customWidth="1"/>
    <col min="340" max="340" width="6.5" bestFit="1" customWidth="1"/>
    <col min="341" max="346" width="5.125" bestFit="1" customWidth="1"/>
    <col min="347" max="347" width="4.875" bestFit="1" customWidth="1"/>
    <col min="348" max="352" width="5.125" bestFit="1" customWidth="1"/>
    <col min="353" max="356" width="4.875" bestFit="1" customWidth="1"/>
    <col min="357" max="357" width="4.5" bestFit="1" customWidth="1"/>
    <col min="358" max="358" width="4.625" bestFit="1" customWidth="1"/>
    <col min="359" max="359" width="12.375" bestFit="1" customWidth="1"/>
    <col min="360" max="360" width="4.875" bestFit="1" customWidth="1"/>
    <col min="361" max="369" width="5.125" bestFit="1" customWidth="1"/>
    <col min="370" max="370" width="6.5" bestFit="1" customWidth="1"/>
    <col min="371" max="378" width="5.125" bestFit="1" customWidth="1"/>
    <col min="379" max="379" width="4.875" bestFit="1" customWidth="1"/>
    <col min="380" max="390" width="5.125" bestFit="1" customWidth="1"/>
    <col min="391" max="391" width="6.5" bestFit="1" customWidth="1"/>
    <col min="392" max="397" width="5.125" bestFit="1" customWidth="1"/>
    <col min="398" max="398" width="4.875" bestFit="1" customWidth="1"/>
    <col min="399" max="403" width="5.125" bestFit="1" customWidth="1"/>
    <col min="404" max="407" width="4.875" bestFit="1" customWidth="1"/>
    <col min="408" max="408" width="4.5" bestFit="1" customWidth="1"/>
    <col min="409" max="409" width="4.625" bestFit="1" customWidth="1"/>
    <col min="410" max="410" width="12.125" bestFit="1" customWidth="1"/>
    <col min="411" max="411" width="4.875" bestFit="1" customWidth="1"/>
    <col min="412" max="415" width="5.125" bestFit="1" customWidth="1"/>
    <col min="416" max="416" width="6.5" bestFit="1" customWidth="1"/>
    <col min="417" max="419" width="5.125" bestFit="1" customWidth="1"/>
    <col min="420" max="421" width="6.5" bestFit="1" customWidth="1"/>
    <col min="422" max="429" width="5.125" bestFit="1" customWidth="1"/>
    <col min="430" max="430" width="4.875" bestFit="1" customWidth="1"/>
    <col min="431" max="441" width="5.125" bestFit="1" customWidth="1"/>
    <col min="442" max="442" width="6.5" bestFit="1" customWidth="1"/>
    <col min="443" max="448" width="5.125" bestFit="1" customWidth="1"/>
    <col min="449" max="449" width="4.875" bestFit="1" customWidth="1"/>
    <col min="450" max="454" width="5.125" bestFit="1" customWidth="1"/>
    <col min="455" max="458" width="4.875" bestFit="1" customWidth="1"/>
    <col min="459" max="459" width="4.5" bestFit="1" customWidth="1"/>
    <col min="460" max="460" width="4.625" bestFit="1" customWidth="1"/>
    <col min="461" max="461" width="12.5" bestFit="1" customWidth="1"/>
    <col min="462" max="462" width="4.875" bestFit="1" customWidth="1"/>
    <col min="463" max="470" width="5.125" bestFit="1" customWidth="1"/>
    <col min="471" max="471" width="5.5" bestFit="1" customWidth="1"/>
    <col min="472" max="472" width="4.875" bestFit="1" customWidth="1"/>
    <col min="473" max="480" width="5.125" bestFit="1" customWidth="1"/>
    <col min="481" max="481" width="4.875" bestFit="1" customWidth="1"/>
    <col min="482" max="492" width="5.125" bestFit="1" customWidth="1"/>
    <col min="493" max="493" width="5.5" bestFit="1" customWidth="1"/>
    <col min="494" max="499" width="5.125" bestFit="1" customWidth="1"/>
    <col min="500" max="500" width="4.875" bestFit="1" customWidth="1"/>
    <col min="501" max="505" width="5.125" bestFit="1" customWidth="1"/>
    <col min="506" max="509" width="4.875" bestFit="1" customWidth="1"/>
    <col min="510" max="510" width="4.5" bestFit="1" customWidth="1"/>
    <col min="511" max="511" width="4.625" bestFit="1" customWidth="1"/>
  </cols>
  <sheetData>
    <row r="42" spans="2:13" x14ac:dyDescent="0.4">
      <c r="B42" s="2" t="s">
        <v>33</v>
      </c>
      <c r="C42" t="s">
        <v>32</v>
      </c>
    </row>
    <row r="43" spans="2:13" x14ac:dyDescent="0.4">
      <c r="B43" s="2" t="s">
        <v>31</v>
      </c>
      <c r="C43" t="s">
        <v>29</v>
      </c>
    </row>
    <row r="44" spans="2:13" x14ac:dyDescent="0.4">
      <c r="B44" s="2" t="s">
        <v>30</v>
      </c>
      <c r="C44" t="s">
        <v>29</v>
      </c>
    </row>
    <row r="45" spans="2:13" x14ac:dyDescent="0.4">
      <c r="B45" s="2" t="s">
        <v>28</v>
      </c>
      <c r="C45" t="s">
        <v>27</v>
      </c>
    </row>
    <row r="47" spans="2:13" x14ac:dyDescent="0.4">
      <c r="B47" s="2" t="s">
        <v>26</v>
      </c>
      <c r="C47" t="s">
        <v>25</v>
      </c>
      <c r="D47" t="s">
        <v>24</v>
      </c>
      <c r="E47" t="s">
        <v>23</v>
      </c>
      <c r="F47" t="s">
        <v>22</v>
      </c>
      <c r="G47" t="s">
        <v>21</v>
      </c>
      <c r="H47" t="s">
        <v>20</v>
      </c>
      <c r="I47" t="s">
        <v>19</v>
      </c>
      <c r="J47" t="s">
        <v>18</v>
      </c>
      <c r="K47" t="s">
        <v>17</v>
      </c>
      <c r="L47" t="s">
        <v>16</v>
      </c>
      <c r="M47" t="s">
        <v>34</v>
      </c>
    </row>
    <row r="48" spans="2:13" x14ac:dyDescent="0.4">
      <c r="B48" s="1" t="s">
        <v>15</v>
      </c>
      <c r="C48" s="10">
        <v>127.5</v>
      </c>
      <c r="D48" s="10">
        <v>123.5</v>
      </c>
      <c r="E48" s="10">
        <v>113.5</v>
      </c>
      <c r="F48" s="10">
        <v>121</v>
      </c>
      <c r="G48" s="10">
        <v>101</v>
      </c>
      <c r="H48" s="10">
        <v>124.5</v>
      </c>
      <c r="I48" s="10">
        <v>120.5</v>
      </c>
      <c r="J48" s="10">
        <v>116.5</v>
      </c>
      <c r="K48" s="10">
        <v>119</v>
      </c>
      <c r="L48" s="10">
        <v>38.5</v>
      </c>
      <c r="M48" s="10">
        <v>1105.5</v>
      </c>
    </row>
    <row r="49" spans="2:13" x14ac:dyDescent="0.4">
      <c r="B49" s="1" t="s">
        <v>14</v>
      </c>
      <c r="C49" s="10">
        <v>122</v>
      </c>
      <c r="D49" s="10">
        <v>118.5</v>
      </c>
      <c r="E49" s="10">
        <v>116.5</v>
      </c>
      <c r="F49" s="10">
        <v>122.5</v>
      </c>
      <c r="G49" s="10">
        <v>101</v>
      </c>
      <c r="H49" s="10">
        <v>114</v>
      </c>
      <c r="I49" s="10">
        <v>117.5</v>
      </c>
      <c r="J49" s="10">
        <v>127</v>
      </c>
      <c r="K49" s="10">
        <v>120.5</v>
      </c>
      <c r="L49" s="10">
        <v>38.5</v>
      </c>
      <c r="M49" s="10">
        <v>1098</v>
      </c>
    </row>
    <row r="50" spans="2:13" x14ac:dyDescent="0.4">
      <c r="B50" s="1" t="s">
        <v>13</v>
      </c>
      <c r="C50" s="10">
        <v>121.25</v>
      </c>
      <c r="D50" s="10">
        <v>120</v>
      </c>
      <c r="E50" s="10">
        <v>117.25</v>
      </c>
      <c r="F50" s="10">
        <v>121.875</v>
      </c>
      <c r="G50" s="10">
        <v>100</v>
      </c>
      <c r="H50" s="10">
        <v>117.75</v>
      </c>
      <c r="I50" s="10">
        <v>118.5</v>
      </c>
      <c r="J50" s="10">
        <v>117.125</v>
      </c>
      <c r="K50" s="10">
        <v>119</v>
      </c>
      <c r="L50" s="10">
        <v>35</v>
      </c>
      <c r="M50" s="10">
        <v>1087.75</v>
      </c>
    </row>
    <row r="51" spans="2:13" x14ac:dyDescent="0.4">
      <c r="B51" s="1" t="s">
        <v>12</v>
      </c>
      <c r="C51" s="10">
        <v>120.57142857142857</v>
      </c>
      <c r="D51" s="10">
        <v>118.85714285714286</v>
      </c>
      <c r="E51" s="10">
        <v>116.14285714285714</v>
      </c>
      <c r="F51" s="10">
        <v>121</v>
      </c>
      <c r="G51" s="10">
        <v>99.285714285714292</v>
      </c>
      <c r="H51" s="10">
        <v>117.85714285714286</v>
      </c>
      <c r="I51" s="10">
        <v>118.85714285714286</v>
      </c>
      <c r="J51" s="10">
        <v>119.28571428571429</v>
      </c>
      <c r="K51" s="10">
        <v>118.71428571428571</v>
      </c>
      <c r="L51" s="10">
        <v>36.714285714285715</v>
      </c>
      <c r="M51" s="10">
        <v>1087.2857142857142</v>
      </c>
    </row>
    <row r="52" spans="2:13" x14ac:dyDescent="0.4">
      <c r="B52" s="1" t="s">
        <v>11</v>
      </c>
      <c r="C52" s="10">
        <v>122.44444444444444</v>
      </c>
      <c r="D52" s="10">
        <v>119.44444444444444</v>
      </c>
      <c r="E52" s="10">
        <v>115.66666666666667</v>
      </c>
      <c r="F52" s="10">
        <v>120</v>
      </c>
      <c r="G52" s="10">
        <v>99.666666666666671</v>
      </c>
      <c r="H52" s="10">
        <v>119</v>
      </c>
      <c r="I52" s="10">
        <v>117.88888888888889</v>
      </c>
      <c r="J52" s="10">
        <v>117.66666666666667</v>
      </c>
      <c r="K52" s="10">
        <v>118.22222222222223</v>
      </c>
      <c r="L52" s="10">
        <v>34.333333333333336</v>
      </c>
      <c r="M52" s="10">
        <v>1084.3333333333333</v>
      </c>
    </row>
    <row r="53" spans="2:13" x14ac:dyDescent="0.4">
      <c r="B53" s="1" t="s">
        <v>814</v>
      </c>
      <c r="C53" s="10">
        <v>118.14285714285714</v>
      </c>
      <c r="D53" s="10">
        <v>116.28571428571429</v>
      </c>
      <c r="E53" s="10">
        <v>115.28571428571429</v>
      </c>
      <c r="F53" s="10">
        <v>119.28571428571429</v>
      </c>
      <c r="G53" s="10">
        <v>98.714285714285708</v>
      </c>
      <c r="H53" s="10">
        <v>118</v>
      </c>
      <c r="I53" s="10">
        <v>117.71428571428571</v>
      </c>
      <c r="J53" s="10">
        <v>116.85714285714286</v>
      </c>
      <c r="K53" s="10">
        <v>117</v>
      </c>
      <c r="L53" s="10">
        <v>38.857142857142854</v>
      </c>
      <c r="M53" s="10">
        <v>1076.1428571428571</v>
      </c>
    </row>
    <row r="54" spans="2:13" x14ac:dyDescent="0.4">
      <c r="B54" s="1" t="s">
        <v>320</v>
      </c>
      <c r="C54" s="10">
        <v>118.57142857142857</v>
      </c>
      <c r="D54" s="10">
        <v>116.28571428571429</v>
      </c>
      <c r="E54" s="10">
        <v>114.42857142857143</v>
      </c>
      <c r="F54" s="10">
        <v>120.71428571428571</v>
      </c>
      <c r="G54" s="10">
        <v>99.285714285714292</v>
      </c>
      <c r="H54" s="10">
        <v>116.42857142857143</v>
      </c>
      <c r="I54" s="10">
        <v>117.28571428571429</v>
      </c>
      <c r="J54" s="10">
        <v>117.14285714285714</v>
      </c>
      <c r="K54" s="10">
        <v>117.57142857142857</v>
      </c>
      <c r="L54" s="10">
        <v>36.714285714285715</v>
      </c>
      <c r="M54" s="10">
        <v>1074.4285714285713</v>
      </c>
    </row>
    <row r="55" spans="2:13" x14ac:dyDescent="0.4">
      <c r="B55" s="1" t="s">
        <v>9</v>
      </c>
      <c r="C55" s="10">
        <v>119</v>
      </c>
      <c r="D55" s="10">
        <v>115.875</v>
      </c>
      <c r="E55" s="10">
        <v>115</v>
      </c>
      <c r="F55" s="10">
        <v>120.75</v>
      </c>
      <c r="G55" s="10">
        <v>98.5</v>
      </c>
      <c r="H55" s="10">
        <v>116.75</v>
      </c>
      <c r="I55" s="10">
        <v>118.625</v>
      </c>
      <c r="J55" s="10">
        <v>117.125</v>
      </c>
      <c r="K55" s="10">
        <v>117.125</v>
      </c>
      <c r="L55" s="10">
        <v>35.375</v>
      </c>
      <c r="M55" s="10">
        <v>1074.125</v>
      </c>
    </row>
    <row r="56" spans="2:13" x14ac:dyDescent="0.4">
      <c r="B56" s="1" t="s">
        <v>10</v>
      </c>
      <c r="C56" s="10">
        <v>120.5</v>
      </c>
      <c r="D56" s="10">
        <v>116</v>
      </c>
      <c r="E56" s="10">
        <v>114.3</v>
      </c>
      <c r="F56" s="10">
        <v>121.2</v>
      </c>
      <c r="G56" s="10">
        <v>97.8</v>
      </c>
      <c r="H56" s="10">
        <v>121.6</v>
      </c>
      <c r="I56" s="10">
        <v>116.3</v>
      </c>
      <c r="J56" s="10">
        <v>116.1</v>
      </c>
      <c r="K56" s="10">
        <v>117.6</v>
      </c>
      <c r="L56" s="10">
        <v>32.299999999999997</v>
      </c>
      <c r="M56" s="10">
        <v>1073.7</v>
      </c>
    </row>
    <row r="57" spans="2:13" x14ac:dyDescent="0.4">
      <c r="B57" s="1" t="s">
        <v>8</v>
      </c>
      <c r="C57" s="10">
        <v>117.75</v>
      </c>
      <c r="D57" s="10">
        <v>117.16666666666667</v>
      </c>
      <c r="E57" s="10">
        <v>116.08333333333333</v>
      </c>
      <c r="F57" s="10">
        <v>120.5</v>
      </c>
      <c r="G57" s="10">
        <v>99.166666666666671</v>
      </c>
      <c r="H57" s="10">
        <v>117.41666666666667</v>
      </c>
      <c r="I57" s="10">
        <v>116.08333333333333</v>
      </c>
      <c r="J57" s="10">
        <v>118</v>
      </c>
      <c r="K57" s="10">
        <v>117.33333333333333</v>
      </c>
      <c r="L57" s="10">
        <v>34.083333333333336</v>
      </c>
      <c r="M57" s="10">
        <v>1073.5833333333333</v>
      </c>
    </row>
    <row r="58" spans="2:13" x14ac:dyDescent="0.4">
      <c r="B58" s="1" t="s">
        <v>7</v>
      </c>
      <c r="C58" s="10">
        <v>117.14285714285714</v>
      </c>
      <c r="D58" s="10">
        <v>116</v>
      </c>
      <c r="E58" s="10">
        <v>114.14285714285714</v>
      </c>
      <c r="F58" s="10">
        <v>119.57142857142857</v>
      </c>
      <c r="G58" s="10">
        <v>98.142857142857139</v>
      </c>
      <c r="H58" s="10">
        <v>116.14285714285714</v>
      </c>
      <c r="I58" s="10">
        <v>117.42857142857143</v>
      </c>
      <c r="J58" s="10">
        <v>115.57142857142857</v>
      </c>
      <c r="K58" s="10">
        <v>118.14285714285714</v>
      </c>
      <c r="L58" s="10">
        <v>41</v>
      </c>
      <c r="M58" s="10">
        <v>1073.2857142857142</v>
      </c>
    </row>
    <row r="59" spans="2:13" x14ac:dyDescent="0.4">
      <c r="B59" s="1" t="s">
        <v>598</v>
      </c>
      <c r="C59" s="10">
        <v>116.57142857142857</v>
      </c>
      <c r="D59" s="10">
        <v>117</v>
      </c>
      <c r="E59" s="10">
        <v>115.57142857142857</v>
      </c>
      <c r="F59" s="10">
        <v>119.28571428571429</v>
      </c>
      <c r="G59" s="10">
        <v>99.285714285714292</v>
      </c>
      <c r="H59" s="10">
        <v>117</v>
      </c>
      <c r="I59" s="10">
        <v>117</v>
      </c>
      <c r="J59" s="10">
        <v>116.14285714285714</v>
      </c>
      <c r="K59" s="10">
        <v>116.85714285714286</v>
      </c>
      <c r="L59" s="10">
        <v>37.428571428571431</v>
      </c>
      <c r="M59" s="10">
        <v>1072.1428571428571</v>
      </c>
    </row>
    <row r="60" spans="2:13" x14ac:dyDescent="0.4">
      <c r="B60" s="1" t="s">
        <v>4</v>
      </c>
      <c r="C60" s="10">
        <v>120.22222222222223</v>
      </c>
      <c r="D60" s="10">
        <v>117.77777777777777</v>
      </c>
      <c r="E60" s="10">
        <v>116.77777777777777</v>
      </c>
      <c r="F60" s="10">
        <v>120.33333333333333</v>
      </c>
      <c r="G60" s="10">
        <v>98.777777777777771</v>
      </c>
      <c r="H60" s="10">
        <v>115.66666666666667</v>
      </c>
      <c r="I60" s="10">
        <v>115.88888888888889</v>
      </c>
      <c r="J60" s="10">
        <v>115.88888888888889</v>
      </c>
      <c r="K60" s="10">
        <v>117.22222222222223</v>
      </c>
      <c r="L60" s="10">
        <v>33.333333333333336</v>
      </c>
      <c r="M60" s="10">
        <v>1071.8888888888889</v>
      </c>
    </row>
    <row r="61" spans="2:13" x14ac:dyDescent="0.4">
      <c r="B61" s="1" t="s">
        <v>6</v>
      </c>
      <c r="C61" s="10">
        <v>118.1</v>
      </c>
      <c r="D61" s="10">
        <v>115.9</v>
      </c>
      <c r="E61" s="10">
        <v>115.8</v>
      </c>
      <c r="F61" s="10">
        <v>120.8</v>
      </c>
      <c r="G61" s="10">
        <v>99</v>
      </c>
      <c r="H61" s="10">
        <v>116.5</v>
      </c>
      <c r="I61" s="10">
        <v>115.5</v>
      </c>
      <c r="J61" s="10">
        <v>118.3</v>
      </c>
      <c r="K61" s="10">
        <v>116.5</v>
      </c>
      <c r="L61" s="10">
        <v>34.9</v>
      </c>
      <c r="M61" s="10">
        <v>1071.3</v>
      </c>
    </row>
    <row r="62" spans="2:13" x14ac:dyDescent="0.4">
      <c r="B62" s="1" t="s">
        <v>5</v>
      </c>
      <c r="C62" s="10">
        <v>117.42857142857143</v>
      </c>
      <c r="D62" s="10">
        <v>116.42857142857143</v>
      </c>
      <c r="E62" s="10">
        <v>114.57142857142857</v>
      </c>
      <c r="F62" s="10">
        <v>119.14285714285714</v>
      </c>
      <c r="G62" s="10">
        <v>98.142857142857139</v>
      </c>
      <c r="H62" s="10">
        <v>116.42857142857143</v>
      </c>
      <c r="I62" s="10">
        <v>117.42857142857143</v>
      </c>
      <c r="J62" s="10">
        <v>116.85714285714286</v>
      </c>
      <c r="K62" s="10">
        <v>118.14285714285714</v>
      </c>
      <c r="L62" s="10">
        <v>36</v>
      </c>
      <c r="M62" s="10">
        <v>1070.5714285714287</v>
      </c>
    </row>
    <row r="63" spans="2:13" x14ac:dyDescent="0.4">
      <c r="B63" s="1" t="s">
        <v>684</v>
      </c>
      <c r="C63" s="10">
        <v>117.85714285714286</v>
      </c>
      <c r="D63" s="10">
        <v>116.14285714285714</v>
      </c>
      <c r="E63" s="10">
        <v>116</v>
      </c>
      <c r="F63" s="10">
        <v>117.85714285714286</v>
      </c>
      <c r="G63" s="10">
        <v>98.714285714285708</v>
      </c>
      <c r="H63" s="10">
        <v>116.57142857142857</v>
      </c>
      <c r="I63" s="10">
        <v>116.71428571428571</v>
      </c>
      <c r="J63" s="10">
        <v>116.85714285714286</v>
      </c>
      <c r="K63" s="10">
        <v>116.71428571428571</v>
      </c>
      <c r="L63" s="10">
        <v>36.714285714285715</v>
      </c>
      <c r="M63" s="10">
        <v>1070.1428571428571</v>
      </c>
    </row>
    <row r="64" spans="2:13" x14ac:dyDescent="0.4">
      <c r="B64" s="1" t="s">
        <v>2</v>
      </c>
      <c r="C64" s="10">
        <v>117.625</v>
      </c>
      <c r="D64" s="10">
        <v>115.75</v>
      </c>
      <c r="E64" s="10">
        <v>115.375</v>
      </c>
      <c r="F64" s="10">
        <v>120.5</v>
      </c>
      <c r="G64" s="10">
        <v>97.5</v>
      </c>
      <c r="H64" s="10">
        <v>117</v>
      </c>
      <c r="I64" s="10">
        <v>116.375</v>
      </c>
      <c r="J64" s="10">
        <v>116.625</v>
      </c>
      <c r="K64" s="10">
        <v>116.75</v>
      </c>
      <c r="L64" s="10">
        <v>34.125</v>
      </c>
      <c r="M64" s="10">
        <v>1067.625</v>
      </c>
    </row>
    <row r="65" spans="2:13" x14ac:dyDescent="0.4">
      <c r="B65" s="1" t="s">
        <v>3</v>
      </c>
      <c r="C65" s="10">
        <v>117.28571428571429</v>
      </c>
      <c r="D65" s="10">
        <v>115.85714285714286</v>
      </c>
      <c r="E65" s="10">
        <v>114.71428571428571</v>
      </c>
      <c r="F65" s="10">
        <v>119.14285714285714</v>
      </c>
      <c r="G65" s="10">
        <v>98.142857142857139</v>
      </c>
      <c r="H65" s="10">
        <v>116.28571428571429</v>
      </c>
      <c r="I65" s="10">
        <v>117.14285714285714</v>
      </c>
      <c r="J65" s="10">
        <v>116</v>
      </c>
      <c r="K65" s="10">
        <v>117.28571428571429</v>
      </c>
      <c r="L65" s="10">
        <v>34.571428571428569</v>
      </c>
      <c r="M65" s="10">
        <v>1066.4285714285713</v>
      </c>
    </row>
    <row r="66" spans="2:13" x14ac:dyDescent="0.4">
      <c r="B66" s="1" t="s">
        <v>1</v>
      </c>
      <c r="C66" s="10">
        <v>117</v>
      </c>
      <c r="D66" s="10">
        <v>114.28571428571429</v>
      </c>
      <c r="E66" s="10">
        <v>114.42857142857143</v>
      </c>
      <c r="F66" s="10">
        <v>119.42857142857143</v>
      </c>
      <c r="G66" s="10">
        <v>98.142857142857139</v>
      </c>
      <c r="H66" s="10">
        <v>116</v>
      </c>
      <c r="I66" s="10">
        <v>116.14285714285714</v>
      </c>
      <c r="J66" s="10">
        <v>116.42857142857143</v>
      </c>
      <c r="K66" s="10">
        <v>116.57142857142857</v>
      </c>
      <c r="L66" s="10">
        <v>33.857142857142854</v>
      </c>
      <c r="M66" s="10">
        <v>1062.2857142857142</v>
      </c>
    </row>
    <row r="67" spans="2:13" x14ac:dyDescent="0.4">
      <c r="B67" s="1" t="s">
        <v>0</v>
      </c>
      <c r="C67" s="10">
        <v>118.9290780141844</v>
      </c>
      <c r="D67" s="10">
        <v>116.9290780141844</v>
      </c>
      <c r="E67" s="10">
        <v>115.41843971631205</v>
      </c>
      <c r="F67" s="10">
        <v>120.20567375886525</v>
      </c>
      <c r="G67" s="10">
        <v>98.801418439716315</v>
      </c>
      <c r="H67" s="10">
        <v>117.34751773049645</v>
      </c>
      <c r="I67" s="10">
        <v>117.08510638297872</v>
      </c>
      <c r="J67" s="10">
        <v>117.12056737588652</v>
      </c>
      <c r="K67" s="10">
        <v>117.51063829787235</v>
      </c>
      <c r="L67" s="10">
        <v>35.4822695035461</v>
      </c>
      <c r="M67" s="10">
        <v>1074.8297872340424</v>
      </c>
    </row>
  </sheetData>
  <phoneticPr fontId="1"/>
  <pageMargins left="0.7" right="0.7" top="0.75" bottom="0.75" header="0.3" footer="0.3"/>
  <pageSetup paperSize="9" orientation="portrait" horizontalDpi="4294967293" verticalDpi="0"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1130C-3FD1-4DFA-8EA9-1A83EE3EE352}">
  <dimension ref="A1:V819"/>
  <sheetViews>
    <sheetView zoomScaleNormal="100" workbookViewId="0">
      <pane ySplit="1" topLeftCell="A2" activePane="bottomLeft" state="frozen"/>
      <selection pane="bottomLeft" activeCell="A2" sqref="A2"/>
    </sheetView>
  </sheetViews>
  <sheetFormatPr defaultRowHeight="16.5" x14ac:dyDescent="0.4"/>
  <sheetData>
    <row r="1" spans="1:22" x14ac:dyDescent="0.4">
      <c r="A1" s="8" t="s">
        <v>343</v>
      </c>
      <c r="B1" s="9" t="s">
        <v>328</v>
      </c>
      <c r="C1" s="9" t="s">
        <v>306</v>
      </c>
      <c r="D1" s="9" t="s">
        <v>307</v>
      </c>
      <c r="E1" s="9" t="s">
        <v>308</v>
      </c>
      <c r="F1" s="9" t="s">
        <v>309</v>
      </c>
      <c r="G1" s="9" t="s">
        <v>310</v>
      </c>
      <c r="H1" s="9" t="s">
        <v>341</v>
      </c>
      <c r="I1" s="9" t="s">
        <v>313</v>
      </c>
      <c r="J1" s="9" t="s">
        <v>314</v>
      </c>
      <c r="K1" s="9" t="s">
        <v>601</v>
      </c>
      <c r="L1" s="9" t="s">
        <v>692</v>
      </c>
      <c r="M1" s="9" t="s">
        <v>316</v>
      </c>
      <c r="N1" s="9" t="s">
        <v>315</v>
      </c>
      <c r="O1" s="9" t="s">
        <v>323</v>
      </c>
      <c r="P1" s="9" t="s">
        <v>318</v>
      </c>
      <c r="Q1" s="9" t="s">
        <v>317</v>
      </c>
      <c r="R1" s="9" t="s">
        <v>319</v>
      </c>
      <c r="S1" s="9" t="s">
        <v>817</v>
      </c>
      <c r="V1" s="9" t="s">
        <v>585</v>
      </c>
    </row>
    <row r="2" spans="1:22" x14ac:dyDescent="0.4">
      <c r="A2" t="s">
        <v>342</v>
      </c>
    </row>
    <row r="45" spans="1:2" x14ac:dyDescent="0.4">
      <c r="A45" s="9" t="s">
        <v>304</v>
      </c>
      <c r="B45" t="s">
        <v>305</v>
      </c>
    </row>
    <row r="92" spans="1:2" x14ac:dyDescent="0.4">
      <c r="A92" s="9" t="s">
        <v>304</v>
      </c>
      <c r="B92" t="s">
        <v>306</v>
      </c>
    </row>
    <row r="93" spans="1:2" x14ac:dyDescent="0.4">
      <c r="A93" s="3"/>
    </row>
    <row r="94" spans="1:2" x14ac:dyDescent="0.4">
      <c r="A94" s="3"/>
    </row>
    <row r="95" spans="1:2" x14ac:dyDescent="0.4">
      <c r="A95" s="3"/>
    </row>
    <row r="96" spans="1:2" x14ac:dyDescent="0.4">
      <c r="A96" s="3"/>
    </row>
    <row r="97" spans="1:1" x14ac:dyDescent="0.4">
      <c r="A97" s="3"/>
    </row>
    <row r="98" spans="1:1" x14ac:dyDescent="0.4">
      <c r="A98" s="3"/>
    </row>
    <row r="137" spans="1:2" x14ac:dyDescent="0.4">
      <c r="A137" s="9" t="s">
        <v>304</v>
      </c>
      <c r="B137" t="s">
        <v>307</v>
      </c>
    </row>
    <row r="179" spans="1:2" x14ac:dyDescent="0.4">
      <c r="A179" s="9" t="s">
        <v>304</v>
      </c>
      <c r="B179" t="s">
        <v>308</v>
      </c>
    </row>
    <row r="215" spans="1:2" x14ac:dyDescent="0.4">
      <c r="A215" s="9" t="s">
        <v>304</v>
      </c>
      <c r="B215" t="s">
        <v>309</v>
      </c>
    </row>
    <row r="250" spans="1:2" x14ac:dyDescent="0.4">
      <c r="A250" s="9" t="s">
        <v>304</v>
      </c>
      <c r="B250" t="s">
        <v>310</v>
      </c>
    </row>
    <row r="285" spans="1:2" x14ac:dyDescent="0.4">
      <c r="A285" s="9" t="s">
        <v>304</v>
      </c>
      <c r="B285" t="s">
        <v>311</v>
      </c>
    </row>
    <row r="318" spans="1:2" x14ac:dyDescent="0.4">
      <c r="A318" s="9" t="s">
        <v>304</v>
      </c>
      <c r="B318" t="s">
        <v>312</v>
      </c>
    </row>
    <row r="353" spans="1:2" x14ac:dyDescent="0.4">
      <c r="A353" s="9" t="s">
        <v>304</v>
      </c>
      <c r="B353" t="s">
        <v>313</v>
      </c>
    </row>
    <row r="396" spans="1:2" x14ac:dyDescent="0.4">
      <c r="A396" s="9" t="s">
        <v>304</v>
      </c>
      <c r="B396" t="s">
        <v>314</v>
      </c>
    </row>
    <row r="397" spans="1:2" x14ac:dyDescent="0.4">
      <c r="A397" s="3"/>
    </row>
    <row r="398" spans="1:2" x14ac:dyDescent="0.4">
      <c r="A398" s="3"/>
    </row>
    <row r="399" spans="1:2" x14ac:dyDescent="0.4">
      <c r="A399" s="3"/>
    </row>
    <row r="400" spans="1:2" x14ac:dyDescent="0.4">
      <c r="A400" s="3"/>
    </row>
    <row r="401" spans="1:1" x14ac:dyDescent="0.4">
      <c r="A401" s="3"/>
    </row>
    <row r="402" spans="1:1" x14ac:dyDescent="0.4">
      <c r="A402" s="3"/>
    </row>
    <row r="403" spans="1:1" x14ac:dyDescent="0.4">
      <c r="A403" s="3"/>
    </row>
    <row r="404" spans="1:1" x14ac:dyDescent="0.4">
      <c r="A404" s="3"/>
    </row>
    <row r="405" spans="1:1" x14ac:dyDescent="0.4">
      <c r="A405" s="3"/>
    </row>
    <row r="406" spans="1:1" x14ac:dyDescent="0.4">
      <c r="A406" s="3"/>
    </row>
    <row r="407" spans="1:1" x14ac:dyDescent="0.4">
      <c r="A407" s="3"/>
    </row>
    <row r="408" spans="1:1" x14ac:dyDescent="0.4">
      <c r="A408" s="3"/>
    </row>
    <row r="409" spans="1:1" x14ac:dyDescent="0.4">
      <c r="A409" s="3"/>
    </row>
    <row r="410" spans="1:1" x14ac:dyDescent="0.4">
      <c r="A410" s="3"/>
    </row>
    <row r="411" spans="1:1" x14ac:dyDescent="0.4">
      <c r="A411" s="3"/>
    </row>
    <row r="412" spans="1:1" x14ac:dyDescent="0.4">
      <c r="A412" s="3"/>
    </row>
    <row r="413" spans="1:1" x14ac:dyDescent="0.4">
      <c r="A413" s="3"/>
    </row>
    <row r="414" spans="1:1" x14ac:dyDescent="0.4">
      <c r="A414" s="3"/>
    </row>
    <row r="415" spans="1:1" x14ac:dyDescent="0.4">
      <c r="A415" s="3"/>
    </row>
    <row r="416" spans="1:1" x14ac:dyDescent="0.4">
      <c r="A416" s="3"/>
    </row>
    <row r="417" spans="1:2" x14ac:dyDescent="0.4">
      <c r="A417" s="3"/>
    </row>
    <row r="418" spans="1:2" x14ac:dyDescent="0.4">
      <c r="A418" s="3"/>
    </row>
    <row r="419" spans="1:2" x14ac:dyDescent="0.4">
      <c r="A419" s="3"/>
    </row>
    <row r="420" spans="1:2" x14ac:dyDescent="0.4">
      <c r="A420" s="3"/>
    </row>
    <row r="421" spans="1:2" x14ac:dyDescent="0.4">
      <c r="A421" s="3"/>
    </row>
    <row r="422" spans="1:2" x14ac:dyDescent="0.4">
      <c r="A422" s="3"/>
    </row>
    <row r="423" spans="1:2" x14ac:dyDescent="0.4">
      <c r="A423" s="3"/>
    </row>
    <row r="424" spans="1:2" x14ac:dyDescent="0.4">
      <c r="A424" s="3"/>
    </row>
    <row r="425" spans="1:2" x14ac:dyDescent="0.4">
      <c r="A425" s="3"/>
    </row>
    <row r="426" spans="1:2" x14ac:dyDescent="0.4">
      <c r="A426" s="3"/>
    </row>
    <row r="427" spans="1:2" x14ac:dyDescent="0.4">
      <c r="A427" s="3"/>
    </row>
    <row r="428" spans="1:2" x14ac:dyDescent="0.4">
      <c r="A428" s="3"/>
    </row>
    <row r="429" spans="1:2" x14ac:dyDescent="0.4">
      <c r="A429" s="3"/>
    </row>
    <row r="430" spans="1:2" x14ac:dyDescent="0.4">
      <c r="A430" s="3"/>
    </row>
    <row r="431" spans="1:2" x14ac:dyDescent="0.4">
      <c r="A431" s="9" t="s">
        <v>304</v>
      </c>
      <c r="B431" t="s">
        <v>601</v>
      </c>
    </row>
    <row r="432" spans="1:2" x14ac:dyDescent="0.4">
      <c r="A432" s="3"/>
    </row>
    <row r="433" spans="1:1" x14ac:dyDescent="0.4">
      <c r="A433" s="3"/>
    </row>
    <row r="434" spans="1:1" x14ac:dyDescent="0.4">
      <c r="A434" s="3"/>
    </row>
    <row r="435" spans="1:1" x14ac:dyDescent="0.4">
      <c r="A435" s="3"/>
    </row>
    <row r="436" spans="1:1" x14ac:dyDescent="0.4">
      <c r="A436" s="3"/>
    </row>
    <row r="437" spans="1:1" x14ac:dyDescent="0.4">
      <c r="A437" s="3"/>
    </row>
    <row r="438" spans="1:1" x14ac:dyDescent="0.4">
      <c r="A438" s="3"/>
    </row>
    <row r="439" spans="1:1" x14ac:dyDescent="0.4">
      <c r="A439" s="3"/>
    </row>
    <row r="440" spans="1:1" x14ac:dyDescent="0.4">
      <c r="A440" s="3"/>
    </row>
    <row r="441" spans="1:1" x14ac:dyDescent="0.4">
      <c r="A441" s="3"/>
    </row>
    <row r="442" spans="1:1" x14ac:dyDescent="0.4">
      <c r="A442" s="3"/>
    </row>
    <row r="443" spans="1:1" x14ac:dyDescent="0.4">
      <c r="A443" s="3"/>
    </row>
    <row r="444" spans="1:1" x14ac:dyDescent="0.4">
      <c r="A444" s="3"/>
    </row>
    <row r="445" spans="1:1" x14ac:dyDescent="0.4">
      <c r="A445" s="3"/>
    </row>
    <row r="446" spans="1:1" x14ac:dyDescent="0.4">
      <c r="A446" s="3"/>
    </row>
    <row r="447" spans="1:1" x14ac:dyDescent="0.4">
      <c r="A447" s="3"/>
    </row>
    <row r="448" spans="1:1" x14ac:dyDescent="0.4">
      <c r="A448" s="3"/>
    </row>
    <row r="449" spans="1:2" x14ac:dyDescent="0.4">
      <c r="A449" s="3"/>
    </row>
    <row r="450" spans="1:2" x14ac:dyDescent="0.4">
      <c r="A450" s="3"/>
    </row>
    <row r="451" spans="1:2" x14ac:dyDescent="0.4">
      <c r="A451" s="3"/>
    </row>
    <row r="452" spans="1:2" x14ac:dyDescent="0.4">
      <c r="A452" s="3"/>
    </row>
    <row r="453" spans="1:2" x14ac:dyDescent="0.4">
      <c r="A453" s="3"/>
    </row>
    <row r="454" spans="1:2" x14ac:dyDescent="0.4">
      <c r="A454" s="3"/>
    </row>
    <row r="455" spans="1:2" x14ac:dyDescent="0.4">
      <c r="A455" s="3"/>
    </row>
    <row r="456" spans="1:2" x14ac:dyDescent="0.4">
      <c r="A456" s="3"/>
    </row>
    <row r="457" spans="1:2" x14ac:dyDescent="0.4">
      <c r="A457" s="3"/>
    </row>
    <row r="458" spans="1:2" x14ac:dyDescent="0.4">
      <c r="A458" s="3"/>
    </row>
    <row r="459" spans="1:2" x14ac:dyDescent="0.4">
      <c r="A459" s="3"/>
    </row>
    <row r="460" spans="1:2" x14ac:dyDescent="0.4">
      <c r="A460" s="3"/>
    </row>
    <row r="461" spans="1:2" x14ac:dyDescent="0.4">
      <c r="A461" s="3"/>
    </row>
    <row r="462" spans="1:2" x14ac:dyDescent="0.4">
      <c r="A462" s="3"/>
    </row>
    <row r="463" spans="1:2" x14ac:dyDescent="0.4">
      <c r="A463" s="3"/>
    </row>
    <row r="464" spans="1:2" x14ac:dyDescent="0.4">
      <c r="A464" s="9" t="s">
        <v>304</v>
      </c>
      <c r="B464" t="s">
        <v>692</v>
      </c>
    </row>
    <row r="465" spans="1:1" x14ac:dyDescent="0.4">
      <c r="A465" s="3"/>
    </row>
    <row r="499" spans="1:2" x14ac:dyDescent="0.4">
      <c r="A499" s="9" t="s">
        <v>304</v>
      </c>
      <c r="B499" t="s">
        <v>315</v>
      </c>
    </row>
    <row r="532" spans="1:2" x14ac:dyDescent="0.4">
      <c r="A532" s="9" t="s">
        <v>304</v>
      </c>
      <c r="B532" t="s">
        <v>323</v>
      </c>
    </row>
    <row r="573" spans="1:2" x14ac:dyDescent="0.4">
      <c r="A573" s="9" t="s">
        <v>304</v>
      </c>
      <c r="B573" t="s">
        <v>316</v>
      </c>
    </row>
    <row r="601" spans="1:2" x14ac:dyDescent="0.4">
      <c r="A601" s="3"/>
    </row>
    <row r="607" spans="1:2" x14ac:dyDescent="0.4">
      <c r="A607" s="9" t="s">
        <v>304</v>
      </c>
      <c r="B607" t="s">
        <v>317</v>
      </c>
    </row>
    <row r="643" spans="1:2" x14ac:dyDescent="0.4">
      <c r="A643" s="9" t="s">
        <v>304</v>
      </c>
      <c r="B643" t="s">
        <v>318</v>
      </c>
    </row>
    <row r="676" spans="1:2" x14ac:dyDescent="0.4">
      <c r="A676" s="9" t="s">
        <v>304</v>
      </c>
      <c r="B676" t="s">
        <v>319</v>
      </c>
    </row>
    <row r="711" spans="1:2" x14ac:dyDescent="0.4">
      <c r="A711" s="9" t="s">
        <v>304</v>
      </c>
      <c r="B711" t="s">
        <v>817</v>
      </c>
    </row>
    <row r="818" spans="1:5" x14ac:dyDescent="0.4">
      <c r="A818" s="9" t="s">
        <v>304</v>
      </c>
      <c r="B818" t="s">
        <v>585</v>
      </c>
      <c r="C818" t="s">
        <v>587</v>
      </c>
      <c r="D818" t="s">
        <v>589</v>
      </c>
      <c r="E818" t="s">
        <v>586</v>
      </c>
    </row>
    <row r="819" spans="1:5" x14ac:dyDescent="0.4">
      <c r="C819" t="s">
        <v>588</v>
      </c>
      <c r="D819" t="s">
        <v>589</v>
      </c>
      <c r="E819" t="s">
        <v>787</v>
      </c>
    </row>
  </sheetData>
  <phoneticPr fontId="1"/>
  <hyperlinks>
    <hyperlink ref="A45" location="ChtStat!A2" display="▲" xr:uid="{A7C69E08-8CD6-473E-BFDF-8C3CA9BE65E3}"/>
    <hyperlink ref="C1" location="音駒へ" display="音駒" xr:uid="{25499078-FD93-40C6-BBEF-A0532ADD3AC4}"/>
    <hyperlink ref="B1" location="烏野へ" display="烏野" xr:uid="{49803002-1B99-40EE-A07D-2ED75E7FBF48}"/>
    <hyperlink ref="D1" location="伊達工へ" display="伊達工" xr:uid="{4EA20814-8DF9-46FF-91F5-16FCD1CAE34C}"/>
    <hyperlink ref="E1" location="青城へ" display="青城" xr:uid="{62E65BDA-1135-4D93-9315-DBDE7D2A6DB5}"/>
    <hyperlink ref="F1" location="常波へ" display="常波" xr:uid="{C02EF930-474C-42E3-B74D-546A3D537800}"/>
    <hyperlink ref="G1" location="扇南へ" display="扇南" xr:uid="{1A80F815-5F7D-47EC-BC1E-4E269912270B}"/>
    <hyperlink ref="H1" location="条善寺へ" display="条善寺へ" xr:uid="{DFDF04ED-51C6-4AED-8FEB-3305434D2927}"/>
    <hyperlink ref="I1" location="和久南へ" display="和久南" xr:uid="{EE89FAF7-EE39-48B4-8D77-F8C58FE05CD4}"/>
    <hyperlink ref="J1" location="白鳥沢へ" display="白鳥沢" xr:uid="{17BAEFD2-2BCB-4F76-A933-7911F049192B}"/>
    <hyperlink ref="N1" location="梟谷へ" display="梟谷" xr:uid="{73A70FD5-9686-4639-978C-A8FEFCE89545}"/>
    <hyperlink ref="O1" location="椿原へ" display="椿原" xr:uid="{CD82B31E-AE27-4745-926F-3B55B6021E9B}"/>
    <hyperlink ref="M1" location="稲荷崎へ" display="稲荷崎" xr:uid="{828BEE60-1CEE-465A-8EC5-160D23B675C2}"/>
    <hyperlink ref="Q1" location="井闥山へ" display="井闥山" xr:uid="{18950F50-97A4-403E-AF8A-E53087F05A3D}"/>
    <hyperlink ref="P1" location="鴎台へ" display="鴎台" xr:uid="{0CAEB1C9-3C41-4DC2-99FD-289542CD6350}"/>
    <hyperlink ref="R1" location="戸美へ" display="戸美" xr:uid="{5E23A7B8-893B-497D-87F5-94A5B6B24E9C}"/>
    <hyperlink ref="A1" location="ChtStat!A2" display="↑" xr:uid="{55A4A152-B0EB-4049-9FBC-589C1A2F6B66}"/>
    <hyperlink ref="A92" location="ChtStat!A2" display="▲" xr:uid="{D22C54DB-9FC9-4E71-B1B8-92336DDB92EF}"/>
    <hyperlink ref="A137" location="ChtStat!A2" display="▲" xr:uid="{1C1386E5-45EE-473F-BC72-DDE95ADA8810}"/>
    <hyperlink ref="A179" location="ChtStat!A2" display="▲" xr:uid="{C6CF4735-2CF1-45A3-94AC-7E98856CE408}"/>
    <hyperlink ref="A215" location="ChtStat!A2" display="▲" xr:uid="{439BFBDD-75DF-4A2A-886C-D4B11D679397}"/>
    <hyperlink ref="A250" location="ChtStat!A2" display="▲" xr:uid="{CFD28C58-B2DE-44A9-B648-10FE1B5410F2}"/>
    <hyperlink ref="A285" location="ChtStat!A2" display="▲" xr:uid="{CCBF8CC4-141D-4C62-880A-CFDB32B85F86}"/>
    <hyperlink ref="A318" location="ChtStat!A2" display="▲" xr:uid="{53F76EF3-C768-4F86-8A8E-C703E55153A8}"/>
    <hyperlink ref="A353" location="ChtStat!A2" display="▲" xr:uid="{83A95C80-4B02-4FEF-A54B-9414CA8EEDED}"/>
    <hyperlink ref="A396" location="ChtStat!A2" display="▲" xr:uid="{E929AA72-D8CB-468A-A3C3-5D71860F90F1}"/>
    <hyperlink ref="A499" location="ChtStat!A2" display="▲" xr:uid="{630C2CD2-93D9-42DB-B182-6BAC59F6AA77}"/>
    <hyperlink ref="A532" location="ChtStat!A2" display="▲" xr:uid="{A38A1465-07D5-49E0-87B5-4264EFFC8A81}"/>
    <hyperlink ref="A573" location="ChtStat!A2" display="▲" xr:uid="{E7FF5CFD-7056-4337-90F4-1EC1723E77AF}"/>
    <hyperlink ref="A607" location="ChtStat!A2" display="▲" xr:uid="{31D6F739-51DD-4DA2-A806-A5FA49B371E1}"/>
    <hyperlink ref="A643" location="ChtStat!A2" display="▲" xr:uid="{32FAD755-5BBE-4962-907F-7FE5142661C3}"/>
    <hyperlink ref="A676" location="ChtStat!A2" display="▲" xr:uid="{C75D978E-EB04-4D47-9C04-9438F00A25A6}"/>
    <hyperlink ref="V1" location="設定用へ" display="設定用" xr:uid="{C4E16DE3-1F2E-4BD2-A7CD-5D1B44220805}"/>
    <hyperlink ref="A818" location="ChtStat!A2" display="▲" xr:uid="{E30A3ECF-931E-4EBB-BC9C-36ED8CE2D328}"/>
    <hyperlink ref="K1" location="生川へ" display="生川" xr:uid="{1AA27D33-4B4F-40E1-8BAB-351B26B28FD3}"/>
    <hyperlink ref="A431" location="ChtStat!A2" display="▲" xr:uid="{7439F5B9-0B83-41ED-ADF7-A4D448F94C3C}"/>
    <hyperlink ref="A464" location="ChtStat!A2" display="▲" xr:uid="{DE0BED97-1654-4BF5-BBAA-546888154156}"/>
    <hyperlink ref="L1" location="森然へ" display="森然" xr:uid="{E75F59AF-F79A-4CA8-94A7-27C9FFEFABB8}"/>
    <hyperlink ref="A711" location="ChtStat!A2" display="▲" xr:uid="{2E3DFB73-AF1C-43F7-98AC-217105DA2080}"/>
    <hyperlink ref="S1" location="早流川へ" display="早流川" xr:uid="{7C59874D-85B7-4F21-93F9-21952289754B}"/>
  </hyperlinks>
  <pageMargins left="0.7" right="0.7" top="0.75" bottom="0.75"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30AD3-AF6D-4145-802E-245BAA607B86}">
  <dimension ref="A1:AO161"/>
  <sheetViews>
    <sheetView workbookViewId="0">
      <selection activeCell="W26" sqref="W26"/>
    </sheetView>
  </sheetViews>
  <sheetFormatPr defaultRowHeight="16.5" x14ac:dyDescent="0.4"/>
  <cols>
    <col min="1" max="1" width="5.875" bestFit="1" customWidth="1"/>
    <col min="2" max="2" width="7.625" customWidth="1"/>
    <col min="3" max="3" width="8.625" bestFit="1" customWidth="1"/>
    <col min="4" max="4" width="8.375" customWidth="1"/>
    <col min="5" max="6" width="7" bestFit="1" customWidth="1"/>
    <col min="7" max="7" width="6.75" customWidth="1"/>
    <col min="8" max="8" width="7.625" customWidth="1"/>
    <col min="9" max="9" width="7" bestFit="1" customWidth="1"/>
    <col min="10" max="10" width="7.375" customWidth="1"/>
    <col min="11" max="11" width="6.75" customWidth="1"/>
    <col min="12" max="13" width="8.625" bestFit="1" customWidth="1"/>
    <col min="16" max="16" width="9.75" bestFit="1" customWidth="1"/>
    <col min="17" max="17" width="8.25" customWidth="1"/>
    <col min="19" max="19" width="10.75" customWidth="1"/>
    <col min="26" max="26" width="8.25" customWidth="1"/>
  </cols>
  <sheetData>
    <row r="1" spans="1:41" x14ac:dyDescent="0.4">
      <c r="A1" s="4" t="s">
        <v>878</v>
      </c>
      <c r="B1" s="4" t="s">
        <v>38</v>
      </c>
      <c r="C1" s="4" t="s">
        <v>39</v>
      </c>
      <c r="D1" s="4" t="s">
        <v>40</v>
      </c>
      <c r="E1" s="4" t="s">
        <v>41</v>
      </c>
      <c r="F1" s="4" t="s">
        <v>42</v>
      </c>
      <c r="G1" s="4" t="s">
        <v>43</v>
      </c>
      <c r="H1" s="4" t="s">
        <v>44</v>
      </c>
      <c r="I1" s="4" t="s">
        <v>45</v>
      </c>
      <c r="J1" s="4" t="s">
        <v>46</v>
      </c>
      <c r="K1" s="4" t="s">
        <v>47</v>
      </c>
      <c r="L1" s="5" t="s">
        <v>48</v>
      </c>
      <c r="M1" s="6" t="s">
        <v>49</v>
      </c>
      <c r="P1" s="4" t="s">
        <v>879</v>
      </c>
      <c r="Q1" s="4" t="s">
        <v>38</v>
      </c>
      <c r="R1" s="4" t="s">
        <v>39</v>
      </c>
      <c r="S1" s="4" t="s">
        <v>40</v>
      </c>
      <c r="T1" s="4" t="s">
        <v>41</v>
      </c>
      <c r="U1" s="4" t="s">
        <v>42</v>
      </c>
      <c r="V1" s="4" t="s">
        <v>43</v>
      </c>
      <c r="W1" s="4" t="s">
        <v>44</v>
      </c>
      <c r="X1" s="4" t="s">
        <v>45</v>
      </c>
      <c r="Y1" s="4" t="s">
        <v>46</v>
      </c>
      <c r="Z1" s="4" t="s">
        <v>47</v>
      </c>
      <c r="AA1" s="5" t="s">
        <v>48</v>
      </c>
      <c r="AB1" s="6" t="s">
        <v>49</v>
      </c>
    </row>
    <row r="2" spans="1:41" x14ac:dyDescent="0.4">
      <c r="A2">
        <v>1</v>
      </c>
      <c r="B2">
        <v>0</v>
      </c>
      <c r="C2">
        <v>0</v>
      </c>
      <c r="D2">
        <v>0</v>
      </c>
      <c r="E2">
        <v>0</v>
      </c>
      <c r="F2">
        <v>0</v>
      </c>
      <c r="G2">
        <v>0</v>
      </c>
      <c r="H2">
        <v>0</v>
      </c>
      <c r="I2">
        <v>0</v>
      </c>
      <c r="J2">
        <v>0</v>
      </c>
      <c r="K2">
        <v>0</v>
      </c>
      <c r="L2">
        <f>SUM(B2:E2)</f>
        <v>0</v>
      </c>
      <c r="M2">
        <f>SUM(G2:J2)</f>
        <v>0</v>
      </c>
      <c r="P2" s="7" t="s">
        <v>879</v>
      </c>
      <c r="Q2">
        <v>0</v>
      </c>
      <c r="R2">
        <v>0</v>
      </c>
      <c r="S2">
        <v>0</v>
      </c>
      <c r="T2">
        <v>0</v>
      </c>
      <c r="U2">
        <v>0</v>
      </c>
      <c r="V2">
        <v>0</v>
      </c>
      <c r="W2">
        <v>0</v>
      </c>
      <c r="X2">
        <v>0</v>
      </c>
      <c r="Y2">
        <v>0</v>
      </c>
      <c r="Z2">
        <v>0</v>
      </c>
      <c r="AA2">
        <f>SUM(Q2:T2)</f>
        <v>0</v>
      </c>
      <c r="AB2">
        <f>SUM(V2:Y2)</f>
        <v>0</v>
      </c>
      <c r="AE2" s="7" t="s">
        <v>880</v>
      </c>
      <c r="AF2">
        <v>27</v>
      </c>
      <c r="AG2">
        <v>24</v>
      </c>
      <c r="AH2">
        <v>24</v>
      </c>
      <c r="AI2">
        <v>26</v>
      </c>
      <c r="AJ2">
        <v>86</v>
      </c>
      <c r="AK2">
        <v>35</v>
      </c>
      <c r="AL2">
        <v>24</v>
      </c>
      <c r="AM2">
        <v>41</v>
      </c>
      <c r="AN2">
        <v>41</v>
      </c>
      <c r="AO2">
        <v>11</v>
      </c>
    </row>
    <row r="3" spans="1:41" x14ac:dyDescent="0.4">
      <c r="A3">
        <v>2</v>
      </c>
      <c r="F3">
        <v>0</v>
      </c>
      <c r="K3">
        <v>0</v>
      </c>
      <c r="L3">
        <f>SUM(B3:E3)</f>
        <v>0</v>
      </c>
      <c r="M3">
        <f t="shared" ref="M3:M66" si="0">SUM(G3:J3)</f>
        <v>0</v>
      </c>
      <c r="P3" s="7" t="s">
        <v>881</v>
      </c>
      <c r="Q3">
        <v>10</v>
      </c>
      <c r="R3">
        <v>10</v>
      </c>
      <c r="S3">
        <v>10</v>
      </c>
      <c r="T3">
        <v>10</v>
      </c>
      <c r="U3">
        <v>0</v>
      </c>
      <c r="V3">
        <v>10</v>
      </c>
      <c r="W3">
        <v>10</v>
      </c>
      <c r="X3">
        <v>10</v>
      </c>
      <c r="Y3">
        <v>10</v>
      </c>
      <c r="Z3">
        <v>0</v>
      </c>
      <c r="AA3">
        <f t="shared" ref="AA3:AA6" si="1">SUM(Q3:T3)</f>
        <v>40</v>
      </c>
      <c r="AB3">
        <f t="shared" ref="AB3:AB6" si="2">SUM(V3:Y3)</f>
        <v>40</v>
      </c>
      <c r="AE3" s="7" t="s">
        <v>882</v>
      </c>
      <c r="AF3">
        <v>37</v>
      </c>
      <c r="AG3">
        <v>41</v>
      </c>
      <c r="AH3">
        <v>45</v>
      </c>
      <c r="AI3">
        <v>38</v>
      </c>
      <c r="AJ3">
        <v>90</v>
      </c>
      <c r="AK3">
        <v>28</v>
      </c>
      <c r="AL3">
        <v>36</v>
      </c>
      <c r="AM3">
        <v>29</v>
      </c>
      <c r="AN3">
        <v>30</v>
      </c>
      <c r="AO3">
        <v>16</v>
      </c>
    </row>
    <row r="4" spans="1:41" x14ac:dyDescent="0.4">
      <c r="A4">
        <v>3</v>
      </c>
      <c r="F4">
        <v>0</v>
      </c>
      <c r="K4">
        <v>0</v>
      </c>
      <c r="L4">
        <f t="shared" ref="L4:L67" si="3">SUM(B4:E4)</f>
        <v>0</v>
      </c>
      <c r="M4">
        <f t="shared" si="0"/>
        <v>0</v>
      </c>
      <c r="P4" s="7" t="s">
        <v>883</v>
      </c>
      <c r="Q4">
        <v>20</v>
      </c>
      <c r="R4">
        <v>20</v>
      </c>
      <c r="S4">
        <v>20</v>
      </c>
      <c r="T4">
        <v>20</v>
      </c>
      <c r="U4">
        <v>0</v>
      </c>
      <c r="V4">
        <v>20</v>
      </c>
      <c r="W4">
        <v>20</v>
      </c>
      <c r="X4">
        <v>20</v>
      </c>
      <c r="Y4">
        <v>20</v>
      </c>
      <c r="Z4">
        <v>0</v>
      </c>
      <c r="AA4">
        <f t="shared" si="1"/>
        <v>80</v>
      </c>
      <c r="AB4">
        <f t="shared" si="2"/>
        <v>80</v>
      </c>
    </row>
    <row r="5" spans="1:41" x14ac:dyDescent="0.4">
      <c r="A5">
        <v>4</v>
      </c>
      <c r="F5">
        <v>0</v>
      </c>
      <c r="K5">
        <v>0</v>
      </c>
      <c r="L5">
        <f t="shared" si="3"/>
        <v>0</v>
      </c>
      <c r="M5">
        <f t="shared" si="0"/>
        <v>0</v>
      </c>
      <c r="P5" s="7" t="s">
        <v>884</v>
      </c>
      <c r="Q5">
        <v>30</v>
      </c>
      <c r="R5">
        <v>30</v>
      </c>
      <c r="S5">
        <v>30</v>
      </c>
      <c r="T5">
        <v>30</v>
      </c>
      <c r="U5" s="7">
        <v>1</v>
      </c>
      <c r="V5">
        <v>30</v>
      </c>
      <c r="W5">
        <v>30</v>
      </c>
      <c r="X5">
        <v>30</v>
      </c>
      <c r="Y5">
        <v>30</v>
      </c>
      <c r="Z5">
        <v>1</v>
      </c>
      <c r="AA5">
        <f t="shared" si="1"/>
        <v>120</v>
      </c>
      <c r="AB5">
        <f t="shared" si="2"/>
        <v>120</v>
      </c>
    </row>
    <row r="6" spans="1:41" x14ac:dyDescent="0.4">
      <c r="A6">
        <v>5</v>
      </c>
      <c r="F6">
        <v>0</v>
      </c>
      <c r="K6">
        <v>0</v>
      </c>
      <c r="L6">
        <f t="shared" si="3"/>
        <v>0</v>
      </c>
      <c r="M6">
        <f t="shared" si="0"/>
        <v>0</v>
      </c>
      <c r="P6" s="7" t="s">
        <v>885</v>
      </c>
      <c r="Q6">
        <v>40</v>
      </c>
      <c r="R6">
        <v>40</v>
      </c>
      <c r="S6">
        <v>40</v>
      </c>
      <c r="T6">
        <v>40</v>
      </c>
      <c r="U6">
        <v>1</v>
      </c>
      <c r="V6">
        <v>40</v>
      </c>
      <c r="W6">
        <v>40</v>
      </c>
      <c r="X6">
        <v>40</v>
      </c>
      <c r="Y6">
        <v>40</v>
      </c>
      <c r="Z6">
        <v>1</v>
      </c>
      <c r="AA6">
        <f t="shared" si="1"/>
        <v>160</v>
      </c>
      <c r="AB6">
        <f t="shared" si="2"/>
        <v>160</v>
      </c>
    </row>
    <row r="7" spans="1:41" x14ac:dyDescent="0.4">
      <c r="A7">
        <v>6</v>
      </c>
      <c r="F7">
        <v>0</v>
      </c>
      <c r="K7">
        <v>0</v>
      </c>
      <c r="L7">
        <f t="shared" si="3"/>
        <v>0</v>
      </c>
      <c r="M7">
        <f t="shared" si="0"/>
        <v>0</v>
      </c>
    </row>
    <row r="8" spans="1:41" x14ac:dyDescent="0.4">
      <c r="A8">
        <v>7</v>
      </c>
      <c r="F8">
        <v>0</v>
      </c>
      <c r="K8">
        <v>0</v>
      </c>
      <c r="L8">
        <f t="shared" si="3"/>
        <v>0</v>
      </c>
      <c r="M8">
        <f t="shared" si="0"/>
        <v>0</v>
      </c>
    </row>
    <row r="9" spans="1:41" x14ac:dyDescent="0.4">
      <c r="A9">
        <v>8</v>
      </c>
      <c r="F9">
        <v>0</v>
      </c>
      <c r="K9">
        <v>0</v>
      </c>
      <c r="L9">
        <f t="shared" si="3"/>
        <v>0</v>
      </c>
      <c r="M9">
        <f t="shared" si="0"/>
        <v>0</v>
      </c>
    </row>
    <row r="10" spans="1:41" x14ac:dyDescent="0.4">
      <c r="A10">
        <v>9</v>
      </c>
      <c r="F10">
        <v>0</v>
      </c>
      <c r="K10">
        <v>0</v>
      </c>
      <c r="L10">
        <f t="shared" si="3"/>
        <v>0</v>
      </c>
      <c r="M10">
        <f t="shared" si="0"/>
        <v>0</v>
      </c>
    </row>
    <row r="11" spans="1:41" x14ac:dyDescent="0.4">
      <c r="A11">
        <v>10</v>
      </c>
      <c r="F11">
        <v>0</v>
      </c>
      <c r="K11">
        <v>0</v>
      </c>
      <c r="L11">
        <f t="shared" si="3"/>
        <v>0</v>
      </c>
      <c r="M11">
        <f t="shared" si="0"/>
        <v>0</v>
      </c>
    </row>
    <row r="12" spans="1:41" x14ac:dyDescent="0.4">
      <c r="A12">
        <v>11</v>
      </c>
      <c r="B12">
        <v>5</v>
      </c>
      <c r="C12">
        <v>5</v>
      </c>
      <c r="D12">
        <v>5</v>
      </c>
      <c r="E12">
        <v>5</v>
      </c>
      <c r="F12">
        <v>1.0900000000000001</v>
      </c>
      <c r="G12">
        <v>5</v>
      </c>
      <c r="H12">
        <v>5</v>
      </c>
      <c r="I12">
        <v>5</v>
      </c>
      <c r="J12">
        <v>5</v>
      </c>
      <c r="K12">
        <v>1.5</v>
      </c>
      <c r="L12">
        <f t="shared" si="3"/>
        <v>20</v>
      </c>
      <c r="M12">
        <f t="shared" si="0"/>
        <v>20</v>
      </c>
    </row>
    <row r="13" spans="1:41" x14ac:dyDescent="0.4">
      <c r="A13">
        <v>12</v>
      </c>
      <c r="F13">
        <v>0</v>
      </c>
      <c r="K13">
        <v>0</v>
      </c>
      <c r="L13">
        <f t="shared" si="3"/>
        <v>0</v>
      </c>
      <c r="M13">
        <f t="shared" si="0"/>
        <v>0</v>
      </c>
    </row>
    <row r="14" spans="1:41" x14ac:dyDescent="0.4">
      <c r="A14">
        <v>13</v>
      </c>
      <c r="F14">
        <v>0</v>
      </c>
      <c r="K14">
        <v>0</v>
      </c>
      <c r="L14">
        <f t="shared" si="3"/>
        <v>0</v>
      </c>
      <c r="M14">
        <f t="shared" si="0"/>
        <v>0</v>
      </c>
    </row>
    <row r="15" spans="1:41" x14ac:dyDescent="0.4">
      <c r="A15">
        <v>14</v>
      </c>
      <c r="F15">
        <v>0</v>
      </c>
      <c r="K15">
        <v>0</v>
      </c>
      <c r="L15">
        <f t="shared" si="3"/>
        <v>0</v>
      </c>
      <c r="M15">
        <f t="shared" si="0"/>
        <v>0</v>
      </c>
    </row>
    <row r="16" spans="1:41" x14ac:dyDescent="0.4">
      <c r="A16">
        <v>15</v>
      </c>
      <c r="F16">
        <v>0</v>
      </c>
      <c r="K16">
        <v>0</v>
      </c>
      <c r="L16">
        <f t="shared" si="3"/>
        <v>0</v>
      </c>
      <c r="M16">
        <f t="shared" si="0"/>
        <v>0</v>
      </c>
    </row>
    <row r="17" spans="1:13" x14ac:dyDescent="0.4">
      <c r="A17">
        <v>16</v>
      </c>
      <c r="F17">
        <v>0</v>
      </c>
      <c r="K17">
        <v>0</v>
      </c>
      <c r="L17">
        <f t="shared" si="3"/>
        <v>0</v>
      </c>
      <c r="M17">
        <f t="shared" si="0"/>
        <v>0</v>
      </c>
    </row>
    <row r="18" spans="1:13" x14ac:dyDescent="0.4">
      <c r="A18">
        <v>17</v>
      </c>
      <c r="F18">
        <v>0</v>
      </c>
      <c r="K18">
        <v>0</v>
      </c>
      <c r="L18">
        <f t="shared" si="3"/>
        <v>0</v>
      </c>
      <c r="M18">
        <f t="shared" si="0"/>
        <v>0</v>
      </c>
    </row>
    <row r="19" spans="1:13" x14ac:dyDescent="0.4">
      <c r="A19">
        <v>18</v>
      </c>
      <c r="F19">
        <v>0</v>
      </c>
      <c r="K19">
        <v>0</v>
      </c>
      <c r="L19">
        <f t="shared" si="3"/>
        <v>0</v>
      </c>
      <c r="M19">
        <f t="shared" si="0"/>
        <v>0</v>
      </c>
    </row>
    <row r="20" spans="1:13" x14ac:dyDescent="0.4">
      <c r="A20">
        <v>19</v>
      </c>
      <c r="F20">
        <v>0</v>
      </c>
      <c r="K20">
        <v>0</v>
      </c>
      <c r="L20">
        <f t="shared" si="3"/>
        <v>0</v>
      </c>
      <c r="M20">
        <f t="shared" si="0"/>
        <v>0</v>
      </c>
    </row>
    <row r="21" spans="1:13" x14ac:dyDescent="0.4">
      <c r="A21">
        <v>20</v>
      </c>
      <c r="F21">
        <v>0</v>
      </c>
      <c r="K21">
        <v>0</v>
      </c>
      <c r="L21">
        <f t="shared" si="3"/>
        <v>0</v>
      </c>
      <c r="M21">
        <f t="shared" si="0"/>
        <v>0</v>
      </c>
    </row>
    <row r="22" spans="1:13" x14ac:dyDescent="0.4">
      <c r="A22">
        <v>21</v>
      </c>
      <c r="B22">
        <v>10</v>
      </c>
      <c r="C22">
        <v>10</v>
      </c>
      <c r="D22">
        <v>10</v>
      </c>
      <c r="E22">
        <v>10</v>
      </c>
      <c r="F22">
        <v>2.1800000000000002</v>
      </c>
      <c r="G22">
        <v>10</v>
      </c>
      <c r="H22">
        <v>10</v>
      </c>
      <c r="I22">
        <v>10</v>
      </c>
      <c r="J22">
        <v>10</v>
      </c>
      <c r="K22">
        <v>3</v>
      </c>
      <c r="L22">
        <f t="shared" si="3"/>
        <v>40</v>
      </c>
      <c r="M22">
        <f t="shared" si="0"/>
        <v>40</v>
      </c>
    </row>
    <row r="23" spans="1:13" x14ac:dyDescent="0.4">
      <c r="A23">
        <v>22</v>
      </c>
      <c r="F23">
        <v>0</v>
      </c>
      <c r="K23">
        <v>0</v>
      </c>
      <c r="L23">
        <f t="shared" si="3"/>
        <v>0</v>
      </c>
      <c r="M23">
        <f t="shared" si="0"/>
        <v>0</v>
      </c>
    </row>
    <row r="24" spans="1:13" x14ac:dyDescent="0.4">
      <c r="A24">
        <v>23</v>
      </c>
      <c r="F24">
        <v>0</v>
      </c>
      <c r="K24">
        <v>0</v>
      </c>
      <c r="L24">
        <f t="shared" si="3"/>
        <v>0</v>
      </c>
      <c r="M24">
        <f t="shared" si="0"/>
        <v>0</v>
      </c>
    </row>
    <row r="25" spans="1:13" x14ac:dyDescent="0.4">
      <c r="A25">
        <v>24</v>
      </c>
      <c r="F25">
        <v>0</v>
      </c>
      <c r="K25">
        <v>0</v>
      </c>
      <c r="L25">
        <f t="shared" si="3"/>
        <v>0</v>
      </c>
      <c r="M25">
        <f t="shared" si="0"/>
        <v>0</v>
      </c>
    </row>
    <row r="26" spans="1:13" x14ac:dyDescent="0.4">
      <c r="A26">
        <v>25</v>
      </c>
      <c r="F26">
        <v>0</v>
      </c>
      <c r="K26">
        <v>0</v>
      </c>
      <c r="L26">
        <f t="shared" si="3"/>
        <v>0</v>
      </c>
      <c r="M26">
        <f t="shared" si="0"/>
        <v>0</v>
      </c>
    </row>
    <row r="27" spans="1:13" x14ac:dyDescent="0.4">
      <c r="A27">
        <v>26</v>
      </c>
      <c r="F27">
        <v>0</v>
      </c>
      <c r="K27">
        <v>0</v>
      </c>
      <c r="L27">
        <f t="shared" si="3"/>
        <v>0</v>
      </c>
      <c r="M27">
        <f t="shared" si="0"/>
        <v>0</v>
      </c>
    </row>
    <row r="28" spans="1:13" x14ac:dyDescent="0.4">
      <c r="A28">
        <v>27</v>
      </c>
      <c r="F28">
        <v>0</v>
      </c>
      <c r="K28">
        <v>0</v>
      </c>
      <c r="L28">
        <f t="shared" si="3"/>
        <v>0</v>
      </c>
      <c r="M28">
        <f t="shared" si="0"/>
        <v>0</v>
      </c>
    </row>
    <row r="29" spans="1:13" x14ac:dyDescent="0.4">
      <c r="A29">
        <v>28</v>
      </c>
      <c r="F29">
        <v>0</v>
      </c>
      <c r="K29">
        <v>0</v>
      </c>
      <c r="L29">
        <f t="shared" si="3"/>
        <v>0</v>
      </c>
      <c r="M29">
        <f t="shared" si="0"/>
        <v>0</v>
      </c>
    </row>
    <row r="30" spans="1:13" x14ac:dyDescent="0.4">
      <c r="A30">
        <v>29</v>
      </c>
      <c r="F30">
        <v>0</v>
      </c>
      <c r="K30">
        <v>0</v>
      </c>
      <c r="L30">
        <f t="shared" si="3"/>
        <v>0</v>
      </c>
      <c r="M30">
        <f t="shared" si="0"/>
        <v>0</v>
      </c>
    </row>
    <row r="31" spans="1:13" x14ac:dyDescent="0.4">
      <c r="A31">
        <v>30</v>
      </c>
      <c r="F31">
        <v>0</v>
      </c>
      <c r="K31">
        <v>0</v>
      </c>
      <c r="L31">
        <f t="shared" si="3"/>
        <v>0</v>
      </c>
      <c r="M31">
        <f t="shared" si="0"/>
        <v>0</v>
      </c>
    </row>
    <row r="32" spans="1:13" x14ac:dyDescent="0.4">
      <c r="A32">
        <v>31</v>
      </c>
      <c r="B32">
        <v>15</v>
      </c>
      <c r="C32">
        <v>15</v>
      </c>
      <c r="D32">
        <v>15</v>
      </c>
      <c r="E32">
        <v>15</v>
      </c>
      <c r="F32">
        <v>3.27</v>
      </c>
      <c r="G32">
        <v>15</v>
      </c>
      <c r="H32">
        <v>15</v>
      </c>
      <c r="I32">
        <v>15</v>
      </c>
      <c r="J32">
        <v>15</v>
      </c>
      <c r="K32">
        <v>4.5</v>
      </c>
      <c r="L32">
        <f t="shared" si="3"/>
        <v>60</v>
      </c>
      <c r="M32">
        <f t="shared" si="0"/>
        <v>60</v>
      </c>
    </row>
    <row r="33" spans="1:13" x14ac:dyDescent="0.4">
      <c r="A33">
        <v>32</v>
      </c>
      <c r="F33">
        <v>0</v>
      </c>
      <c r="K33">
        <v>0</v>
      </c>
      <c r="L33">
        <f t="shared" si="3"/>
        <v>0</v>
      </c>
      <c r="M33">
        <f t="shared" si="0"/>
        <v>0</v>
      </c>
    </row>
    <row r="34" spans="1:13" x14ac:dyDescent="0.4">
      <c r="A34">
        <v>33</v>
      </c>
      <c r="F34">
        <v>0</v>
      </c>
      <c r="K34">
        <v>0</v>
      </c>
      <c r="L34">
        <f t="shared" si="3"/>
        <v>0</v>
      </c>
      <c r="M34">
        <f t="shared" si="0"/>
        <v>0</v>
      </c>
    </row>
    <row r="35" spans="1:13" x14ac:dyDescent="0.4">
      <c r="A35">
        <v>34</v>
      </c>
      <c r="F35">
        <v>0</v>
      </c>
      <c r="K35">
        <v>0</v>
      </c>
      <c r="L35">
        <f t="shared" si="3"/>
        <v>0</v>
      </c>
      <c r="M35">
        <f t="shared" si="0"/>
        <v>0</v>
      </c>
    </row>
    <row r="36" spans="1:13" x14ac:dyDescent="0.4">
      <c r="A36">
        <v>35</v>
      </c>
      <c r="F36">
        <v>0</v>
      </c>
      <c r="K36">
        <v>0</v>
      </c>
      <c r="L36">
        <f t="shared" si="3"/>
        <v>0</v>
      </c>
      <c r="M36">
        <f t="shared" si="0"/>
        <v>0</v>
      </c>
    </row>
    <row r="37" spans="1:13" x14ac:dyDescent="0.4">
      <c r="A37">
        <v>36</v>
      </c>
      <c r="F37">
        <v>0</v>
      </c>
      <c r="K37">
        <v>0</v>
      </c>
      <c r="L37">
        <f t="shared" si="3"/>
        <v>0</v>
      </c>
      <c r="M37">
        <f t="shared" si="0"/>
        <v>0</v>
      </c>
    </row>
    <row r="38" spans="1:13" x14ac:dyDescent="0.4">
      <c r="A38">
        <v>37</v>
      </c>
      <c r="F38">
        <v>0</v>
      </c>
      <c r="K38">
        <v>0</v>
      </c>
      <c r="L38">
        <f t="shared" si="3"/>
        <v>0</v>
      </c>
      <c r="M38">
        <f t="shared" si="0"/>
        <v>0</v>
      </c>
    </row>
    <row r="39" spans="1:13" x14ac:dyDescent="0.4">
      <c r="A39">
        <v>38</v>
      </c>
      <c r="F39">
        <v>0</v>
      </c>
      <c r="K39">
        <v>0</v>
      </c>
      <c r="L39">
        <f t="shared" si="3"/>
        <v>0</v>
      </c>
      <c r="M39">
        <f t="shared" si="0"/>
        <v>0</v>
      </c>
    </row>
    <row r="40" spans="1:13" x14ac:dyDescent="0.4">
      <c r="A40">
        <v>39</v>
      </c>
      <c r="F40">
        <v>0</v>
      </c>
      <c r="K40">
        <v>0</v>
      </c>
      <c r="L40">
        <f t="shared" si="3"/>
        <v>0</v>
      </c>
      <c r="M40">
        <f t="shared" si="0"/>
        <v>0</v>
      </c>
    </row>
    <row r="41" spans="1:13" x14ac:dyDescent="0.4">
      <c r="A41">
        <v>40</v>
      </c>
      <c r="F41">
        <v>0</v>
      </c>
      <c r="K41">
        <v>0</v>
      </c>
      <c r="L41">
        <f t="shared" si="3"/>
        <v>0</v>
      </c>
      <c r="M41">
        <f t="shared" si="0"/>
        <v>0</v>
      </c>
    </row>
    <row r="42" spans="1:13" x14ac:dyDescent="0.4">
      <c r="A42">
        <v>41</v>
      </c>
      <c r="B42">
        <v>20</v>
      </c>
      <c r="C42">
        <v>20</v>
      </c>
      <c r="D42">
        <v>20</v>
      </c>
      <c r="E42">
        <v>20</v>
      </c>
      <c r="F42">
        <v>4.3600000000000003</v>
      </c>
      <c r="G42">
        <v>20</v>
      </c>
      <c r="H42">
        <v>20</v>
      </c>
      <c r="I42">
        <v>20</v>
      </c>
      <c r="J42">
        <v>20</v>
      </c>
      <c r="K42">
        <v>6</v>
      </c>
      <c r="L42">
        <f t="shared" si="3"/>
        <v>80</v>
      </c>
      <c r="M42">
        <f t="shared" si="0"/>
        <v>80</v>
      </c>
    </row>
    <row r="43" spans="1:13" x14ac:dyDescent="0.4">
      <c r="A43">
        <v>42</v>
      </c>
      <c r="F43">
        <v>0</v>
      </c>
      <c r="K43">
        <v>0</v>
      </c>
      <c r="L43">
        <f t="shared" si="3"/>
        <v>0</v>
      </c>
      <c r="M43">
        <f t="shared" si="0"/>
        <v>0</v>
      </c>
    </row>
    <row r="44" spans="1:13" x14ac:dyDescent="0.4">
      <c r="A44">
        <v>43</v>
      </c>
      <c r="F44">
        <v>0</v>
      </c>
      <c r="K44">
        <v>0</v>
      </c>
      <c r="L44">
        <f t="shared" si="3"/>
        <v>0</v>
      </c>
      <c r="M44">
        <f t="shared" si="0"/>
        <v>0</v>
      </c>
    </row>
    <row r="45" spans="1:13" x14ac:dyDescent="0.4">
      <c r="A45">
        <v>44</v>
      </c>
      <c r="F45">
        <v>0</v>
      </c>
      <c r="K45">
        <v>0</v>
      </c>
      <c r="L45">
        <f t="shared" si="3"/>
        <v>0</v>
      </c>
      <c r="M45">
        <f t="shared" si="0"/>
        <v>0</v>
      </c>
    </row>
    <row r="46" spans="1:13" x14ac:dyDescent="0.4">
      <c r="A46">
        <v>45</v>
      </c>
      <c r="F46">
        <v>0</v>
      </c>
      <c r="K46">
        <v>0</v>
      </c>
      <c r="L46">
        <f t="shared" si="3"/>
        <v>0</v>
      </c>
      <c r="M46">
        <f t="shared" si="0"/>
        <v>0</v>
      </c>
    </row>
    <row r="47" spans="1:13" x14ac:dyDescent="0.4">
      <c r="A47">
        <v>46</v>
      </c>
      <c r="F47">
        <v>0</v>
      </c>
      <c r="K47">
        <v>0</v>
      </c>
      <c r="L47">
        <f t="shared" si="3"/>
        <v>0</v>
      </c>
      <c r="M47">
        <f t="shared" si="0"/>
        <v>0</v>
      </c>
    </row>
    <row r="48" spans="1:13" x14ac:dyDescent="0.4">
      <c r="A48">
        <v>47</v>
      </c>
      <c r="F48">
        <v>0</v>
      </c>
      <c r="K48">
        <v>0</v>
      </c>
      <c r="L48">
        <f t="shared" si="3"/>
        <v>0</v>
      </c>
      <c r="M48">
        <f t="shared" si="0"/>
        <v>0</v>
      </c>
    </row>
    <row r="49" spans="1:13" x14ac:dyDescent="0.4">
      <c r="A49">
        <v>48</v>
      </c>
      <c r="F49">
        <v>0</v>
      </c>
      <c r="K49">
        <v>0</v>
      </c>
      <c r="L49">
        <f t="shared" si="3"/>
        <v>0</v>
      </c>
      <c r="M49">
        <f t="shared" si="0"/>
        <v>0</v>
      </c>
    </row>
    <row r="50" spans="1:13" x14ac:dyDescent="0.4">
      <c r="A50">
        <v>49</v>
      </c>
      <c r="F50">
        <v>0</v>
      </c>
      <c r="K50">
        <v>0</v>
      </c>
      <c r="L50">
        <f t="shared" si="3"/>
        <v>0</v>
      </c>
      <c r="M50">
        <f t="shared" si="0"/>
        <v>0</v>
      </c>
    </row>
    <row r="51" spans="1:13" x14ac:dyDescent="0.4">
      <c r="A51">
        <v>50</v>
      </c>
      <c r="F51">
        <v>0</v>
      </c>
      <c r="K51">
        <v>0</v>
      </c>
      <c r="L51">
        <f t="shared" si="3"/>
        <v>0</v>
      </c>
      <c r="M51">
        <f t="shared" si="0"/>
        <v>0</v>
      </c>
    </row>
    <row r="52" spans="1:13" x14ac:dyDescent="0.4">
      <c r="A52">
        <v>51</v>
      </c>
      <c r="B52">
        <v>25</v>
      </c>
      <c r="C52">
        <v>25</v>
      </c>
      <c r="D52">
        <v>25</v>
      </c>
      <c r="E52">
        <v>25</v>
      </c>
      <c r="F52">
        <v>5.45</v>
      </c>
      <c r="G52">
        <v>25</v>
      </c>
      <c r="H52">
        <v>25</v>
      </c>
      <c r="I52">
        <v>25</v>
      </c>
      <c r="J52">
        <v>25</v>
      </c>
      <c r="K52">
        <v>7.5</v>
      </c>
      <c r="L52">
        <f t="shared" si="3"/>
        <v>100</v>
      </c>
      <c r="M52">
        <f t="shared" si="0"/>
        <v>100</v>
      </c>
    </row>
    <row r="53" spans="1:13" x14ac:dyDescent="0.4">
      <c r="A53">
        <v>52</v>
      </c>
      <c r="F53">
        <v>0</v>
      </c>
      <c r="K53">
        <v>0</v>
      </c>
      <c r="L53">
        <f t="shared" si="3"/>
        <v>0</v>
      </c>
      <c r="M53">
        <f t="shared" si="0"/>
        <v>0</v>
      </c>
    </row>
    <row r="54" spans="1:13" x14ac:dyDescent="0.4">
      <c r="A54">
        <v>53</v>
      </c>
      <c r="F54">
        <v>0</v>
      </c>
      <c r="K54">
        <v>0</v>
      </c>
      <c r="L54">
        <f t="shared" si="3"/>
        <v>0</v>
      </c>
      <c r="M54">
        <f t="shared" si="0"/>
        <v>0</v>
      </c>
    </row>
    <row r="55" spans="1:13" x14ac:dyDescent="0.4">
      <c r="A55">
        <v>54</v>
      </c>
      <c r="F55">
        <v>0</v>
      </c>
      <c r="K55">
        <v>0</v>
      </c>
      <c r="L55">
        <f t="shared" si="3"/>
        <v>0</v>
      </c>
      <c r="M55">
        <f t="shared" si="0"/>
        <v>0</v>
      </c>
    </row>
    <row r="56" spans="1:13" x14ac:dyDescent="0.4">
      <c r="A56">
        <v>55</v>
      </c>
      <c r="F56">
        <v>0</v>
      </c>
      <c r="K56">
        <v>0</v>
      </c>
      <c r="L56">
        <f t="shared" si="3"/>
        <v>0</v>
      </c>
      <c r="M56">
        <f t="shared" si="0"/>
        <v>0</v>
      </c>
    </row>
    <row r="57" spans="1:13" x14ac:dyDescent="0.4">
      <c r="A57">
        <v>56</v>
      </c>
      <c r="F57">
        <v>0</v>
      </c>
      <c r="K57">
        <v>0</v>
      </c>
      <c r="L57">
        <f t="shared" si="3"/>
        <v>0</v>
      </c>
      <c r="M57">
        <f t="shared" si="0"/>
        <v>0</v>
      </c>
    </row>
    <row r="58" spans="1:13" x14ac:dyDescent="0.4">
      <c r="A58">
        <v>57</v>
      </c>
      <c r="F58">
        <v>0</v>
      </c>
      <c r="K58">
        <v>0</v>
      </c>
      <c r="L58">
        <f t="shared" si="3"/>
        <v>0</v>
      </c>
      <c r="M58">
        <f t="shared" si="0"/>
        <v>0</v>
      </c>
    </row>
    <row r="59" spans="1:13" x14ac:dyDescent="0.4">
      <c r="A59">
        <v>58</v>
      </c>
      <c r="F59">
        <v>0</v>
      </c>
      <c r="K59">
        <v>0</v>
      </c>
      <c r="L59">
        <f t="shared" si="3"/>
        <v>0</v>
      </c>
      <c r="M59">
        <f t="shared" si="0"/>
        <v>0</v>
      </c>
    </row>
    <row r="60" spans="1:13" x14ac:dyDescent="0.4">
      <c r="A60">
        <v>59</v>
      </c>
      <c r="F60">
        <v>0</v>
      </c>
      <c r="K60">
        <v>0</v>
      </c>
      <c r="L60">
        <f t="shared" si="3"/>
        <v>0</v>
      </c>
      <c r="M60">
        <f t="shared" si="0"/>
        <v>0</v>
      </c>
    </row>
    <row r="61" spans="1:13" x14ac:dyDescent="0.4">
      <c r="A61">
        <v>60</v>
      </c>
      <c r="F61">
        <v>0</v>
      </c>
      <c r="K61">
        <v>0</v>
      </c>
      <c r="L61">
        <f t="shared" si="3"/>
        <v>0</v>
      </c>
      <c r="M61">
        <f t="shared" si="0"/>
        <v>0</v>
      </c>
    </row>
    <row r="62" spans="1:13" x14ac:dyDescent="0.4">
      <c r="A62">
        <v>61</v>
      </c>
      <c r="B62">
        <v>30</v>
      </c>
      <c r="C62">
        <v>30</v>
      </c>
      <c r="D62">
        <v>30</v>
      </c>
      <c r="E62">
        <v>30</v>
      </c>
      <c r="F62">
        <v>6.5500000000000007</v>
      </c>
      <c r="G62">
        <v>30</v>
      </c>
      <c r="H62">
        <v>30</v>
      </c>
      <c r="I62">
        <v>30</v>
      </c>
      <c r="J62">
        <v>30</v>
      </c>
      <c r="K62">
        <v>9</v>
      </c>
      <c r="L62">
        <f t="shared" si="3"/>
        <v>120</v>
      </c>
      <c r="M62">
        <f t="shared" si="0"/>
        <v>120</v>
      </c>
    </row>
    <row r="63" spans="1:13" x14ac:dyDescent="0.4">
      <c r="A63">
        <v>62</v>
      </c>
      <c r="F63">
        <v>0</v>
      </c>
      <c r="K63">
        <v>0</v>
      </c>
      <c r="L63">
        <f t="shared" si="3"/>
        <v>0</v>
      </c>
      <c r="M63">
        <f t="shared" si="0"/>
        <v>0</v>
      </c>
    </row>
    <row r="64" spans="1:13" x14ac:dyDescent="0.4">
      <c r="A64">
        <v>63</v>
      </c>
      <c r="F64">
        <v>0</v>
      </c>
      <c r="K64">
        <v>0</v>
      </c>
      <c r="L64">
        <f t="shared" si="3"/>
        <v>0</v>
      </c>
      <c r="M64">
        <f t="shared" si="0"/>
        <v>0</v>
      </c>
    </row>
    <row r="65" spans="1:13" x14ac:dyDescent="0.4">
      <c r="A65">
        <v>64</v>
      </c>
      <c r="F65">
        <v>0</v>
      </c>
      <c r="K65">
        <v>0</v>
      </c>
      <c r="L65">
        <f t="shared" si="3"/>
        <v>0</v>
      </c>
      <c r="M65">
        <f t="shared" si="0"/>
        <v>0</v>
      </c>
    </row>
    <row r="66" spans="1:13" x14ac:dyDescent="0.4">
      <c r="A66">
        <v>65</v>
      </c>
      <c r="F66">
        <v>0</v>
      </c>
      <c r="K66">
        <v>0</v>
      </c>
      <c r="L66">
        <f t="shared" si="3"/>
        <v>0</v>
      </c>
      <c r="M66">
        <f t="shared" si="0"/>
        <v>0</v>
      </c>
    </row>
    <row r="67" spans="1:13" x14ac:dyDescent="0.4">
      <c r="A67">
        <v>66</v>
      </c>
      <c r="F67">
        <v>0</v>
      </c>
      <c r="K67">
        <v>0</v>
      </c>
      <c r="L67">
        <f t="shared" si="3"/>
        <v>0</v>
      </c>
      <c r="M67">
        <f t="shared" ref="M67:M130" si="4">SUM(G67:J67)</f>
        <v>0</v>
      </c>
    </row>
    <row r="68" spans="1:13" x14ac:dyDescent="0.4">
      <c r="A68">
        <v>67</v>
      </c>
      <c r="F68">
        <v>0</v>
      </c>
      <c r="K68">
        <v>0</v>
      </c>
      <c r="L68">
        <f t="shared" ref="L68:L131" si="5">SUM(B68:E68)</f>
        <v>0</v>
      </c>
      <c r="M68">
        <f t="shared" si="4"/>
        <v>0</v>
      </c>
    </row>
    <row r="69" spans="1:13" x14ac:dyDescent="0.4">
      <c r="A69">
        <v>68</v>
      </c>
      <c r="F69">
        <v>0</v>
      </c>
      <c r="K69">
        <v>0</v>
      </c>
      <c r="L69">
        <f t="shared" si="5"/>
        <v>0</v>
      </c>
      <c r="M69">
        <f t="shared" si="4"/>
        <v>0</v>
      </c>
    </row>
    <row r="70" spans="1:13" x14ac:dyDescent="0.4">
      <c r="A70">
        <v>69</v>
      </c>
      <c r="F70">
        <v>0</v>
      </c>
      <c r="K70">
        <v>0</v>
      </c>
      <c r="L70">
        <f t="shared" si="5"/>
        <v>0</v>
      </c>
      <c r="M70">
        <f t="shared" si="4"/>
        <v>0</v>
      </c>
    </row>
    <row r="71" spans="1:13" x14ac:dyDescent="0.4">
      <c r="A71">
        <v>70</v>
      </c>
      <c r="F71">
        <v>0</v>
      </c>
      <c r="K71">
        <v>0</v>
      </c>
      <c r="L71">
        <f t="shared" si="5"/>
        <v>0</v>
      </c>
      <c r="M71">
        <f t="shared" si="4"/>
        <v>0</v>
      </c>
    </row>
    <row r="72" spans="1:13" x14ac:dyDescent="0.4">
      <c r="A72">
        <v>71</v>
      </c>
      <c r="B72">
        <v>35</v>
      </c>
      <c r="C72">
        <v>35</v>
      </c>
      <c r="D72">
        <v>35</v>
      </c>
      <c r="E72">
        <v>35</v>
      </c>
      <c r="F72">
        <v>7.6400000000000006</v>
      </c>
      <c r="G72">
        <v>35</v>
      </c>
      <c r="H72">
        <v>35</v>
      </c>
      <c r="I72">
        <v>35</v>
      </c>
      <c r="J72">
        <v>35</v>
      </c>
      <c r="K72">
        <v>10.5</v>
      </c>
      <c r="L72">
        <f t="shared" si="5"/>
        <v>140</v>
      </c>
      <c r="M72">
        <f t="shared" si="4"/>
        <v>140</v>
      </c>
    </row>
    <row r="73" spans="1:13" x14ac:dyDescent="0.4">
      <c r="A73">
        <v>72</v>
      </c>
      <c r="F73">
        <v>0</v>
      </c>
      <c r="K73">
        <v>0</v>
      </c>
      <c r="L73">
        <f t="shared" si="5"/>
        <v>0</v>
      </c>
      <c r="M73">
        <f t="shared" si="4"/>
        <v>0</v>
      </c>
    </row>
    <row r="74" spans="1:13" x14ac:dyDescent="0.4">
      <c r="A74">
        <v>73</v>
      </c>
      <c r="F74">
        <v>0</v>
      </c>
      <c r="K74">
        <v>0</v>
      </c>
      <c r="L74">
        <f t="shared" si="5"/>
        <v>0</v>
      </c>
      <c r="M74">
        <f t="shared" si="4"/>
        <v>0</v>
      </c>
    </row>
    <row r="75" spans="1:13" x14ac:dyDescent="0.4">
      <c r="A75">
        <v>74</v>
      </c>
      <c r="F75">
        <v>0</v>
      </c>
      <c r="K75">
        <v>0</v>
      </c>
      <c r="L75">
        <f t="shared" si="5"/>
        <v>0</v>
      </c>
      <c r="M75">
        <f t="shared" si="4"/>
        <v>0</v>
      </c>
    </row>
    <row r="76" spans="1:13" x14ac:dyDescent="0.4">
      <c r="A76">
        <v>75</v>
      </c>
      <c r="F76">
        <v>0</v>
      </c>
      <c r="K76">
        <v>0</v>
      </c>
      <c r="L76">
        <f t="shared" si="5"/>
        <v>0</v>
      </c>
      <c r="M76">
        <f t="shared" si="4"/>
        <v>0</v>
      </c>
    </row>
    <row r="77" spans="1:13" x14ac:dyDescent="0.4">
      <c r="A77">
        <v>76</v>
      </c>
      <c r="F77">
        <v>0</v>
      </c>
      <c r="K77">
        <v>0</v>
      </c>
      <c r="L77">
        <f t="shared" si="5"/>
        <v>0</v>
      </c>
      <c r="M77">
        <f t="shared" si="4"/>
        <v>0</v>
      </c>
    </row>
    <row r="78" spans="1:13" x14ac:dyDescent="0.4">
      <c r="A78">
        <v>77</v>
      </c>
      <c r="F78">
        <v>0</v>
      </c>
      <c r="K78">
        <v>0</v>
      </c>
      <c r="L78">
        <f t="shared" si="5"/>
        <v>0</v>
      </c>
      <c r="M78">
        <f t="shared" si="4"/>
        <v>0</v>
      </c>
    </row>
    <row r="79" spans="1:13" x14ac:dyDescent="0.4">
      <c r="A79">
        <v>78</v>
      </c>
      <c r="F79">
        <v>0</v>
      </c>
      <c r="K79">
        <v>0</v>
      </c>
      <c r="L79">
        <f t="shared" si="5"/>
        <v>0</v>
      </c>
      <c r="M79">
        <f t="shared" si="4"/>
        <v>0</v>
      </c>
    </row>
    <row r="80" spans="1:13" x14ac:dyDescent="0.4">
      <c r="A80">
        <v>79</v>
      </c>
      <c r="F80">
        <v>0</v>
      </c>
      <c r="K80">
        <v>0</v>
      </c>
      <c r="L80">
        <f t="shared" si="5"/>
        <v>0</v>
      </c>
      <c r="M80">
        <f t="shared" si="4"/>
        <v>0</v>
      </c>
    </row>
    <row r="81" spans="1:13" x14ac:dyDescent="0.4">
      <c r="A81">
        <v>80</v>
      </c>
      <c r="F81">
        <v>0</v>
      </c>
      <c r="K81">
        <v>0</v>
      </c>
      <c r="L81">
        <f t="shared" si="5"/>
        <v>0</v>
      </c>
      <c r="M81">
        <f t="shared" si="4"/>
        <v>0</v>
      </c>
    </row>
    <row r="82" spans="1:13" x14ac:dyDescent="0.4">
      <c r="A82">
        <v>81</v>
      </c>
      <c r="B82">
        <v>40</v>
      </c>
      <c r="C82">
        <v>40</v>
      </c>
      <c r="D82">
        <v>40</v>
      </c>
      <c r="E82">
        <v>40</v>
      </c>
      <c r="F82">
        <v>8.73</v>
      </c>
      <c r="G82">
        <v>40</v>
      </c>
      <c r="H82">
        <v>40</v>
      </c>
      <c r="I82">
        <v>40</v>
      </c>
      <c r="J82">
        <v>40</v>
      </c>
      <c r="K82">
        <v>12</v>
      </c>
      <c r="L82">
        <f t="shared" si="5"/>
        <v>160</v>
      </c>
      <c r="M82">
        <f t="shared" si="4"/>
        <v>160</v>
      </c>
    </row>
    <row r="83" spans="1:13" x14ac:dyDescent="0.4">
      <c r="A83">
        <v>82</v>
      </c>
      <c r="F83">
        <v>0</v>
      </c>
      <c r="K83">
        <v>0</v>
      </c>
      <c r="L83">
        <f t="shared" si="5"/>
        <v>0</v>
      </c>
      <c r="M83">
        <f t="shared" si="4"/>
        <v>0</v>
      </c>
    </row>
    <row r="84" spans="1:13" x14ac:dyDescent="0.4">
      <c r="A84">
        <v>83</v>
      </c>
      <c r="F84">
        <v>0</v>
      </c>
      <c r="K84">
        <v>0</v>
      </c>
      <c r="L84">
        <f t="shared" si="5"/>
        <v>0</v>
      </c>
      <c r="M84">
        <f t="shared" si="4"/>
        <v>0</v>
      </c>
    </row>
    <row r="85" spans="1:13" x14ac:dyDescent="0.4">
      <c r="A85">
        <v>84</v>
      </c>
      <c r="F85">
        <v>0</v>
      </c>
      <c r="K85">
        <v>0</v>
      </c>
      <c r="L85">
        <f t="shared" si="5"/>
        <v>0</v>
      </c>
      <c r="M85">
        <f t="shared" si="4"/>
        <v>0</v>
      </c>
    </row>
    <row r="86" spans="1:13" x14ac:dyDescent="0.4">
      <c r="A86">
        <v>85</v>
      </c>
      <c r="F86">
        <v>0</v>
      </c>
      <c r="K86">
        <v>0</v>
      </c>
      <c r="L86">
        <f t="shared" si="5"/>
        <v>0</v>
      </c>
      <c r="M86">
        <f t="shared" si="4"/>
        <v>0</v>
      </c>
    </row>
    <row r="87" spans="1:13" x14ac:dyDescent="0.4">
      <c r="A87">
        <v>86</v>
      </c>
      <c r="F87">
        <v>0</v>
      </c>
      <c r="K87">
        <v>0</v>
      </c>
      <c r="L87">
        <f t="shared" si="5"/>
        <v>0</v>
      </c>
      <c r="M87">
        <f t="shared" si="4"/>
        <v>0</v>
      </c>
    </row>
    <row r="88" spans="1:13" x14ac:dyDescent="0.4">
      <c r="A88">
        <v>87</v>
      </c>
      <c r="F88">
        <v>0</v>
      </c>
      <c r="K88">
        <v>0</v>
      </c>
      <c r="L88">
        <f t="shared" si="5"/>
        <v>0</v>
      </c>
      <c r="M88">
        <f t="shared" si="4"/>
        <v>0</v>
      </c>
    </row>
    <row r="89" spans="1:13" x14ac:dyDescent="0.4">
      <c r="A89">
        <v>88</v>
      </c>
      <c r="F89">
        <v>0</v>
      </c>
      <c r="K89">
        <v>0</v>
      </c>
      <c r="L89">
        <f t="shared" si="5"/>
        <v>0</v>
      </c>
      <c r="M89">
        <f t="shared" si="4"/>
        <v>0</v>
      </c>
    </row>
    <row r="90" spans="1:13" x14ac:dyDescent="0.4">
      <c r="A90">
        <v>89</v>
      </c>
      <c r="F90">
        <v>0</v>
      </c>
      <c r="K90">
        <v>0</v>
      </c>
      <c r="L90">
        <f t="shared" si="5"/>
        <v>0</v>
      </c>
      <c r="M90">
        <f t="shared" si="4"/>
        <v>0</v>
      </c>
    </row>
    <row r="91" spans="1:13" x14ac:dyDescent="0.4">
      <c r="A91">
        <v>90</v>
      </c>
      <c r="F91">
        <v>0</v>
      </c>
      <c r="K91">
        <v>0</v>
      </c>
      <c r="L91">
        <f t="shared" si="5"/>
        <v>0</v>
      </c>
      <c r="M91">
        <f t="shared" si="4"/>
        <v>0</v>
      </c>
    </row>
    <row r="92" spans="1:13" x14ac:dyDescent="0.4">
      <c r="A92">
        <v>91</v>
      </c>
      <c r="B92">
        <v>45</v>
      </c>
      <c r="C92">
        <v>45</v>
      </c>
      <c r="D92">
        <v>45</v>
      </c>
      <c r="E92">
        <v>45</v>
      </c>
      <c r="F92">
        <v>9.82</v>
      </c>
      <c r="G92">
        <v>45</v>
      </c>
      <c r="H92">
        <v>45</v>
      </c>
      <c r="I92">
        <v>45</v>
      </c>
      <c r="J92">
        <v>45</v>
      </c>
      <c r="K92">
        <v>13.5</v>
      </c>
      <c r="L92">
        <f t="shared" si="5"/>
        <v>180</v>
      </c>
      <c r="M92">
        <f t="shared" si="4"/>
        <v>180</v>
      </c>
    </row>
    <row r="93" spans="1:13" x14ac:dyDescent="0.4">
      <c r="A93">
        <v>92</v>
      </c>
      <c r="F93">
        <v>0</v>
      </c>
      <c r="K93">
        <v>0</v>
      </c>
      <c r="L93">
        <f t="shared" si="5"/>
        <v>0</v>
      </c>
      <c r="M93">
        <f t="shared" si="4"/>
        <v>0</v>
      </c>
    </row>
    <row r="94" spans="1:13" x14ac:dyDescent="0.4">
      <c r="A94">
        <v>93</v>
      </c>
      <c r="F94">
        <v>0</v>
      </c>
      <c r="K94">
        <v>0</v>
      </c>
      <c r="L94">
        <f t="shared" si="5"/>
        <v>0</v>
      </c>
      <c r="M94">
        <f t="shared" si="4"/>
        <v>0</v>
      </c>
    </row>
    <row r="95" spans="1:13" x14ac:dyDescent="0.4">
      <c r="A95">
        <v>94</v>
      </c>
      <c r="F95">
        <v>0</v>
      </c>
      <c r="K95">
        <v>0</v>
      </c>
      <c r="L95">
        <f t="shared" si="5"/>
        <v>0</v>
      </c>
      <c r="M95">
        <f t="shared" si="4"/>
        <v>0</v>
      </c>
    </row>
    <row r="96" spans="1:13" x14ac:dyDescent="0.4">
      <c r="A96">
        <v>95</v>
      </c>
      <c r="F96">
        <v>0</v>
      </c>
      <c r="K96">
        <v>0</v>
      </c>
      <c r="L96">
        <f t="shared" si="5"/>
        <v>0</v>
      </c>
      <c r="M96">
        <f t="shared" si="4"/>
        <v>0</v>
      </c>
    </row>
    <row r="97" spans="1:13" x14ac:dyDescent="0.4">
      <c r="A97">
        <v>96</v>
      </c>
      <c r="F97">
        <v>0</v>
      </c>
      <c r="K97">
        <v>0</v>
      </c>
      <c r="L97">
        <f t="shared" si="5"/>
        <v>0</v>
      </c>
      <c r="M97">
        <f t="shared" si="4"/>
        <v>0</v>
      </c>
    </row>
    <row r="98" spans="1:13" x14ac:dyDescent="0.4">
      <c r="A98">
        <v>97</v>
      </c>
      <c r="F98">
        <v>0</v>
      </c>
      <c r="K98">
        <v>0</v>
      </c>
      <c r="L98">
        <f t="shared" si="5"/>
        <v>0</v>
      </c>
      <c r="M98">
        <f t="shared" si="4"/>
        <v>0</v>
      </c>
    </row>
    <row r="99" spans="1:13" x14ac:dyDescent="0.4">
      <c r="A99">
        <v>98</v>
      </c>
      <c r="F99">
        <v>0</v>
      </c>
      <c r="K99">
        <v>0</v>
      </c>
      <c r="L99">
        <f t="shared" si="5"/>
        <v>0</v>
      </c>
      <c r="M99">
        <f t="shared" si="4"/>
        <v>0</v>
      </c>
    </row>
    <row r="100" spans="1:13" x14ac:dyDescent="0.4">
      <c r="A100">
        <v>99</v>
      </c>
      <c r="B100">
        <v>49</v>
      </c>
      <c r="C100">
        <v>49</v>
      </c>
      <c r="D100">
        <v>49</v>
      </c>
      <c r="E100">
        <v>49</v>
      </c>
      <c r="F100">
        <v>10.700000000000001</v>
      </c>
      <c r="G100">
        <v>49</v>
      </c>
      <c r="H100">
        <v>49</v>
      </c>
      <c r="I100">
        <v>49</v>
      </c>
      <c r="J100">
        <v>49</v>
      </c>
      <c r="K100">
        <v>14.7</v>
      </c>
      <c r="L100">
        <f t="shared" si="5"/>
        <v>196</v>
      </c>
      <c r="M100">
        <f t="shared" si="4"/>
        <v>196</v>
      </c>
    </row>
    <row r="101" spans="1:13" x14ac:dyDescent="0.4">
      <c r="A101">
        <v>100</v>
      </c>
      <c r="F101">
        <v>0</v>
      </c>
      <c r="K101">
        <v>0</v>
      </c>
      <c r="L101">
        <f t="shared" si="5"/>
        <v>0</v>
      </c>
      <c r="M101">
        <f t="shared" si="4"/>
        <v>0</v>
      </c>
    </row>
    <row r="102" spans="1:13" x14ac:dyDescent="0.4">
      <c r="A102">
        <v>101</v>
      </c>
      <c r="B102">
        <v>50</v>
      </c>
      <c r="C102">
        <v>50</v>
      </c>
      <c r="D102">
        <v>50</v>
      </c>
      <c r="E102">
        <v>50</v>
      </c>
      <c r="F102">
        <v>10.700000000000001</v>
      </c>
      <c r="G102">
        <v>50</v>
      </c>
      <c r="H102">
        <v>50</v>
      </c>
      <c r="I102">
        <v>50</v>
      </c>
      <c r="J102">
        <v>50</v>
      </c>
      <c r="K102">
        <v>14.7</v>
      </c>
      <c r="L102">
        <f t="shared" si="5"/>
        <v>200</v>
      </c>
      <c r="M102">
        <f t="shared" si="4"/>
        <v>200</v>
      </c>
    </row>
    <row r="103" spans="1:13" x14ac:dyDescent="0.4">
      <c r="A103">
        <v>102</v>
      </c>
      <c r="F103">
        <v>0</v>
      </c>
      <c r="K103">
        <v>0</v>
      </c>
      <c r="L103">
        <f t="shared" si="5"/>
        <v>0</v>
      </c>
      <c r="M103">
        <f t="shared" si="4"/>
        <v>0</v>
      </c>
    </row>
    <row r="104" spans="1:13" x14ac:dyDescent="0.4">
      <c r="A104">
        <v>103</v>
      </c>
      <c r="F104">
        <v>0</v>
      </c>
      <c r="K104">
        <v>0</v>
      </c>
      <c r="L104">
        <f t="shared" si="5"/>
        <v>0</v>
      </c>
      <c r="M104">
        <f t="shared" si="4"/>
        <v>0</v>
      </c>
    </row>
    <row r="105" spans="1:13" x14ac:dyDescent="0.4">
      <c r="A105">
        <v>104</v>
      </c>
      <c r="F105">
        <v>0</v>
      </c>
      <c r="K105">
        <v>0</v>
      </c>
      <c r="L105">
        <f t="shared" si="5"/>
        <v>0</v>
      </c>
      <c r="M105">
        <f t="shared" si="4"/>
        <v>0</v>
      </c>
    </row>
    <row r="106" spans="1:13" x14ac:dyDescent="0.4">
      <c r="A106">
        <v>105</v>
      </c>
      <c r="F106">
        <v>0</v>
      </c>
      <c r="K106">
        <v>0</v>
      </c>
      <c r="L106">
        <f t="shared" si="5"/>
        <v>0</v>
      </c>
      <c r="M106">
        <f t="shared" si="4"/>
        <v>0</v>
      </c>
    </row>
    <row r="107" spans="1:13" x14ac:dyDescent="0.4">
      <c r="A107">
        <v>106</v>
      </c>
      <c r="F107">
        <v>0</v>
      </c>
      <c r="K107">
        <v>0</v>
      </c>
      <c r="L107">
        <f t="shared" si="5"/>
        <v>0</v>
      </c>
      <c r="M107">
        <f t="shared" si="4"/>
        <v>0</v>
      </c>
    </row>
    <row r="108" spans="1:13" x14ac:dyDescent="0.4">
      <c r="A108">
        <v>107</v>
      </c>
      <c r="F108">
        <v>0</v>
      </c>
      <c r="K108">
        <v>0</v>
      </c>
      <c r="L108">
        <f t="shared" si="5"/>
        <v>0</v>
      </c>
      <c r="M108">
        <f t="shared" si="4"/>
        <v>0</v>
      </c>
    </row>
    <row r="109" spans="1:13" x14ac:dyDescent="0.4">
      <c r="A109">
        <v>108</v>
      </c>
      <c r="F109">
        <v>0</v>
      </c>
      <c r="K109">
        <v>0</v>
      </c>
      <c r="L109">
        <f t="shared" si="5"/>
        <v>0</v>
      </c>
      <c r="M109">
        <f t="shared" si="4"/>
        <v>0</v>
      </c>
    </row>
    <row r="110" spans="1:13" x14ac:dyDescent="0.4">
      <c r="A110">
        <v>109</v>
      </c>
      <c r="F110">
        <v>0</v>
      </c>
      <c r="K110">
        <v>0</v>
      </c>
      <c r="L110">
        <f t="shared" si="5"/>
        <v>0</v>
      </c>
      <c r="M110">
        <f t="shared" si="4"/>
        <v>0</v>
      </c>
    </row>
    <row r="111" spans="1:13" x14ac:dyDescent="0.4">
      <c r="A111">
        <v>110</v>
      </c>
      <c r="F111">
        <v>0</v>
      </c>
      <c r="K111">
        <v>0</v>
      </c>
      <c r="L111">
        <f t="shared" si="5"/>
        <v>0</v>
      </c>
      <c r="M111">
        <f t="shared" si="4"/>
        <v>0</v>
      </c>
    </row>
    <row r="112" spans="1:13" x14ac:dyDescent="0.4">
      <c r="A112">
        <v>111</v>
      </c>
      <c r="B112">
        <v>55</v>
      </c>
      <c r="C112">
        <v>55</v>
      </c>
      <c r="D112">
        <v>55</v>
      </c>
      <c r="E112">
        <v>55</v>
      </c>
      <c r="F112">
        <v>10.700000000000001</v>
      </c>
      <c r="G112">
        <v>55</v>
      </c>
      <c r="H112">
        <v>55</v>
      </c>
      <c r="I112">
        <v>55</v>
      </c>
      <c r="J112">
        <v>55</v>
      </c>
      <c r="K112">
        <v>14.7</v>
      </c>
      <c r="L112">
        <f t="shared" si="5"/>
        <v>220</v>
      </c>
      <c r="M112">
        <f t="shared" si="4"/>
        <v>220</v>
      </c>
    </row>
    <row r="113" spans="1:13" x14ac:dyDescent="0.4">
      <c r="A113">
        <v>112</v>
      </c>
      <c r="F113">
        <v>0</v>
      </c>
      <c r="K113">
        <v>0</v>
      </c>
      <c r="L113">
        <f t="shared" si="5"/>
        <v>0</v>
      </c>
      <c r="M113">
        <f t="shared" si="4"/>
        <v>0</v>
      </c>
    </row>
    <row r="114" spans="1:13" x14ac:dyDescent="0.4">
      <c r="A114">
        <v>113</v>
      </c>
      <c r="F114">
        <v>0</v>
      </c>
      <c r="K114">
        <v>0</v>
      </c>
      <c r="L114">
        <f t="shared" si="5"/>
        <v>0</v>
      </c>
      <c r="M114">
        <f t="shared" si="4"/>
        <v>0</v>
      </c>
    </row>
    <row r="115" spans="1:13" x14ac:dyDescent="0.4">
      <c r="A115">
        <v>114</v>
      </c>
      <c r="F115">
        <v>0</v>
      </c>
      <c r="K115">
        <v>0</v>
      </c>
      <c r="L115">
        <f t="shared" si="5"/>
        <v>0</v>
      </c>
      <c r="M115">
        <f t="shared" si="4"/>
        <v>0</v>
      </c>
    </row>
    <row r="116" spans="1:13" x14ac:dyDescent="0.4">
      <c r="A116">
        <v>115</v>
      </c>
      <c r="F116">
        <v>0</v>
      </c>
      <c r="K116">
        <v>0</v>
      </c>
      <c r="L116">
        <f t="shared" si="5"/>
        <v>0</v>
      </c>
      <c r="M116">
        <f t="shared" si="4"/>
        <v>0</v>
      </c>
    </row>
    <row r="117" spans="1:13" x14ac:dyDescent="0.4">
      <c r="A117">
        <v>116</v>
      </c>
      <c r="F117">
        <v>0</v>
      </c>
      <c r="K117">
        <v>0</v>
      </c>
      <c r="L117">
        <f t="shared" si="5"/>
        <v>0</v>
      </c>
      <c r="M117">
        <f t="shared" si="4"/>
        <v>0</v>
      </c>
    </row>
    <row r="118" spans="1:13" x14ac:dyDescent="0.4">
      <c r="A118">
        <v>117</v>
      </c>
      <c r="F118">
        <v>0</v>
      </c>
      <c r="K118">
        <v>0</v>
      </c>
      <c r="L118">
        <f t="shared" si="5"/>
        <v>0</v>
      </c>
      <c r="M118">
        <f t="shared" si="4"/>
        <v>0</v>
      </c>
    </row>
    <row r="119" spans="1:13" x14ac:dyDescent="0.4">
      <c r="A119">
        <v>118</v>
      </c>
      <c r="F119">
        <v>0</v>
      </c>
      <c r="K119">
        <v>0</v>
      </c>
      <c r="L119">
        <f t="shared" si="5"/>
        <v>0</v>
      </c>
      <c r="M119">
        <f t="shared" si="4"/>
        <v>0</v>
      </c>
    </row>
    <row r="120" spans="1:13" x14ac:dyDescent="0.4">
      <c r="A120">
        <v>119</v>
      </c>
      <c r="F120">
        <v>0</v>
      </c>
      <c r="K120">
        <v>0</v>
      </c>
      <c r="L120">
        <f t="shared" si="5"/>
        <v>0</v>
      </c>
      <c r="M120">
        <f t="shared" si="4"/>
        <v>0</v>
      </c>
    </row>
    <row r="121" spans="1:13" x14ac:dyDescent="0.4">
      <c r="A121">
        <v>120</v>
      </c>
      <c r="F121">
        <v>0</v>
      </c>
      <c r="K121">
        <v>0</v>
      </c>
      <c r="L121">
        <f t="shared" si="5"/>
        <v>0</v>
      </c>
      <c r="M121">
        <f t="shared" si="4"/>
        <v>0</v>
      </c>
    </row>
    <row r="122" spans="1:13" x14ac:dyDescent="0.4">
      <c r="A122">
        <v>121</v>
      </c>
      <c r="B122">
        <v>60</v>
      </c>
      <c r="C122">
        <v>60</v>
      </c>
      <c r="D122">
        <v>60</v>
      </c>
      <c r="E122">
        <v>60</v>
      </c>
      <c r="F122">
        <v>10.700000000000001</v>
      </c>
      <c r="G122">
        <v>60</v>
      </c>
      <c r="H122">
        <v>60</v>
      </c>
      <c r="I122">
        <v>60</v>
      </c>
      <c r="J122">
        <v>60</v>
      </c>
      <c r="K122">
        <v>14.7</v>
      </c>
      <c r="L122">
        <f t="shared" si="5"/>
        <v>240</v>
      </c>
      <c r="M122">
        <f t="shared" si="4"/>
        <v>240</v>
      </c>
    </row>
    <row r="123" spans="1:13" x14ac:dyDescent="0.4">
      <c r="A123">
        <v>122</v>
      </c>
      <c r="F123">
        <v>0</v>
      </c>
      <c r="K123">
        <v>0</v>
      </c>
      <c r="L123">
        <f t="shared" si="5"/>
        <v>0</v>
      </c>
      <c r="M123">
        <f t="shared" si="4"/>
        <v>0</v>
      </c>
    </row>
    <row r="124" spans="1:13" x14ac:dyDescent="0.4">
      <c r="A124">
        <v>123</v>
      </c>
      <c r="F124">
        <v>0</v>
      </c>
      <c r="K124">
        <v>0</v>
      </c>
      <c r="L124">
        <f t="shared" si="5"/>
        <v>0</v>
      </c>
      <c r="M124">
        <f t="shared" si="4"/>
        <v>0</v>
      </c>
    </row>
    <row r="125" spans="1:13" x14ac:dyDescent="0.4">
      <c r="A125">
        <v>124</v>
      </c>
      <c r="F125">
        <v>0</v>
      </c>
      <c r="K125">
        <v>0</v>
      </c>
      <c r="L125">
        <f t="shared" si="5"/>
        <v>0</v>
      </c>
      <c r="M125">
        <f t="shared" si="4"/>
        <v>0</v>
      </c>
    </row>
    <row r="126" spans="1:13" x14ac:dyDescent="0.4">
      <c r="A126">
        <v>125</v>
      </c>
      <c r="F126">
        <v>0</v>
      </c>
      <c r="K126">
        <v>0</v>
      </c>
      <c r="L126">
        <f t="shared" si="5"/>
        <v>0</v>
      </c>
      <c r="M126">
        <f t="shared" si="4"/>
        <v>0</v>
      </c>
    </row>
    <row r="127" spans="1:13" x14ac:dyDescent="0.4">
      <c r="A127">
        <v>126</v>
      </c>
      <c r="F127">
        <v>0</v>
      </c>
      <c r="K127">
        <v>0</v>
      </c>
      <c r="L127">
        <f t="shared" si="5"/>
        <v>0</v>
      </c>
      <c r="M127">
        <f t="shared" si="4"/>
        <v>0</v>
      </c>
    </row>
    <row r="128" spans="1:13" x14ac:dyDescent="0.4">
      <c r="A128">
        <v>127</v>
      </c>
      <c r="F128">
        <v>0</v>
      </c>
      <c r="K128">
        <v>0</v>
      </c>
      <c r="L128">
        <f t="shared" si="5"/>
        <v>0</v>
      </c>
      <c r="M128">
        <f t="shared" si="4"/>
        <v>0</v>
      </c>
    </row>
    <row r="129" spans="1:13" x14ac:dyDescent="0.4">
      <c r="A129">
        <v>128</v>
      </c>
      <c r="F129">
        <v>0</v>
      </c>
      <c r="K129">
        <v>0</v>
      </c>
      <c r="L129">
        <f t="shared" si="5"/>
        <v>0</v>
      </c>
      <c r="M129">
        <f t="shared" si="4"/>
        <v>0</v>
      </c>
    </row>
    <row r="130" spans="1:13" x14ac:dyDescent="0.4">
      <c r="A130">
        <v>129</v>
      </c>
      <c r="F130">
        <v>0</v>
      </c>
      <c r="K130">
        <v>0</v>
      </c>
      <c r="L130">
        <f t="shared" si="5"/>
        <v>0</v>
      </c>
      <c r="M130">
        <f t="shared" si="4"/>
        <v>0</v>
      </c>
    </row>
    <row r="131" spans="1:13" x14ac:dyDescent="0.4">
      <c r="A131">
        <v>130</v>
      </c>
      <c r="F131">
        <v>0</v>
      </c>
      <c r="K131">
        <v>0</v>
      </c>
      <c r="L131">
        <f t="shared" si="5"/>
        <v>0</v>
      </c>
      <c r="M131">
        <f t="shared" ref="M131:M150" si="6">SUM(G131:J131)</f>
        <v>0</v>
      </c>
    </row>
    <row r="132" spans="1:13" x14ac:dyDescent="0.4">
      <c r="A132">
        <v>131</v>
      </c>
      <c r="B132">
        <v>65</v>
      </c>
      <c r="C132">
        <v>65</v>
      </c>
      <c r="D132">
        <v>65</v>
      </c>
      <c r="E132">
        <v>65</v>
      </c>
      <c r="F132">
        <v>10.700000000000001</v>
      </c>
      <c r="G132">
        <v>65</v>
      </c>
      <c r="H132">
        <v>65</v>
      </c>
      <c r="I132">
        <v>65</v>
      </c>
      <c r="J132">
        <v>65</v>
      </c>
      <c r="K132">
        <v>14.7</v>
      </c>
      <c r="L132">
        <f t="shared" ref="L132:L150" si="7">SUM(B132:E132)</f>
        <v>260</v>
      </c>
      <c r="M132">
        <f t="shared" si="6"/>
        <v>260</v>
      </c>
    </row>
    <row r="133" spans="1:13" x14ac:dyDescent="0.4">
      <c r="A133">
        <v>132</v>
      </c>
      <c r="F133">
        <v>0</v>
      </c>
      <c r="K133">
        <v>0</v>
      </c>
      <c r="L133">
        <f t="shared" si="7"/>
        <v>0</v>
      </c>
      <c r="M133">
        <f t="shared" si="6"/>
        <v>0</v>
      </c>
    </row>
    <row r="134" spans="1:13" x14ac:dyDescent="0.4">
      <c r="A134">
        <v>133</v>
      </c>
      <c r="F134">
        <v>0</v>
      </c>
      <c r="K134">
        <v>0</v>
      </c>
      <c r="L134">
        <f t="shared" si="7"/>
        <v>0</v>
      </c>
      <c r="M134">
        <f t="shared" si="6"/>
        <v>0</v>
      </c>
    </row>
    <row r="135" spans="1:13" x14ac:dyDescent="0.4">
      <c r="A135">
        <v>134</v>
      </c>
      <c r="F135">
        <v>0</v>
      </c>
      <c r="K135">
        <v>0</v>
      </c>
      <c r="L135">
        <f t="shared" si="7"/>
        <v>0</v>
      </c>
      <c r="M135">
        <f t="shared" si="6"/>
        <v>0</v>
      </c>
    </row>
    <row r="136" spans="1:13" x14ac:dyDescent="0.4">
      <c r="A136">
        <v>135</v>
      </c>
      <c r="F136">
        <v>0</v>
      </c>
      <c r="K136">
        <v>0</v>
      </c>
      <c r="L136">
        <f t="shared" si="7"/>
        <v>0</v>
      </c>
      <c r="M136">
        <f t="shared" si="6"/>
        <v>0</v>
      </c>
    </row>
    <row r="137" spans="1:13" x14ac:dyDescent="0.4">
      <c r="A137">
        <v>136</v>
      </c>
      <c r="F137">
        <v>0</v>
      </c>
      <c r="K137">
        <v>0</v>
      </c>
      <c r="L137">
        <f t="shared" si="7"/>
        <v>0</v>
      </c>
      <c r="M137">
        <f t="shared" si="6"/>
        <v>0</v>
      </c>
    </row>
    <row r="138" spans="1:13" x14ac:dyDescent="0.4">
      <c r="A138">
        <v>137</v>
      </c>
      <c r="F138">
        <v>0</v>
      </c>
      <c r="K138">
        <v>0</v>
      </c>
      <c r="L138">
        <f t="shared" si="7"/>
        <v>0</v>
      </c>
      <c r="M138">
        <f t="shared" si="6"/>
        <v>0</v>
      </c>
    </row>
    <row r="139" spans="1:13" x14ac:dyDescent="0.4">
      <c r="A139">
        <v>138</v>
      </c>
      <c r="F139">
        <v>0</v>
      </c>
      <c r="K139">
        <v>0</v>
      </c>
      <c r="L139">
        <f t="shared" si="7"/>
        <v>0</v>
      </c>
      <c r="M139">
        <f t="shared" si="6"/>
        <v>0</v>
      </c>
    </row>
    <row r="140" spans="1:13" x14ac:dyDescent="0.4">
      <c r="A140">
        <v>139</v>
      </c>
      <c r="F140">
        <v>0</v>
      </c>
      <c r="K140">
        <v>0</v>
      </c>
      <c r="L140">
        <f t="shared" si="7"/>
        <v>0</v>
      </c>
      <c r="M140">
        <f t="shared" si="6"/>
        <v>0</v>
      </c>
    </row>
    <row r="141" spans="1:13" x14ac:dyDescent="0.4">
      <c r="A141">
        <v>140</v>
      </c>
      <c r="B141">
        <v>70</v>
      </c>
      <c r="C141">
        <v>69</v>
      </c>
      <c r="D141">
        <v>69</v>
      </c>
      <c r="E141">
        <v>69</v>
      </c>
      <c r="F141">
        <v>10.700000000000001</v>
      </c>
      <c r="G141">
        <v>70</v>
      </c>
      <c r="H141">
        <v>70</v>
      </c>
      <c r="I141">
        <v>69</v>
      </c>
      <c r="J141">
        <v>70</v>
      </c>
      <c r="K141">
        <v>14.7</v>
      </c>
      <c r="L141">
        <f t="shared" si="7"/>
        <v>277</v>
      </c>
      <c r="M141">
        <f t="shared" si="6"/>
        <v>279</v>
      </c>
    </row>
    <row r="142" spans="1:13" x14ac:dyDescent="0.4">
      <c r="A142">
        <v>141</v>
      </c>
      <c r="B142">
        <v>70</v>
      </c>
      <c r="C142">
        <v>70</v>
      </c>
      <c r="D142">
        <v>70</v>
      </c>
      <c r="E142">
        <v>70</v>
      </c>
      <c r="F142">
        <v>10.700000000000001</v>
      </c>
      <c r="G142">
        <v>70</v>
      </c>
      <c r="H142">
        <v>70</v>
      </c>
      <c r="I142">
        <v>70</v>
      </c>
      <c r="J142">
        <v>70</v>
      </c>
      <c r="K142">
        <v>14.7</v>
      </c>
      <c r="L142">
        <f t="shared" si="7"/>
        <v>280</v>
      </c>
      <c r="M142">
        <f t="shared" si="6"/>
        <v>280</v>
      </c>
    </row>
    <row r="143" spans="1:13" x14ac:dyDescent="0.4">
      <c r="A143">
        <v>142</v>
      </c>
      <c r="F143">
        <v>0</v>
      </c>
      <c r="K143">
        <v>0</v>
      </c>
      <c r="L143">
        <f t="shared" si="7"/>
        <v>0</v>
      </c>
      <c r="M143">
        <f t="shared" si="6"/>
        <v>0</v>
      </c>
    </row>
    <row r="144" spans="1:13" x14ac:dyDescent="0.4">
      <c r="A144">
        <v>143</v>
      </c>
      <c r="F144">
        <v>0</v>
      </c>
      <c r="K144">
        <v>0</v>
      </c>
      <c r="L144">
        <f t="shared" si="7"/>
        <v>0</v>
      </c>
      <c r="M144">
        <f t="shared" si="6"/>
        <v>0</v>
      </c>
    </row>
    <row r="145" spans="1:13" x14ac:dyDescent="0.4">
      <c r="A145">
        <v>144</v>
      </c>
      <c r="F145">
        <v>0</v>
      </c>
      <c r="K145">
        <v>0</v>
      </c>
      <c r="L145">
        <f t="shared" si="7"/>
        <v>0</v>
      </c>
      <c r="M145">
        <f t="shared" si="6"/>
        <v>0</v>
      </c>
    </row>
    <row r="146" spans="1:13" x14ac:dyDescent="0.4">
      <c r="A146">
        <v>145</v>
      </c>
      <c r="F146">
        <v>0</v>
      </c>
      <c r="K146">
        <v>0</v>
      </c>
      <c r="L146">
        <f t="shared" si="7"/>
        <v>0</v>
      </c>
      <c r="M146">
        <f t="shared" si="6"/>
        <v>0</v>
      </c>
    </row>
    <row r="147" spans="1:13" x14ac:dyDescent="0.4">
      <c r="A147">
        <v>146</v>
      </c>
      <c r="F147">
        <v>0</v>
      </c>
      <c r="K147">
        <v>0</v>
      </c>
      <c r="L147">
        <f t="shared" si="7"/>
        <v>0</v>
      </c>
      <c r="M147">
        <f t="shared" si="6"/>
        <v>0</v>
      </c>
    </row>
    <row r="148" spans="1:13" x14ac:dyDescent="0.4">
      <c r="A148">
        <v>147</v>
      </c>
      <c r="F148">
        <v>0</v>
      </c>
      <c r="K148">
        <v>0</v>
      </c>
      <c r="L148">
        <f t="shared" si="7"/>
        <v>0</v>
      </c>
      <c r="M148">
        <f t="shared" si="6"/>
        <v>0</v>
      </c>
    </row>
    <row r="149" spans="1:13" x14ac:dyDescent="0.4">
      <c r="A149">
        <v>148</v>
      </c>
      <c r="F149">
        <v>0</v>
      </c>
      <c r="K149">
        <v>0</v>
      </c>
      <c r="L149">
        <f t="shared" si="7"/>
        <v>0</v>
      </c>
      <c r="M149">
        <f t="shared" si="6"/>
        <v>0</v>
      </c>
    </row>
    <row r="150" spans="1:13" x14ac:dyDescent="0.4">
      <c r="A150">
        <v>149</v>
      </c>
      <c r="F150">
        <v>0</v>
      </c>
      <c r="K150">
        <v>0</v>
      </c>
      <c r="L150">
        <f t="shared" si="7"/>
        <v>0</v>
      </c>
      <c r="M150">
        <f t="shared" si="6"/>
        <v>0</v>
      </c>
    </row>
    <row r="151" spans="1:13" x14ac:dyDescent="0.4">
      <c r="A151">
        <v>150</v>
      </c>
      <c r="B151">
        <f>102-AF2</f>
        <v>75</v>
      </c>
      <c r="C151">
        <f>98-AG2</f>
        <v>74</v>
      </c>
      <c r="D151">
        <f>98-AH2</f>
        <v>74</v>
      </c>
      <c r="E151" s="7">
        <f>100-AI2</f>
        <v>74</v>
      </c>
      <c r="F151">
        <v>10.700000000000001</v>
      </c>
      <c r="G151">
        <f>110-AK2</f>
        <v>75</v>
      </c>
      <c r="H151">
        <f>99-AL2</f>
        <v>75</v>
      </c>
      <c r="I151">
        <f>115-AM2</f>
        <v>74</v>
      </c>
      <c r="J151">
        <f>116-AN2</f>
        <v>75</v>
      </c>
      <c r="K151">
        <v>14.7</v>
      </c>
      <c r="L151">
        <f>SUM(B151:E151)</f>
        <v>297</v>
      </c>
      <c r="M151">
        <f>SUM(G151:J151)</f>
        <v>299</v>
      </c>
    </row>
    <row r="152" spans="1:13" x14ac:dyDescent="0.4">
      <c r="A152">
        <v>151</v>
      </c>
      <c r="L152">
        <f t="shared" ref="L152:L161" si="8">SUM(B152:E152)</f>
        <v>0</v>
      </c>
      <c r="M152">
        <f t="shared" ref="M152:M161" si="9">SUM(G152:J152)</f>
        <v>0</v>
      </c>
    </row>
    <row r="153" spans="1:13" x14ac:dyDescent="0.4">
      <c r="A153">
        <v>152</v>
      </c>
      <c r="L153">
        <f t="shared" si="8"/>
        <v>0</v>
      </c>
      <c r="M153">
        <f t="shared" si="9"/>
        <v>0</v>
      </c>
    </row>
    <row r="154" spans="1:13" x14ac:dyDescent="0.4">
      <c r="A154">
        <v>153</v>
      </c>
      <c r="L154">
        <f t="shared" si="8"/>
        <v>0</v>
      </c>
      <c r="M154">
        <f t="shared" si="9"/>
        <v>0</v>
      </c>
    </row>
    <row r="155" spans="1:13" x14ac:dyDescent="0.4">
      <c r="A155">
        <v>154</v>
      </c>
      <c r="L155">
        <f t="shared" si="8"/>
        <v>0</v>
      </c>
      <c r="M155">
        <f t="shared" si="9"/>
        <v>0</v>
      </c>
    </row>
    <row r="156" spans="1:13" x14ac:dyDescent="0.4">
      <c r="A156">
        <v>155</v>
      </c>
      <c r="L156">
        <f t="shared" si="8"/>
        <v>0</v>
      </c>
      <c r="M156">
        <f t="shared" si="9"/>
        <v>0</v>
      </c>
    </row>
    <row r="157" spans="1:13" x14ac:dyDescent="0.4">
      <c r="A157">
        <v>156</v>
      </c>
      <c r="L157">
        <f t="shared" si="8"/>
        <v>0</v>
      </c>
      <c r="M157">
        <f t="shared" si="9"/>
        <v>0</v>
      </c>
    </row>
    <row r="158" spans="1:13" x14ac:dyDescent="0.4">
      <c r="A158">
        <v>157</v>
      </c>
      <c r="L158">
        <f t="shared" si="8"/>
        <v>0</v>
      </c>
      <c r="M158">
        <f t="shared" si="9"/>
        <v>0</v>
      </c>
    </row>
    <row r="159" spans="1:13" x14ac:dyDescent="0.4">
      <c r="A159">
        <v>158</v>
      </c>
      <c r="L159">
        <f t="shared" si="8"/>
        <v>0</v>
      </c>
      <c r="M159">
        <f t="shared" si="9"/>
        <v>0</v>
      </c>
    </row>
    <row r="160" spans="1:13" x14ac:dyDescent="0.4">
      <c r="A160">
        <v>159</v>
      </c>
      <c r="L160">
        <f t="shared" si="8"/>
        <v>0</v>
      </c>
      <c r="M160">
        <f t="shared" si="9"/>
        <v>0</v>
      </c>
    </row>
    <row r="161" spans="1:13" x14ac:dyDescent="0.4">
      <c r="A161">
        <v>160</v>
      </c>
      <c r="B161">
        <v>80</v>
      </c>
      <c r="C161">
        <v>79</v>
      </c>
      <c r="D161">
        <v>79</v>
      </c>
      <c r="E161">
        <v>79</v>
      </c>
      <c r="F161">
        <v>10.7</v>
      </c>
      <c r="G161">
        <v>80</v>
      </c>
      <c r="H161">
        <v>80</v>
      </c>
      <c r="I161">
        <v>79</v>
      </c>
      <c r="J161">
        <v>80</v>
      </c>
      <c r="K161">
        <v>14.7</v>
      </c>
      <c r="L161">
        <f t="shared" si="8"/>
        <v>317</v>
      </c>
      <c r="M161">
        <f t="shared" si="9"/>
        <v>319</v>
      </c>
    </row>
  </sheetData>
  <phoneticPr fontId="1"/>
  <pageMargins left="0.7" right="0.7" top="0.75" bottom="0.75" header="0.3" footer="0.3"/>
  <ignoredErrors>
    <ignoredError sqref="L2:M151 AA2:AB6" formulaRange="1"/>
  </ignoredErrors>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894EF-D4CE-4ED4-A1DC-BD435BAC53CA}">
  <dimension ref="A1:Z431"/>
  <sheetViews>
    <sheetView workbookViewId="0">
      <selection sqref="A1:Z421"/>
    </sheetView>
  </sheetViews>
  <sheetFormatPr defaultRowHeight="16.5" x14ac:dyDescent="0.4"/>
  <cols>
    <col min="1" max="1" width="6.75" bestFit="1" customWidth="1"/>
    <col min="2" max="3" width="11.375" bestFit="1" customWidth="1"/>
    <col min="4" max="5" width="11.875" bestFit="1" customWidth="1"/>
    <col min="6" max="6" width="7" bestFit="1" customWidth="1"/>
    <col min="7" max="7" width="11.875" bestFit="1" customWidth="1"/>
    <col min="8" max="8" width="10.25" bestFit="1" customWidth="1"/>
    <col min="9" max="9" width="8.625" bestFit="1" customWidth="1"/>
    <col min="10" max="10" width="13.625" bestFit="1" customWidth="1"/>
    <col min="11" max="12" width="7" bestFit="1" customWidth="1"/>
    <col min="13" max="14" width="10.25" bestFit="1" customWidth="1"/>
    <col min="15" max="15" width="7" bestFit="1" customWidth="1"/>
    <col min="16" max="17" width="10.25" bestFit="1" customWidth="1"/>
    <col min="18" max="19" width="8.625" bestFit="1" customWidth="1"/>
    <col min="20" max="20" width="11.75" bestFit="1" customWidth="1"/>
    <col min="21" max="21" width="12" bestFit="1" customWidth="1"/>
    <col min="22" max="22" width="11.25" bestFit="1" customWidth="1"/>
    <col min="23" max="23" width="10.25" bestFit="1" customWidth="1"/>
    <col min="24" max="24" width="13.125" bestFit="1" customWidth="1"/>
    <col min="25" max="25" width="11" bestFit="1" customWidth="1"/>
    <col min="26" max="26" width="18.625" bestFit="1" customWidth="1"/>
    <col min="27" max="27" width="10.5" bestFit="1" customWidth="1"/>
    <col min="28" max="28" width="10.875" bestFit="1" customWidth="1"/>
    <col min="29" max="29" width="10.25" bestFit="1" customWidth="1"/>
    <col min="30" max="30" width="9.25" bestFit="1" customWidth="1"/>
    <col min="31" max="31" width="12" bestFit="1" customWidth="1"/>
    <col min="32" max="32" width="10" bestFit="1" customWidth="1"/>
    <col min="33" max="33" width="9.875" bestFit="1" customWidth="1"/>
    <col min="34" max="34" width="12.625" bestFit="1" customWidth="1"/>
    <col min="35" max="35" width="10.5" customWidth="1"/>
  </cols>
  <sheetData>
    <row r="1" spans="1:26" x14ac:dyDescent="0.4">
      <c r="A1" t="s">
        <v>35</v>
      </c>
      <c r="B1" t="s">
        <v>33</v>
      </c>
      <c r="C1" t="s">
        <v>36</v>
      </c>
      <c r="D1" t="s">
        <v>31</v>
      </c>
      <c r="E1" t="s">
        <v>30</v>
      </c>
      <c r="F1" t="s">
        <v>37</v>
      </c>
      <c r="G1" t="s">
        <v>28</v>
      </c>
      <c r="H1" t="s">
        <v>38</v>
      </c>
      <c r="I1" t="s">
        <v>39</v>
      </c>
      <c r="J1" t="s">
        <v>40</v>
      </c>
      <c r="K1" t="s">
        <v>41</v>
      </c>
      <c r="L1" t="s">
        <v>42</v>
      </c>
      <c r="M1" t="s">
        <v>43</v>
      </c>
      <c r="N1" t="s">
        <v>44</v>
      </c>
      <c r="O1" t="s">
        <v>45</v>
      </c>
      <c r="P1" t="s">
        <v>46</v>
      </c>
      <c r="Q1" t="s">
        <v>47</v>
      </c>
      <c r="R1" t="s">
        <v>48</v>
      </c>
      <c r="S1" t="s">
        <v>49</v>
      </c>
      <c r="T1" t="s">
        <v>51</v>
      </c>
      <c r="U1" t="s">
        <v>52</v>
      </c>
      <c r="V1" t="s">
        <v>53</v>
      </c>
      <c r="W1" t="s">
        <v>54</v>
      </c>
      <c r="X1" t="s">
        <v>55</v>
      </c>
      <c r="Y1" t="s">
        <v>56</v>
      </c>
      <c r="Z1" t="s">
        <v>50</v>
      </c>
    </row>
    <row r="2" spans="1:26" x14ac:dyDescent="0.4">
      <c r="A2" s="10">
        <v>1</v>
      </c>
      <c r="B2" s="10" t="s">
        <v>32</v>
      </c>
      <c r="C2" s="10" t="s">
        <v>57</v>
      </c>
      <c r="D2" s="10" t="s">
        <v>58</v>
      </c>
      <c r="E2" s="10" t="s">
        <v>59</v>
      </c>
      <c r="F2" s="10" t="s">
        <v>8</v>
      </c>
      <c r="G2" s="10" t="s">
        <v>27</v>
      </c>
      <c r="H2">
        <v>115</v>
      </c>
      <c r="I2">
        <v>112</v>
      </c>
      <c r="J2">
        <v>112</v>
      </c>
      <c r="K2">
        <v>114</v>
      </c>
      <c r="L2">
        <v>97</v>
      </c>
      <c r="M2">
        <v>123</v>
      </c>
      <c r="N2">
        <v>112</v>
      </c>
      <c r="O2">
        <v>129</v>
      </c>
      <c r="P2">
        <v>129</v>
      </c>
      <c r="Q2">
        <v>26</v>
      </c>
      <c r="R2">
        <v>453</v>
      </c>
      <c r="S2">
        <v>493</v>
      </c>
      <c r="T2">
        <v>1069</v>
      </c>
      <c r="U2">
        <v>212</v>
      </c>
      <c r="V2">
        <v>323</v>
      </c>
      <c r="W2">
        <v>112</v>
      </c>
      <c r="X2">
        <v>241</v>
      </c>
      <c r="Y2">
        <v>252</v>
      </c>
      <c r="Z2" s="10" t="s">
        <v>60</v>
      </c>
    </row>
    <row r="3" spans="1:26" x14ac:dyDescent="0.4">
      <c r="A3" s="10">
        <v>2</v>
      </c>
      <c r="B3" s="10" t="s">
        <v>61</v>
      </c>
      <c r="C3" s="10" t="s">
        <v>57</v>
      </c>
      <c r="D3" s="10" t="s">
        <v>58</v>
      </c>
      <c r="E3" s="10" t="s">
        <v>59</v>
      </c>
      <c r="F3" s="10" t="s">
        <v>8</v>
      </c>
      <c r="G3" s="10" t="s">
        <v>27</v>
      </c>
      <c r="H3">
        <v>118</v>
      </c>
      <c r="I3">
        <v>113</v>
      </c>
      <c r="J3">
        <v>113</v>
      </c>
      <c r="K3">
        <v>115</v>
      </c>
      <c r="L3">
        <v>97</v>
      </c>
      <c r="M3">
        <v>126</v>
      </c>
      <c r="N3">
        <v>113</v>
      </c>
      <c r="O3">
        <v>132</v>
      </c>
      <c r="P3">
        <v>130</v>
      </c>
      <c r="Q3">
        <v>26</v>
      </c>
      <c r="R3">
        <v>459</v>
      </c>
      <c r="S3">
        <v>501</v>
      </c>
      <c r="T3">
        <v>1083</v>
      </c>
      <c r="U3">
        <v>215</v>
      </c>
      <c r="V3">
        <v>325</v>
      </c>
      <c r="W3">
        <v>113</v>
      </c>
      <c r="X3">
        <v>243</v>
      </c>
      <c r="Y3">
        <v>258</v>
      </c>
      <c r="Z3" s="10" t="s">
        <v>60</v>
      </c>
    </row>
    <row r="4" spans="1:26" x14ac:dyDescent="0.4">
      <c r="A4" s="10">
        <v>3</v>
      </c>
      <c r="B4" s="10" t="s">
        <v>62</v>
      </c>
      <c r="C4" s="10" t="s">
        <v>57</v>
      </c>
      <c r="D4" s="10" t="s">
        <v>63</v>
      </c>
      <c r="E4" s="10" t="s">
        <v>59</v>
      </c>
      <c r="F4" s="10" t="s">
        <v>8</v>
      </c>
      <c r="G4" s="10" t="s">
        <v>27</v>
      </c>
      <c r="H4">
        <v>118</v>
      </c>
      <c r="I4">
        <v>111</v>
      </c>
      <c r="J4">
        <v>111</v>
      </c>
      <c r="K4">
        <v>113</v>
      </c>
      <c r="L4">
        <v>97</v>
      </c>
      <c r="M4">
        <v>128</v>
      </c>
      <c r="N4">
        <v>115</v>
      </c>
      <c r="O4">
        <v>134</v>
      </c>
      <c r="P4">
        <v>130</v>
      </c>
      <c r="Q4">
        <v>26</v>
      </c>
      <c r="R4">
        <v>453</v>
      </c>
      <c r="S4">
        <v>507</v>
      </c>
      <c r="T4">
        <v>1083</v>
      </c>
      <c r="U4">
        <v>215</v>
      </c>
      <c r="V4">
        <v>321</v>
      </c>
      <c r="W4">
        <v>111</v>
      </c>
      <c r="X4">
        <v>245</v>
      </c>
      <c r="Y4">
        <v>262</v>
      </c>
      <c r="Z4" s="10" t="s">
        <v>60</v>
      </c>
    </row>
    <row r="5" spans="1:26" x14ac:dyDescent="0.4">
      <c r="A5" s="10">
        <v>4</v>
      </c>
      <c r="B5" s="10" t="s">
        <v>64</v>
      </c>
      <c r="C5" s="10" t="s">
        <v>57</v>
      </c>
      <c r="D5" s="10" t="s">
        <v>65</v>
      </c>
      <c r="E5" s="10" t="s">
        <v>59</v>
      </c>
      <c r="F5" s="10" t="s">
        <v>8</v>
      </c>
      <c r="G5" s="10" t="s">
        <v>27</v>
      </c>
      <c r="H5">
        <v>118</v>
      </c>
      <c r="I5">
        <v>113</v>
      </c>
      <c r="J5">
        <v>116</v>
      </c>
      <c r="K5">
        <v>113</v>
      </c>
      <c r="L5">
        <v>97</v>
      </c>
      <c r="M5">
        <v>123</v>
      </c>
      <c r="N5">
        <v>116</v>
      </c>
      <c r="O5">
        <v>129</v>
      </c>
      <c r="P5">
        <v>133</v>
      </c>
      <c r="Q5">
        <v>26</v>
      </c>
      <c r="R5">
        <v>460</v>
      </c>
      <c r="S5">
        <v>501</v>
      </c>
      <c r="T5">
        <v>1084</v>
      </c>
      <c r="U5">
        <v>215</v>
      </c>
      <c r="V5">
        <v>323</v>
      </c>
      <c r="W5">
        <v>116</v>
      </c>
      <c r="X5">
        <v>249</v>
      </c>
      <c r="Y5">
        <v>252</v>
      </c>
      <c r="Z5" s="10" t="s">
        <v>60</v>
      </c>
    </row>
    <row r="6" spans="1:26" x14ac:dyDescent="0.4">
      <c r="A6" s="10">
        <v>5</v>
      </c>
      <c r="B6" s="10" t="s">
        <v>576</v>
      </c>
      <c r="C6" s="10" t="s">
        <v>57</v>
      </c>
      <c r="D6" s="10" t="s">
        <v>58</v>
      </c>
      <c r="E6" s="10" t="s">
        <v>59</v>
      </c>
      <c r="F6" s="10" t="s">
        <v>8</v>
      </c>
      <c r="G6" s="10" t="s">
        <v>27</v>
      </c>
      <c r="H6">
        <v>121</v>
      </c>
      <c r="I6">
        <v>113</v>
      </c>
      <c r="J6">
        <v>114</v>
      </c>
      <c r="K6">
        <v>115</v>
      </c>
      <c r="L6">
        <v>97</v>
      </c>
      <c r="M6">
        <v>128</v>
      </c>
      <c r="N6">
        <v>114</v>
      </c>
      <c r="O6">
        <v>134</v>
      </c>
      <c r="P6">
        <v>131</v>
      </c>
      <c r="Q6">
        <v>26</v>
      </c>
      <c r="R6">
        <v>463</v>
      </c>
      <c r="S6">
        <v>507</v>
      </c>
      <c r="T6">
        <v>1093</v>
      </c>
      <c r="U6">
        <v>218</v>
      </c>
      <c r="V6">
        <v>325</v>
      </c>
      <c r="W6">
        <v>114</v>
      </c>
      <c r="X6">
        <v>245</v>
      </c>
      <c r="Y6">
        <v>262</v>
      </c>
      <c r="Z6" s="10" t="s">
        <v>60</v>
      </c>
    </row>
    <row r="7" spans="1:26" x14ac:dyDescent="0.4">
      <c r="A7" s="10">
        <v>6</v>
      </c>
      <c r="B7" s="10" t="s">
        <v>681</v>
      </c>
      <c r="C7" s="10" t="s">
        <v>57</v>
      </c>
      <c r="D7" s="10" t="s">
        <v>63</v>
      </c>
      <c r="E7" s="10" t="s">
        <v>59</v>
      </c>
      <c r="F7" s="10" t="s">
        <v>8</v>
      </c>
      <c r="G7" s="10" t="s">
        <v>27</v>
      </c>
      <c r="H7">
        <v>120</v>
      </c>
      <c r="I7">
        <v>113</v>
      </c>
      <c r="J7">
        <v>114</v>
      </c>
      <c r="K7">
        <v>115</v>
      </c>
      <c r="L7">
        <v>97</v>
      </c>
      <c r="M7">
        <v>128</v>
      </c>
      <c r="N7">
        <v>116</v>
      </c>
      <c r="O7">
        <v>133</v>
      </c>
      <c r="P7">
        <v>132</v>
      </c>
      <c r="Q7">
        <v>26</v>
      </c>
      <c r="R7">
        <v>462</v>
      </c>
      <c r="S7">
        <v>509</v>
      </c>
      <c r="T7">
        <v>1094</v>
      </c>
      <c r="U7">
        <v>217</v>
      </c>
      <c r="V7">
        <v>325</v>
      </c>
      <c r="W7">
        <v>114</v>
      </c>
      <c r="X7">
        <v>248</v>
      </c>
      <c r="Y7">
        <v>261</v>
      </c>
      <c r="Z7" s="10" t="s">
        <v>60</v>
      </c>
    </row>
    <row r="8" spans="1:26" x14ac:dyDescent="0.4">
      <c r="A8" s="10">
        <v>7</v>
      </c>
      <c r="B8" s="10" t="s">
        <v>741</v>
      </c>
      <c r="C8" s="10" t="s">
        <v>57</v>
      </c>
      <c r="D8" s="10" t="s">
        <v>65</v>
      </c>
      <c r="E8" s="10" t="s">
        <v>59</v>
      </c>
      <c r="F8" s="10" t="s">
        <v>8</v>
      </c>
      <c r="G8" s="10" t="s">
        <v>27</v>
      </c>
      <c r="H8">
        <v>120</v>
      </c>
      <c r="I8">
        <v>113</v>
      </c>
      <c r="J8">
        <v>114</v>
      </c>
      <c r="K8">
        <v>116</v>
      </c>
      <c r="L8">
        <v>97</v>
      </c>
      <c r="M8">
        <v>129</v>
      </c>
      <c r="N8">
        <v>114</v>
      </c>
      <c r="O8">
        <v>135</v>
      </c>
      <c r="P8">
        <v>132</v>
      </c>
      <c r="Q8">
        <v>26</v>
      </c>
      <c r="R8">
        <v>463</v>
      </c>
      <c r="S8">
        <v>510</v>
      </c>
      <c r="T8">
        <v>1096</v>
      </c>
      <c r="U8">
        <v>217</v>
      </c>
      <c r="V8">
        <v>326</v>
      </c>
      <c r="W8">
        <v>114</v>
      </c>
      <c r="X8">
        <v>246</v>
      </c>
      <c r="Y8">
        <v>264</v>
      </c>
      <c r="Z8" s="10" t="s">
        <v>60</v>
      </c>
    </row>
    <row r="9" spans="1:26" x14ac:dyDescent="0.4">
      <c r="A9" s="10">
        <v>8</v>
      </c>
      <c r="B9" s="10" t="s">
        <v>811</v>
      </c>
      <c r="C9" s="10" t="s">
        <v>57</v>
      </c>
      <c r="D9" s="10" t="s">
        <v>58</v>
      </c>
      <c r="E9" s="10" t="s">
        <v>59</v>
      </c>
      <c r="F9" s="10" t="s">
        <v>8</v>
      </c>
      <c r="G9" s="10" t="s">
        <v>27</v>
      </c>
      <c r="H9">
        <v>122</v>
      </c>
      <c r="I9">
        <v>114</v>
      </c>
      <c r="J9">
        <v>115</v>
      </c>
      <c r="K9">
        <v>116</v>
      </c>
      <c r="L9">
        <v>97</v>
      </c>
      <c r="M9">
        <v>130</v>
      </c>
      <c r="N9">
        <v>116</v>
      </c>
      <c r="O9">
        <v>136</v>
      </c>
      <c r="P9">
        <v>132</v>
      </c>
      <c r="Q9">
        <v>26</v>
      </c>
      <c r="R9">
        <v>467</v>
      </c>
      <c r="S9">
        <v>514</v>
      </c>
      <c r="T9">
        <v>1104</v>
      </c>
      <c r="U9">
        <v>219</v>
      </c>
      <c r="V9">
        <v>327</v>
      </c>
      <c r="W9">
        <v>115</v>
      </c>
      <c r="X9">
        <v>248</v>
      </c>
      <c r="Y9">
        <v>266</v>
      </c>
      <c r="Z9" s="10" t="s">
        <v>60</v>
      </c>
    </row>
    <row r="10" spans="1:26" x14ac:dyDescent="0.4">
      <c r="A10" s="10">
        <v>9</v>
      </c>
      <c r="B10" s="10" t="s">
        <v>875</v>
      </c>
      <c r="C10" s="10" t="s">
        <v>57</v>
      </c>
      <c r="D10" s="10" t="s">
        <v>63</v>
      </c>
      <c r="E10" s="10" t="s">
        <v>59</v>
      </c>
      <c r="F10" s="10" t="s">
        <v>8</v>
      </c>
      <c r="G10" s="10" t="s">
        <v>27</v>
      </c>
      <c r="H10">
        <v>124</v>
      </c>
      <c r="I10">
        <v>114</v>
      </c>
      <c r="J10">
        <v>115</v>
      </c>
      <c r="K10">
        <v>116</v>
      </c>
      <c r="L10">
        <v>97</v>
      </c>
      <c r="M10">
        <v>129</v>
      </c>
      <c r="N10">
        <v>115</v>
      </c>
      <c r="O10">
        <v>136</v>
      </c>
      <c r="P10">
        <v>133</v>
      </c>
      <c r="Q10">
        <v>26</v>
      </c>
      <c r="R10">
        <v>469</v>
      </c>
      <c r="S10">
        <v>513</v>
      </c>
      <c r="T10">
        <v>1105</v>
      </c>
      <c r="U10">
        <v>221</v>
      </c>
      <c r="V10">
        <v>327</v>
      </c>
      <c r="W10">
        <v>115</v>
      </c>
      <c r="X10">
        <v>248</v>
      </c>
      <c r="Y10">
        <v>265</v>
      </c>
      <c r="Z10" s="10" t="s">
        <v>60</v>
      </c>
    </row>
    <row r="11" spans="1:26" x14ac:dyDescent="0.4">
      <c r="A11" s="10">
        <v>10</v>
      </c>
      <c r="B11" s="10" t="s">
        <v>903</v>
      </c>
      <c r="C11" s="10" t="s">
        <v>57</v>
      </c>
      <c r="D11" s="10" t="s">
        <v>65</v>
      </c>
      <c r="E11" s="10" t="s">
        <v>59</v>
      </c>
      <c r="F11" s="10" t="s">
        <v>8</v>
      </c>
      <c r="G11" s="10" t="s">
        <v>27</v>
      </c>
      <c r="H11">
        <v>123</v>
      </c>
      <c r="I11">
        <v>115</v>
      </c>
      <c r="J11">
        <v>116</v>
      </c>
      <c r="K11">
        <v>117</v>
      </c>
      <c r="L11">
        <v>97</v>
      </c>
      <c r="M11">
        <v>132</v>
      </c>
      <c r="N11">
        <v>117</v>
      </c>
      <c r="O11">
        <v>138</v>
      </c>
      <c r="P11">
        <v>133</v>
      </c>
      <c r="Q11">
        <v>26</v>
      </c>
      <c r="R11">
        <v>471</v>
      </c>
      <c r="S11">
        <v>520</v>
      </c>
      <c r="T11">
        <v>1114</v>
      </c>
      <c r="U11">
        <v>220</v>
      </c>
      <c r="V11">
        <v>329</v>
      </c>
      <c r="W11">
        <v>116</v>
      </c>
      <c r="X11">
        <v>250</v>
      </c>
      <c r="Y11">
        <v>270</v>
      </c>
      <c r="Z11" s="10" t="s">
        <v>60</v>
      </c>
    </row>
    <row r="12" spans="1:26" x14ac:dyDescent="0.4">
      <c r="A12" s="10">
        <v>11</v>
      </c>
      <c r="B12" s="10" t="s">
        <v>32</v>
      </c>
      <c r="C12" s="10" t="s">
        <v>66</v>
      </c>
      <c r="D12" s="10" t="s">
        <v>58</v>
      </c>
      <c r="E12" s="10" t="s">
        <v>67</v>
      </c>
      <c r="F12" s="10" t="s">
        <v>8</v>
      </c>
      <c r="G12" s="10" t="s">
        <v>27</v>
      </c>
      <c r="H12">
        <v>123</v>
      </c>
      <c r="I12">
        <v>123</v>
      </c>
      <c r="J12">
        <v>129</v>
      </c>
      <c r="K12">
        <v>123</v>
      </c>
      <c r="L12">
        <v>101</v>
      </c>
      <c r="M12">
        <v>115</v>
      </c>
      <c r="N12">
        <v>120</v>
      </c>
      <c r="O12">
        <v>115</v>
      </c>
      <c r="P12">
        <v>115</v>
      </c>
      <c r="Q12">
        <v>31</v>
      </c>
      <c r="R12">
        <v>498</v>
      </c>
      <c r="S12">
        <v>465</v>
      </c>
      <c r="T12">
        <v>1095</v>
      </c>
      <c r="U12">
        <v>224</v>
      </c>
      <c r="V12">
        <v>347</v>
      </c>
      <c r="W12">
        <v>129</v>
      </c>
      <c r="X12">
        <v>235</v>
      </c>
      <c r="Y12">
        <v>230</v>
      </c>
      <c r="Z12" s="10" t="s">
        <v>68</v>
      </c>
    </row>
    <row r="13" spans="1:26" x14ac:dyDescent="0.4">
      <c r="A13" s="10">
        <v>12</v>
      </c>
      <c r="B13" s="10" t="s">
        <v>61</v>
      </c>
      <c r="C13" s="10" t="s">
        <v>66</v>
      </c>
      <c r="D13" s="10" t="s">
        <v>58</v>
      </c>
      <c r="E13" s="10" t="s">
        <v>67</v>
      </c>
      <c r="F13" s="10" t="s">
        <v>8</v>
      </c>
      <c r="G13" s="10" t="s">
        <v>27</v>
      </c>
      <c r="H13">
        <v>124</v>
      </c>
      <c r="I13">
        <v>126</v>
      </c>
      <c r="J13">
        <v>132</v>
      </c>
      <c r="K13">
        <v>126</v>
      </c>
      <c r="L13">
        <v>101</v>
      </c>
      <c r="M13">
        <v>116</v>
      </c>
      <c r="N13">
        <v>121</v>
      </c>
      <c r="O13">
        <v>116</v>
      </c>
      <c r="P13">
        <v>116</v>
      </c>
      <c r="Q13">
        <v>31</v>
      </c>
      <c r="R13">
        <v>508</v>
      </c>
      <c r="S13">
        <v>469</v>
      </c>
      <c r="T13">
        <v>1109</v>
      </c>
      <c r="U13">
        <v>225</v>
      </c>
      <c r="V13">
        <v>353</v>
      </c>
      <c r="W13">
        <v>132</v>
      </c>
      <c r="X13">
        <v>237</v>
      </c>
      <c r="Y13">
        <v>232</v>
      </c>
      <c r="Z13" s="10" t="s">
        <v>68</v>
      </c>
    </row>
    <row r="14" spans="1:26" x14ac:dyDescent="0.4">
      <c r="A14" s="10">
        <v>13</v>
      </c>
      <c r="B14" s="10" t="s">
        <v>62</v>
      </c>
      <c r="C14" s="10" t="s">
        <v>66</v>
      </c>
      <c r="D14" s="10" t="s">
        <v>63</v>
      </c>
      <c r="E14" s="10" t="s">
        <v>67</v>
      </c>
      <c r="F14" s="10" t="s">
        <v>8</v>
      </c>
      <c r="G14" s="10" t="s">
        <v>27</v>
      </c>
      <c r="H14">
        <v>122</v>
      </c>
      <c r="I14">
        <v>128</v>
      </c>
      <c r="J14">
        <v>132</v>
      </c>
      <c r="K14">
        <v>128</v>
      </c>
      <c r="L14">
        <v>101</v>
      </c>
      <c r="M14">
        <v>114</v>
      </c>
      <c r="N14">
        <v>123</v>
      </c>
      <c r="O14">
        <v>114</v>
      </c>
      <c r="P14">
        <v>116</v>
      </c>
      <c r="Q14">
        <v>31</v>
      </c>
      <c r="R14">
        <v>510</v>
      </c>
      <c r="S14">
        <v>467</v>
      </c>
      <c r="T14">
        <v>1109</v>
      </c>
      <c r="U14">
        <v>223</v>
      </c>
      <c r="V14">
        <v>357</v>
      </c>
      <c r="W14">
        <v>132</v>
      </c>
      <c r="X14">
        <v>239</v>
      </c>
      <c r="Y14">
        <v>228</v>
      </c>
      <c r="Z14" s="10" t="s">
        <v>68</v>
      </c>
    </row>
    <row r="15" spans="1:26" x14ac:dyDescent="0.4">
      <c r="A15" s="10">
        <v>14</v>
      </c>
      <c r="B15" s="10" t="s">
        <v>69</v>
      </c>
      <c r="C15" s="10" t="s">
        <v>66</v>
      </c>
      <c r="D15" s="10" t="s">
        <v>65</v>
      </c>
      <c r="E15" s="10" t="s">
        <v>67</v>
      </c>
      <c r="F15" s="10" t="s">
        <v>8</v>
      </c>
      <c r="G15" s="10" t="s">
        <v>27</v>
      </c>
      <c r="H15">
        <v>125</v>
      </c>
      <c r="I15">
        <v>128</v>
      </c>
      <c r="J15">
        <v>135</v>
      </c>
      <c r="K15">
        <v>128</v>
      </c>
      <c r="L15">
        <v>101</v>
      </c>
      <c r="M15">
        <v>117</v>
      </c>
      <c r="N15">
        <v>121</v>
      </c>
      <c r="O15">
        <v>117</v>
      </c>
      <c r="P15">
        <v>116</v>
      </c>
      <c r="Q15">
        <v>31</v>
      </c>
      <c r="R15">
        <v>516</v>
      </c>
      <c r="S15">
        <v>471</v>
      </c>
      <c r="T15">
        <v>1119</v>
      </c>
      <c r="U15">
        <v>226</v>
      </c>
      <c r="V15">
        <v>357</v>
      </c>
      <c r="W15">
        <v>135</v>
      </c>
      <c r="X15">
        <v>237</v>
      </c>
      <c r="Y15">
        <v>234</v>
      </c>
      <c r="Z15" s="10" t="s">
        <v>68</v>
      </c>
    </row>
    <row r="16" spans="1:26" x14ac:dyDescent="0.4">
      <c r="A16" s="10">
        <v>15</v>
      </c>
      <c r="B16" s="10" t="s">
        <v>64</v>
      </c>
      <c r="C16" s="10" t="s">
        <v>66</v>
      </c>
      <c r="D16" s="10" t="s">
        <v>58</v>
      </c>
      <c r="E16" s="10" t="s">
        <v>67</v>
      </c>
      <c r="F16" s="10" t="s">
        <v>8</v>
      </c>
      <c r="G16" s="10" t="s">
        <v>27</v>
      </c>
      <c r="H16">
        <v>127</v>
      </c>
      <c r="I16">
        <v>127</v>
      </c>
      <c r="J16">
        <v>134</v>
      </c>
      <c r="K16">
        <v>127</v>
      </c>
      <c r="L16">
        <v>101</v>
      </c>
      <c r="M16">
        <v>118</v>
      </c>
      <c r="N16">
        <v>121</v>
      </c>
      <c r="O16">
        <v>117</v>
      </c>
      <c r="P16">
        <v>116</v>
      </c>
      <c r="Q16">
        <v>31</v>
      </c>
      <c r="R16">
        <v>515</v>
      </c>
      <c r="S16">
        <v>472</v>
      </c>
      <c r="T16">
        <v>1119</v>
      </c>
      <c r="U16">
        <v>228</v>
      </c>
      <c r="V16">
        <v>355</v>
      </c>
      <c r="W16">
        <v>134</v>
      </c>
      <c r="X16">
        <v>237</v>
      </c>
      <c r="Y16">
        <v>235</v>
      </c>
      <c r="Z16" s="10" t="s">
        <v>68</v>
      </c>
    </row>
    <row r="17" spans="1:26" x14ac:dyDescent="0.4">
      <c r="A17" s="10">
        <v>16</v>
      </c>
      <c r="B17" s="10" t="s">
        <v>576</v>
      </c>
      <c r="C17" s="10" t="s">
        <v>66</v>
      </c>
      <c r="D17" s="10" t="s">
        <v>63</v>
      </c>
      <c r="E17" s="10" t="s">
        <v>67</v>
      </c>
      <c r="F17" s="10" t="s">
        <v>8</v>
      </c>
      <c r="G17" s="10" t="s">
        <v>27</v>
      </c>
      <c r="H17">
        <v>125</v>
      </c>
      <c r="I17">
        <v>129</v>
      </c>
      <c r="J17">
        <v>133</v>
      </c>
      <c r="K17">
        <v>126</v>
      </c>
      <c r="L17">
        <v>101</v>
      </c>
      <c r="M17">
        <v>116</v>
      </c>
      <c r="N17">
        <v>124</v>
      </c>
      <c r="O17">
        <v>117</v>
      </c>
      <c r="P17">
        <v>118</v>
      </c>
      <c r="Q17">
        <v>31</v>
      </c>
      <c r="R17">
        <v>513</v>
      </c>
      <c r="S17">
        <v>475</v>
      </c>
      <c r="T17">
        <v>1120</v>
      </c>
      <c r="U17">
        <v>226</v>
      </c>
      <c r="V17">
        <v>356</v>
      </c>
      <c r="W17">
        <v>133</v>
      </c>
      <c r="X17">
        <v>242</v>
      </c>
      <c r="Y17">
        <v>233</v>
      </c>
      <c r="Z17" s="10" t="s">
        <v>68</v>
      </c>
    </row>
    <row r="18" spans="1:26" x14ac:dyDescent="0.4">
      <c r="A18" s="10">
        <v>17</v>
      </c>
      <c r="B18" s="10" t="s">
        <v>681</v>
      </c>
      <c r="C18" s="10" t="s">
        <v>66</v>
      </c>
      <c r="D18" s="10" t="s">
        <v>65</v>
      </c>
      <c r="E18" s="10" t="s">
        <v>67</v>
      </c>
      <c r="F18" s="10" t="s">
        <v>8</v>
      </c>
      <c r="G18" s="10" t="s">
        <v>27</v>
      </c>
      <c r="H18">
        <v>126</v>
      </c>
      <c r="I18">
        <v>130</v>
      </c>
      <c r="J18">
        <v>137</v>
      </c>
      <c r="K18">
        <v>129</v>
      </c>
      <c r="L18">
        <v>101</v>
      </c>
      <c r="M18">
        <v>118</v>
      </c>
      <c r="N18">
        <v>122</v>
      </c>
      <c r="O18">
        <v>118</v>
      </c>
      <c r="P18">
        <v>117</v>
      </c>
      <c r="Q18">
        <v>31</v>
      </c>
      <c r="R18">
        <v>522</v>
      </c>
      <c r="S18">
        <v>475</v>
      </c>
      <c r="T18">
        <v>1129</v>
      </c>
      <c r="U18">
        <v>227</v>
      </c>
      <c r="V18">
        <v>360</v>
      </c>
      <c r="W18">
        <v>137</v>
      </c>
      <c r="X18">
        <v>239</v>
      </c>
      <c r="Y18">
        <v>236</v>
      </c>
      <c r="Z18" s="10" t="s">
        <v>68</v>
      </c>
    </row>
    <row r="19" spans="1:26" x14ac:dyDescent="0.4">
      <c r="A19" s="10">
        <v>18</v>
      </c>
      <c r="B19" s="10" t="s">
        <v>731</v>
      </c>
      <c r="C19" s="10" t="s">
        <v>66</v>
      </c>
      <c r="D19" s="10" t="s">
        <v>58</v>
      </c>
      <c r="E19" s="10" t="s">
        <v>67</v>
      </c>
      <c r="F19" s="10" t="s">
        <v>8</v>
      </c>
      <c r="G19" s="10" t="s">
        <v>27</v>
      </c>
      <c r="H19">
        <v>126</v>
      </c>
      <c r="I19">
        <v>130</v>
      </c>
      <c r="J19">
        <v>136</v>
      </c>
      <c r="K19">
        <v>130</v>
      </c>
      <c r="L19">
        <v>101</v>
      </c>
      <c r="M19">
        <v>118</v>
      </c>
      <c r="N19">
        <v>123</v>
      </c>
      <c r="O19">
        <v>118</v>
      </c>
      <c r="P19">
        <v>118</v>
      </c>
      <c r="Q19">
        <v>31</v>
      </c>
      <c r="R19">
        <v>522</v>
      </c>
      <c r="S19">
        <v>477</v>
      </c>
      <c r="T19">
        <v>1131</v>
      </c>
      <c r="U19">
        <v>227</v>
      </c>
      <c r="V19">
        <v>361</v>
      </c>
      <c r="W19">
        <v>136</v>
      </c>
      <c r="X19">
        <v>241</v>
      </c>
      <c r="Y19">
        <v>236</v>
      </c>
      <c r="Z19" s="10" t="s">
        <v>68</v>
      </c>
    </row>
    <row r="20" spans="1:26" x14ac:dyDescent="0.4">
      <c r="A20" s="10">
        <v>19</v>
      </c>
      <c r="B20" s="10" t="s">
        <v>756</v>
      </c>
      <c r="C20" s="10" t="s">
        <v>66</v>
      </c>
      <c r="D20" s="10" t="s">
        <v>63</v>
      </c>
      <c r="E20" s="10" t="s">
        <v>67</v>
      </c>
      <c r="F20" s="10" t="s">
        <v>8</v>
      </c>
      <c r="G20" s="10" t="s">
        <v>27</v>
      </c>
      <c r="H20">
        <v>128</v>
      </c>
      <c r="I20">
        <v>129</v>
      </c>
      <c r="J20">
        <v>136</v>
      </c>
      <c r="K20">
        <v>129</v>
      </c>
      <c r="L20">
        <v>101</v>
      </c>
      <c r="M20">
        <v>119</v>
      </c>
      <c r="N20">
        <v>122</v>
      </c>
      <c r="O20">
        <v>119</v>
      </c>
      <c r="P20">
        <v>117</v>
      </c>
      <c r="Q20">
        <v>31</v>
      </c>
      <c r="R20">
        <v>522</v>
      </c>
      <c r="S20">
        <v>477</v>
      </c>
      <c r="T20">
        <v>1131</v>
      </c>
      <c r="U20">
        <v>229</v>
      </c>
      <c r="V20">
        <v>359</v>
      </c>
      <c r="W20">
        <v>136</v>
      </c>
      <c r="X20">
        <v>239</v>
      </c>
      <c r="Y20">
        <v>238</v>
      </c>
      <c r="Z20" s="10" t="s">
        <v>68</v>
      </c>
    </row>
    <row r="21" spans="1:26" x14ac:dyDescent="0.4">
      <c r="A21" s="10">
        <v>20</v>
      </c>
      <c r="B21" s="10" t="s">
        <v>845</v>
      </c>
      <c r="C21" s="10" t="s">
        <v>66</v>
      </c>
      <c r="D21" s="10" t="s">
        <v>65</v>
      </c>
      <c r="E21" s="10" t="s">
        <v>67</v>
      </c>
      <c r="F21" s="10" t="s">
        <v>8</v>
      </c>
      <c r="G21" s="10" t="s">
        <v>27</v>
      </c>
      <c r="H21">
        <v>127</v>
      </c>
      <c r="I21">
        <v>131</v>
      </c>
      <c r="J21">
        <v>139</v>
      </c>
      <c r="K21">
        <v>131</v>
      </c>
      <c r="L21">
        <v>101</v>
      </c>
      <c r="M21">
        <v>119</v>
      </c>
      <c r="N21">
        <v>123</v>
      </c>
      <c r="O21">
        <v>119</v>
      </c>
      <c r="P21">
        <v>118</v>
      </c>
      <c r="Q21">
        <v>31</v>
      </c>
      <c r="R21">
        <v>528</v>
      </c>
      <c r="S21">
        <v>479</v>
      </c>
      <c r="T21">
        <v>1139</v>
      </c>
      <c r="U21">
        <v>228</v>
      </c>
      <c r="V21">
        <v>363</v>
      </c>
      <c r="W21">
        <v>139</v>
      </c>
      <c r="X21">
        <v>241</v>
      </c>
      <c r="Y21">
        <v>238</v>
      </c>
      <c r="Z21" s="10" t="s">
        <v>68</v>
      </c>
    </row>
    <row r="22" spans="1:26" x14ac:dyDescent="0.4">
      <c r="A22" s="10">
        <v>21</v>
      </c>
      <c r="B22" s="10" t="s">
        <v>903</v>
      </c>
      <c r="C22" s="10" t="s">
        <v>66</v>
      </c>
      <c r="D22" s="10" t="s">
        <v>58</v>
      </c>
      <c r="E22" s="10" t="s">
        <v>67</v>
      </c>
      <c r="F22" s="10" t="s">
        <v>8</v>
      </c>
      <c r="G22" s="10" t="s">
        <v>27</v>
      </c>
      <c r="H22">
        <v>127</v>
      </c>
      <c r="I22">
        <v>132</v>
      </c>
      <c r="J22">
        <v>137</v>
      </c>
      <c r="K22">
        <v>132</v>
      </c>
      <c r="L22">
        <v>101</v>
      </c>
      <c r="M22">
        <v>119</v>
      </c>
      <c r="N22">
        <v>124</v>
      </c>
      <c r="O22">
        <v>119</v>
      </c>
      <c r="P22">
        <v>119</v>
      </c>
      <c r="Q22">
        <v>31</v>
      </c>
      <c r="R22">
        <v>528</v>
      </c>
      <c r="S22">
        <v>481</v>
      </c>
      <c r="T22">
        <v>1141</v>
      </c>
      <c r="U22">
        <v>228</v>
      </c>
      <c r="V22">
        <v>365</v>
      </c>
      <c r="W22">
        <v>137</v>
      </c>
      <c r="X22">
        <v>243</v>
      </c>
      <c r="Y22">
        <v>238</v>
      </c>
      <c r="Z22" s="10" t="s">
        <v>68</v>
      </c>
    </row>
    <row r="23" spans="1:26" x14ac:dyDescent="0.4">
      <c r="A23" s="10">
        <v>22</v>
      </c>
      <c r="B23" s="10" t="s">
        <v>32</v>
      </c>
      <c r="C23" s="10" t="s">
        <v>70</v>
      </c>
      <c r="D23" s="10" t="s">
        <v>58</v>
      </c>
      <c r="E23" s="10" t="s">
        <v>59</v>
      </c>
      <c r="F23" s="10" t="s">
        <v>8</v>
      </c>
      <c r="G23" s="10" t="s">
        <v>27</v>
      </c>
      <c r="H23">
        <v>116</v>
      </c>
      <c r="I23">
        <v>112</v>
      </c>
      <c r="J23">
        <v>112</v>
      </c>
      <c r="K23">
        <v>126</v>
      </c>
      <c r="L23">
        <v>97</v>
      </c>
      <c r="M23">
        <v>127</v>
      </c>
      <c r="N23">
        <v>114</v>
      </c>
      <c r="O23">
        <v>116</v>
      </c>
      <c r="P23">
        <v>115</v>
      </c>
      <c r="Q23">
        <v>36</v>
      </c>
      <c r="R23">
        <v>466</v>
      </c>
      <c r="S23">
        <v>472</v>
      </c>
      <c r="T23">
        <v>1071</v>
      </c>
      <c r="U23">
        <v>213</v>
      </c>
      <c r="V23">
        <v>335</v>
      </c>
      <c r="W23">
        <v>112</v>
      </c>
      <c r="X23">
        <v>229</v>
      </c>
      <c r="Y23">
        <v>243</v>
      </c>
      <c r="Z23" s="10" t="s">
        <v>71</v>
      </c>
    </row>
    <row r="24" spans="1:26" x14ac:dyDescent="0.4">
      <c r="A24" s="10">
        <v>23</v>
      </c>
      <c r="B24" s="10" t="s">
        <v>72</v>
      </c>
      <c r="C24" s="10" t="s">
        <v>70</v>
      </c>
      <c r="D24" s="10" t="s">
        <v>63</v>
      </c>
      <c r="E24" s="10" t="s">
        <v>59</v>
      </c>
      <c r="F24" s="10" t="s">
        <v>8</v>
      </c>
      <c r="G24" s="10" t="s">
        <v>27</v>
      </c>
      <c r="H24">
        <v>119</v>
      </c>
      <c r="I24">
        <v>113</v>
      </c>
      <c r="J24">
        <v>113</v>
      </c>
      <c r="K24">
        <v>127</v>
      </c>
      <c r="L24">
        <v>97</v>
      </c>
      <c r="M24">
        <v>130</v>
      </c>
      <c r="N24">
        <v>115</v>
      </c>
      <c r="O24">
        <v>119</v>
      </c>
      <c r="P24">
        <v>116</v>
      </c>
      <c r="Q24">
        <v>36</v>
      </c>
      <c r="R24">
        <v>472</v>
      </c>
      <c r="S24">
        <v>480</v>
      </c>
      <c r="T24">
        <v>1085</v>
      </c>
      <c r="U24">
        <v>216</v>
      </c>
      <c r="V24">
        <v>337</v>
      </c>
      <c r="W24">
        <v>113</v>
      </c>
      <c r="X24">
        <v>231</v>
      </c>
      <c r="Y24">
        <v>249</v>
      </c>
      <c r="Z24" s="10" t="s">
        <v>71</v>
      </c>
    </row>
    <row r="25" spans="1:26" x14ac:dyDescent="0.4">
      <c r="A25" s="10">
        <v>24</v>
      </c>
      <c r="B25" s="10" t="s">
        <v>73</v>
      </c>
      <c r="C25" s="10" t="s">
        <v>70</v>
      </c>
      <c r="D25" s="10" t="s">
        <v>65</v>
      </c>
      <c r="E25" s="10" t="s">
        <v>59</v>
      </c>
      <c r="F25" s="10" t="s">
        <v>8</v>
      </c>
      <c r="G25" s="10" t="s">
        <v>27</v>
      </c>
      <c r="H25">
        <v>122</v>
      </c>
      <c r="I25">
        <v>115</v>
      </c>
      <c r="J25">
        <v>113</v>
      </c>
      <c r="K25">
        <v>128</v>
      </c>
      <c r="L25">
        <v>97</v>
      </c>
      <c r="M25">
        <v>128</v>
      </c>
      <c r="N25">
        <v>113</v>
      </c>
      <c r="O25">
        <v>118</v>
      </c>
      <c r="P25">
        <v>115</v>
      </c>
      <c r="Q25">
        <v>36</v>
      </c>
      <c r="R25">
        <v>478</v>
      </c>
      <c r="S25">
        <v>474</v>
      </c>
      <c r="T25">
        <v>1085</v>
      </c>
      <c r="U25">
        <v>219</v>
      </c>
      <c r="V25">
        <v>340</v>
      </c>
      <c r="W25">
        <v>113</v>
      </c>
      <c r="X25">
        <v>228</v>
      </c>
      <c r="Y25">
        <v>246</v>
      </c>
      <c r="Z25" s="10" t="s">
        <v>71</v>
      </c>
    </row>
    <row r="26" spans="1:26" x14ac:dyDescent="0.4">
      <c r="A26" s="10">
        <v>25</v>
      </c>
      <c r="B26" s="10" t="s">
        <v>64</v>
      </c>
      <c r="C26" s="10" t="s">
        <v>70</v>
      </c>
      <c r="D26" s="10" t="s">
        <v>65</v>
      </c>
      <c r="E26" s="10" t="s">
        <v>59</v>
      </c>
      <c r="F26" s="10" t="s">
        <v>8</v>
      </c>
      <c r="G26" s="10" t="s">
        <v>27</v>
      </c>
      <c r="H26">
        <v>121</v>
      </c>
      <c r="I26">
        <v>111</v>
      </c>
      <c r="J26">
        <v>113</v>
      </c>
      <c r="K26">
        <v>125</v>
      </c>
      <c r="L26">
        <v>97</v>
      </c>
      <c r="M26">
        <v>133</v>
      </c>
      <c r="N26">
        <v>112</v>
      </c>
      <c r="O26">
        <v>122</v>
      </c>
      <c r="P26">
        <v>116</v>
      </c>
      <c r="Q26">
        <v>36</v>
      </c>
      <c r="R26">
        <v>470</v>
      </c>
      <c r="S26">
        <v>483</v>
      </c>
      <c r="T26">
        <v>1086</v>
      </c>
      <c r="U26">
        <v>218</v>
      </c>
      <c r="V26">
        <v>333</v>
      </c>
      <c r="W26">
        <v>113</v>
      </c>
      <c r="X26">
        <v>228</v>
      </c>
      <c r="Y26">
        <v>255</v>
      </c>
      <c r="Z26" s="10" t="s">
        <v>71</v>
      </c>
    </row>
    <row r="27" spans="1:26" x14ac:dyDescent="0.4">
      <c r="A27" s="10">
        <v>26</v>
      </c>
      <c r="B27" s="10" t="s">
        <v>574</v>
      </c>
      <c r="C27" s="10" t="s">
        <v>70</v>
      </c>
      <c r="D27" s="10" t="s">
        <v>63</v>
      </c>
      <c r="E27" s="10" t="s">
        <v>59</v>
      </c>
      <c r="F27" s="10" t="s">
        <v>8</v>
      </c>
      <c r="G27" s="10" t="s">
        <v>27</v>
      </c>
      <c r="H27">
        <v>121</v>
      </c>
      <c r="I27">
        <v>113</v>
      </c>
      <c r="J27">
        <v>114</v>
      </c>
      <c r="K27">
        <v>127</v>
      </c>
      <c r="L27">
        <v>97</v>
      </c>
      <c r="M27">
        <v>133</v>
      </c>
      <c r="N27">
        <v>116</v>
      </c>
      <c r="O27">
        <v>121</v>
      </c>
      <c r="P27">
        <v>117</v>
      </c>
      <c r="Q27">
        <v>36</v>
      </c>
      <c r="R27">
        <v>475</v>
      </c>
      <c r="S27">
        <v>487</v>
      </c>
      <c r="T27">
        <v>1095</v>
      </c>
      <c r="U27">
        <v>218</v>
      </c>
      <c r="V27">
        <v>337</v>
      </c>
      <c r="W27">
        <v>114</v>
      </c>
      <c r="X27">
        <v>233</v>
      </c>
      <c r="Y27">
        <v>254</v>
      </c>
      <c r="Z27" s="10" t="s">
        <v>71</v>
      </c>
    </row>
    <row r="28" spans="1:26" x14ac:dyDescent="0.4">
      <c r="A28" s="10">
        <v>27</v>
      </c>
      <c r="B28" s="10" t="s">
        <v>681</v>
      </c>
      <c r="C28" s="10" t="s">
        <v>70</v>
      </c>
      <c r="D28" s="10" t="s">
        <v>65</v>
      </c>
      <c r="E28" s="10" t="s">
        <v>59</v>
      </c>
      <c r="F28" s="10" t="s">
        <v>8</v>
      </c>
      <c r="G28" s="10" t="s">
        <v>27</v>
      </c>
      <c r="H28">
        <v>122</v>
      </c>
      <c r="I28">
        <v>113</v>
      </c>
      <c r="J28">
        <v>116</v>
      </c>
      <c r="K28">
        <v>127</v>
      </c>
      <c r="L28">
        <v>97</v>
      </c>
      <c r="M28">
        <v>131</v>
      </c>
      <c r="N28">
        <v>116</v>
      </c>
      <c r="O28">
        <v>121</v>
      </c>
      <c r="P28">
        <v>117</v>
      </c>
      <c r="Q28">
        <v>36</v>
      </c>
      <c r="R28">
        <v>478</v>
      </c>
      <c r="S28">
        <v>485</v>
      </c>
      <c r="T28">
        <v>1096</v>
      </c>
      <c r="U28">
        <v>219</v>
      </c>
      <c r="V28">
        <v>337</v>
      </c>
      <c r="W28">
        <v>116</v>
      </c>
      <c r="X28">
        <v>233</v>
      </c>
      <c r="Y28">
        <v>252</v>
      </c>
      <c r="Z28" s="10" t="s">
        <v>71</v>
      </c>
    </row>
    <row r="29" spans="1:26" x14ac:dyDescent="0.4">
      <c r="A29" s="10">
        <v>28</v>
      </c>
      <c r="B29" s="10" t="s">
        <v>731</v>
      </c>
      <c r="C29" s="10" t="s">
        <v>70</v>
      </c>
      <c r="D29" s="10" t="s">
        <v>58</v>
      </c>
      <c r="E29" s="10" t="s">
        <v>59</v>
      </c>
      <c r="F29" s="10" t="s">
        <v>8</v>
      </c>
      <c r="G29" s="10" t="s">
        <v>27</v>
      </c>
      <c r="H29">
        <v>122</v>
      </c>
      <c r="I29">
        <v>114</v>
      </c>
      <c r="J29">
        <v>115</v>
      </c>
      <c r="K29">
        <v>128</v>
      </c>
      <c r="L29">
        <v>97</v>
      </c>
      <c r="M29">
        <v>135</v>
      </c>
      <c r="N29">
        <v>117</v>
      </c>
      <c r="O29">
        <v>123</v>
      </c>
      <c r="P29">
        <v>118</v>
      </c>
      <c r="Q29">
        <v>36</v>
      </c>
      <c r="R29">
        <v>479</v>
      </c>
      <c r="S29">
        <v>493</v>
      </c>
      <c r="T29">
        <v>1105</v>
      </c>
      <c r="U29">
        <v>219</v>
      </c>
      <c r="V29">
        <v>339</v>
      </c>
      <c r="W29">
        <v>115</v>
      </c>
      <c r="X29">
        <v>235</v>
      </c>
      <c r="Y29">
        <v>258</v>
      </c>
      <c r="Z29" s="10" t="s">
        <v>71</v>
      </c>
    </row>
    <row r="30" spans="1:26" x14ac:dyDescent="0.4">
      <c r="A30" s="10">
        <v>29</v>
      </c>
      <c r="B30" s="10" t="s">
        <v>769</v>
      </c>
      <c r="C30" s="10" t="s">
        <v>70</v>
      </c>
      <c r="D30" s="10" t="s">
        <v>63</v>
      </c>
      <c r="E30" s="10" t="s">
        <v>59</v>
      </c>
      <c r="F30" s="10" t="s">
        <v>8</v>
      </c>
      <c r="G30" s="10" t="s">
        <v>27</v>
      </c>
      <c r="H30">
        <v>124</v>
      </c>
      <c r="I30">
        <v>114</v>
      </c>
      <c r="J30">
        <v>115</v>
      </c>
      <c r="K30">
        <v>128</v>
      </c>
      <c r="L30">
        <v>97</v>
      </c>
      <c r="M30">
        <v>134</v>
      </c>
      <c r="N30">
        <v>118</v>
      </c>
      <c r="O30">
        <v>122</v>
      </c>
      <c r="P30">
        <v>119</v>
      </c>
      <c r="Q30">
        <v>36</v>
      </c>
      <c r="R30">
        <v>481</v>
      </c>
      <c r="S30">
        <v>493</v>
      </c>
      <c r="T30">
        <v>1107</v>
      </c>
      <c r="U30">
        <v>221</v>
      </c>
      <c r="V30">
        <v>339</v>
      </c>
      <c r="W30">
        <v>115</v>
      </c>
      <c r="X30">
        <v>237</v>
      </c>
      <c r="Y30">
        <v>256</v>
      </c>
      <c r="Z30" s="10" t="s">
        <v>71</v>
      </c>
    </row>
    <row r="31" spans="1:26" x14ac:dyDescent="0.4">
      <c r="A31" s="10">
        <v>30</v>
      </c>
      <c r="B31" s="10" t="s">
        <v>801</v>
      </c>
      <c r="C31" s="10" t="s">
        <v>70</v>
      </c>
      <c r="D31" s="10" t="s">
        <v>65</v>
      </c>
      <c r="E31" s="10" t="s">
        <v>59</v>
      </c>
      <c r="F31" s="10" t="s">
        <v>8</v>
      </c>
      <c r="G31" s="10" t="s">
        <v>27</v>
      </c>
      <c r="H31">
        <v>123</v>
      </c>
      <c r="I31">
        <v>115</v>
      </c>
      <c r="J31">
        <v>116</v>
      </c>
      <c r="K31">
        <v>129</v>
      </c>
      <c r="L31">
        <v>97</v>
      </c>
      <c r="M31">
        <v>137</v>
      </c>
      <c r="N31">
        <v>118</v>
      </c>
      <c r="O31">
        <v>125</v>
      </c>
      <c r="P31">
        <v>119</v>
      </c>
      <c r="Q31">
        <v>36</v>
      </c>
      <c r="R31">
        <v>483</v>
      </c>
      <c r="S31">
        <v>499</v>
      </c>
      <c r="T31">
        <v>1115</v>
      </c>
      <c r="U31">
        <v>220</v>
      </c>
      <c r="V31">
        <v>341</v>
      </c>
      <c r="W31">
        <v>116</v>
      </c>
      <c r="X31">
        <v>237</v>
      </c>
      <c r="Y31">
        <v>262</v>
      </c>
      <c r="Z31" s="10" t="s">
        <v>71</v>
      </c>
    </row>
    <row r="32" spans="1:26" x14ac:dyDescent="0.4">
      <c r="A32" s="10">
        <v>31</v>
      </c>
      <c r="B32" s="10" t="s">
        <v>865</v>
      </c>
      <c r="C32" s="10" t="s">
        <v>70</v>
      </c>
      <c r="D32" s="10" t="s">
        <v>58</v>
      </c>
      <c r="E32" s="10" t="s">
        <v>59</v>
      </c>
      <c r="F32" s="10" t="s">
        <v>8</v>
      </c>
      <c r="G32" s="10" t="s">
        <v>27</v>
      </c>
      <c r="H32">
        <v>125</v>
      </c>
      <c r="I32">
        <v>115</v>
      </c>
      <c r="J32">
        <v>116</v>
      </c>
      <c r="K32">
        <v>129</v>
      </c>
      <c r="L32">
        <v>97</v>
      </c>
      <c r="M32">
        <v>136</v>
      </c>
      <c r="N32">
        <v>118</v>
      </c>
      <c r="O32">
        <v>124</v>
      </c>
      <c r="P32">
        <v>119</v>
      </c>
      <c r="Q32">
        <v>36</v>
      </c>
      <c r="R32">
        <v>485</v>
      </c>
      <c r="S32">
        <v>497</v>
      </c>
      <c r="T32">
        <v>1115</v>
      </c>
      <c r="U32">
        <v>222</v>
      </c>
      <c r="V32">
        <v>341</v>
      </c>
      <c r="W32">
        <v>116</v>
      </c>
      <c r="X32">
        <v>237</v>
      </c>
      <c r="Y32">
        <v>260</v>
      </c>
      <c r="Z32" s="10" t="s">
        <v>71</v>
      </c>
    </row>
    <row r="33" spans="1:26" x14ac:dyDescent="0.4">
      <c r="A33" s="10">
        <v>32</v>
      </c>
      <c r="B33" s="10" t="s">
        <v>964</v>
      </c>
      <c r="C33" s="10" t="s">
        <v>70</v>
      </c>
      <c r="D33" s="10" t="s">
        <v>63</v>
      </c>
      <c r="E33" s="10" t="s">
        <v>59</v>
      </c>
      <c r="F33" s="10" t="s">
        <v>8</v>
      </c>
      <c r="G33" s="10" t="s">
        <v>27</v>
      </c>
      <c r="H33">
        <v>127</v>
      </c>
      <c r="I33">
        <v>117</v>
      </c>
      <c r="J33">
        <v>117</v>
      </c>
      <c r="K33">
        <v>130</v>
      </c>
      <c r="L33">
        <v>97</v>
      </c>
      <c r="M33">
        <v>137</v>
      </c>
      <c r="N33">
        <v>119</v>
      </c>
      <c r="O33">
        <v>125</v>
      </c>
      <c r="P33">
        <v>120</v>
      </c>
      <c r="Q33">
        <v>36</v>
      </c>
      <c r="R33">
        <v>491</v>
      </c>
      <c r="S33">
        <v>501</v>
      </c>
      <c r="T33">
        <v>1125</v>
      </c>
      <c r="U33">
        <v>224</v>
      </c>
      <c r="V33">
        <v>344</v>
      </c>
      <c r="W33">
        <v>117</v>
      </c>
      <c r="X33">
        <v>239</v>
      </c>
      <c r="Y33">
        <v>262</v>
      </c>
      <c r="Z33" s="10" t="s">
        <v>71</v>
      </c>
    </row>
    <row r="34" spans="1:26" x14ac:dyDescent="0.4">
      <c r="A34" s="10">
        <v>33</v>
      </c>
      <c r="B34" s="10" t="s">
        <v>32</v>
      </c>
      <c r="C34" s="10" t="s">
        <v>74</v>
      </c>
      <c r="D34" s="10" t="s">
        <v>65</v>
      </c>
      <c r="E34" s="10" t="s">
        <v>59</v>
      </c>
      <c r="F34" s="10" t="s">
        <v>8</v>
      </c>
      <c r="G34" s="10" t="s">
        <v>27</v>
      </c>
      <c r="H34">
        <v>114</v>
      </c>
      <c r="I34">
        <v>123</v>
      </c>
      <c r="J34">
        <v>118</v>
      </c>
      <c r="K34">
        <v>120</v>
      </c>
      <c r="L34">
        <v>97</v>
      </c>
      <c r="M34">
        <v>118</v>
      </c>
      <c r="N34">
        <v>118</v>
      </c>
      <c r="O34">
        <v>114</v>
      </c>
      <c r="P34">
        <v>119</v>
      </c>
      <c r="Q34">
        <v>31</v>
      </c>
      <c r="R34">
        <v>475</v>
      </c>
      <c r="S34">
        <v>469</v>
      </c>
      <c r="T34">
        <v>1072</v>
      </c>
      <c r="U34">
        <v>211</v>
      </c>
      <c r="V34">
        <v>340</v>
      </c>
      <c r="W34">
        <v>118</v>
      </c>
      <c r="X34">
        <v>237</v>
      </c>
      <c r="Y34">
        <v>232</v>
      </c>
      <c r="Z34" s="10" t="s">
        <v>75</v>
      </c>
    </row>
    <row r="35" spans="1:26" x14ac:dyDescent="0.4">
      <c r="A35" s="10">
        <v>34</v>
      </c>
      <c r="B35" s="10" t="s">
        <v>72</v>
      </c>
      <c r="C35" s="10" t="s">
        <v>74</v>
      </c>
      <c r="D35" s="10" t="s">
        <v>58</v>
      </c>
      <c r="E35" s="10" t="s">
        <v>59</v>
      </c>
      <c r="F35" s="10" t="s">
        <v>8</v>
      </c>
      <c r="G35" s="10" t="s">
        <v>27</v>
      </c>
      <c r="H35">
        <v>115</v>
      </c>
      <c r="I35">
        <v>126</v>
      </c>
      <c r="J35">
        <v>119</v>
      </c>
      <c r="K35">
        <v>123</v>
      </c>
      <c r="L35">
        <v>97</v>
      </c>
      <c r="M35">
        <v>121</v>
      </c>
      <c r="N35">
        <v>119</v>
      </c>
      <c r="O35">
        <v>115</v>
      </c>
      <c r="P35">
        <v>120</v>
      </c>
      <c r="Q35">
        <v>31</v>
      </c>
      <c r="R35">
        <v>483</v>
      </c>
      <c r="S35">
        <v>475</v>
      </c>
      <c r="T35">
        <v>1086</v>
      </c>
      <c r="U35">
        <v>212</v>
      </c>
      <c r="V35">
        <v>346</v>
      </c>
      <c r="W35">
        <v>119</v>
      </c>
      <c r="X35">
        <v>239</v>
      </c>
      <c r="Y35">
        <v>236</v>
      </c>
      <c r="Z35" s="10" t="s">
        <v>75</v>
      </c>
    </row>
    <row r="36" spans="1:26" x14ac:dyDescent="0.4">
      <c r="A36" s="10">
        <v>35</v>
      </c>
      <c r="B36" s="10" t="s">
        <v>76</v>
      </c>
      <c r="C36" s="10" t="s">
        <v>74</v>
      </c>
      <c r="D36" s="10" t="s">
        <v>63</v>
      </c>
      <c r="E36" s="10" t="s">
        <v>59</v>
      </c>
      <c r="F36" s="10" t="s">
        <v>8</v>
      </c>
      <c r="G36" s="10" t="s">
        <v>27</v>
      </c>
      <c r="H36">
        <v>113</v>
      </c>
      <c r="I36">
        <v>128</v>
      </c>
      <c r="J36">
        <v>116</v>
      </c>
      <c r="K36">
        <v>125</v>
      </c>
      <c r="L36">
        <v>97</v>
      </c>
      <c r="M36">
        <v>119</v>
      </c>
      <c r="N36">
        <v>122</v>
      </c>
      <c r="O36">
        <v>115</v>
      </c>
      <c r="P36">
        <v>120</v>
      </c>
      <c r="Q36">
        <v>31</v>
      </c>
      <c r="R36">
        <v>482</v>
      </c>
      <c r="S36">
        <v>476</v>
      </c>
      <c r="T36">
        <v>1086</v>
      </c>
      <c r="U36">
        <v>210</v>
      </c>
      <c r="V36">
        <v>350</v>
      </c>
      <c r="W36">
        <v>116</v>
      </c>
      <c r="X36">
        <v>242</v>
      </c>
      <c r="Y36">
        <v>234</v>
      </c>
      <c r="Z36" s="10" t="s">
        <v>75</v>
      </c>
    </row>
    <row r="37" spans="1:26" x14ac:dyDescent="0.4">
      <c r="A37" s="10">
        <v>36</v>
      </c>
      <c r="B37" s="10" t="s">
        <v>635</v>
      </c>
      <c r="C37" s="10" t="s">
        <v>74</v>
      </c>
      <c r="D37" s="10" t="s">
        <v>65</v>
      </c>
      <c r="E37" s="10" t="s">
        <v>59</v>
      </c>
      <c r="F37" s="10" t="s">
        <v>8</v>
      </c>
      <c r="G37" s="10" t="s">
        <v>27</v>
      </c>
      <c r="H37">
        <v>116</v>
      </c>
      <c r="I37">
        <v>129</v>
      </c>
      <c r="J37">
        <v>119</v>
      </c>
      <c r="K37">
        <v>125</v>
      </c>
      <c r="L37">
        <v>97</v>
      </c>
      <c r="M37">
        <v>121</v>
      </c>
      <c r="N37">
        <v>121</v>
      </c>
      <c r="O37">
        <v>116</v>
      </c>
      <c r="P37">
        <v>121</v>
      </c>
      <c r="Q37">
        <v>31</v>
      </c>
      <c r="R37">
        <v>489</v>
      </c>
      <c r="S37">
        <v>479</v>
      </c>
      <c r="T37">
        <v>1096</v>
      </c>
      <c r="U37">
        <v>213</v>
      </c>
      <c r="V37">
        <v>351</v>
      </c>
      <c r="W37">
        <v>119</v>
      </c>
      <c r="X37">
        <v>242</v>
      </c>
      <c r="Y37">
        <v>237</v>
      </c>
      <c r="Z37" s="10" t="s">
        <v>75</v>
      </c>
    </row>
    <row r="38" spans="1:26" x14ac:dyDescent="0.4">
      <c r="A38" s="10">
        <v>37</v>
      </c>
      <c r="B38" s="10" t="s">
        <v>681</v>
      </c>
      <c r="C38" s="10" t="s">
        <v>74</v>
      </c>
      <c r="D38" s="10" t="s">
        <v>58</v>
      </c>
      <c r="E38" s="10" t="s">
        <v>59</v>
      </c>
      <c r="F38" s="10" t="s">
        <v>8</v>
      </c>
      <c r="G38" s="10" t="s">
        <v>27</v>
      </c>
      <c r="H38">
        <v>118</v>
      </c>
      <c r="I38">
        <v>126</v>
      </c>
      <c r="J38">
        <v>120</v>
      </c>
      <c r="K38">
        <v>123</v>
      </c>
      <c r="L38">
        <v>97</v>
      </c>
      <c r="M38">
        <v>122</v>
      </c>
      <c r="N38">
        <v>121</v>
      </c>
      <c r="O38">
        <v>117</v>
      </c>
      <c r="P38">
        <v>122</v>
      </c>
      <c r="Q38">
        <v>31</v>
      </c>
      <c r="R38">
        <v>487</v>
      </c>
      <c r="S38">
        <v>482</v>
      </c>
      <c r="T38">
        <v>1097</v>
      </c>
      <c r="U38">
        <v>215</v>
      </c>
      <c r="V38">
        <v>346</v>
      </c>
      <c r="W38">
        <v>120</v>
      </c>
      <c r="X38">
        <v>243</v>
      </c>
      <c r="Y38">
        <v>239</v>
      </c>
      <c r="Z38" s="10" t="s">
        <v>75</v>
      </c>
    </row>
    <row r="39" spans="1:26" x14ac:dyDescent="0.4">
      <c r="A39" s="10">
        <v>38</v>
      </c>
      <c r="B39" s="10" t="s">
        <v>801</v>
      </c>
      <c r="C39" s="10" t="s">
        <v>74</v>
      </c>
      <c r="D39" s="10" t="s">
        <v>63</v>
      </c>
      <c r="E39" s="10" t="s">
        <v>59</v>
      </c>
      <c r="F39" s="10" t="s">
        <v>8</v>
      </c>
      <c r="G39" s="10" t="s">
        <v>27</v>
      </c>
      <c r="H39">
        <v>117</v>
      </c>
      <c r="I39">
        <v>131</v>
      </c>
      <c r="J39">
        <v>120</v>
      </c>
      <c r="K39">
        <v>127</v>
      </c>
      <c r="L39">
        <v>97</v>
      </c>
      <c r="M39">
        <v>122</v>
      </c>
      <c r="N39">
        <v>122</v>
      </c>
      <c r="O39">
        <v>117</v>
      </c>
      <c r="P39">
        <v>122</v>
      </c>
      <c r="Q39">
        <v>31</v>
      </c>
      <c r="R39">
        <v>495</v>
      </c>
      <c r="S39">
        <v>483</v>
      </c>
      <c r="T39">
        <v>1106</v>
      </c>
      <c r="U39">
        <v>214</v>
      </c>
      <c r="V39">
        <v>355</v>
      </c>
      <c r="W39">
        <v>120</v>
      </c>
      <c r="X39">
        <v>244</v>
      </c>
      <c r="Y39">
        <v>239</v>
      </c>
      <c r="Z39" s="10" t="s">
        <v>75</v>
      </c>
    </row>
    <row r="40" spans="1:26" x14ac:dyDescent="0.4">
      <c r="A40" s="10">
        <v>39</v>
      </c>
      <c r="B40" s="10" t="s">
        <v>964</v>
      </c>
      <c r="C40" s="10" t="s">
        <v>74</v>
      </c>
      <c r="D40" s="10" t="s">
        <v>65</v>
      </c>
      <c r="E40" s="10" t="s">
        <v>59</v>
      </c>
      <c r="F40" s="10" t="s">
        <v>8</v>
      </c>
      <c r="G40" s="10" t="s">
        <v>27</v>
      </c>
      <c r="H40">
        <v>118</v>
      </c>
      <c r="I40">
        <v>133</v>
      </c>
      <c r="J40">
        <v>121</v>
      </c>
      <c r="K40">
        <v>129</v>
      </c>
      <c r="L40">
        <v>97</v>
      </c>
      <c r="M40">
        <v>123</v>
      </c>
      <c r="N40">
        <v>123</v>
      </c>
      <c r="O40">
        <v>118</v>
      </c>
      <c r="P40">
        <v>123</v>
      </c>
      <c r="Q40">
        <v>31</v>
      </c>
      <c r="R40">
        <v>501</v>
      </c>
      <c r="S40">
        <v>487</v>
      </c>
      <c r="T40">
        <v>1116</v>
      </c>
      <c r="U40">
        <v>215</v>
      </c>
      <c r="V40">
        <v>359</v>
      </c>
      <c r="W40">
        <v>121</v>
      </c>
      <c r="X40">
        <v>246</v>
      </c>
      <c r="Y40">
        <v>241</v>
      </c>
      <c r="Z40" s="10" t="s">
        <v>75</v>
      </c>
    </row>
    <row r="41" spans="1:26" x14ac:dyDescent="0.4">
      <c r="A41" s="10">
        <v>40</v>
      </c>
      <c r="B41" s="10" t="s">
        <v>32</v>
      </c>
      <c r="C41" s="10" t="s">
        <v>77</v>
      </c>
      <c r="D41" s="10" t="s">
        <v>58</v>
      </c>
      <c r="E41" s="10" t="s">
        <v>78</v>
      </c>
      <c r="F41" s="10" t="s">
        <v>8</v>
      </c>
      <c r="G41" s="10" t="s">
        <v>27</v>
      </c>
      <c r="H41">
        <v>117</v>
      </c>
      <c r="I41">
        <v>110</v>
      </c>
      <c r="J41">
        <v>120</v>
      </c>
      <c r="K41">
        <v>123</v>
      </c>
      <c r="L41">
        <v>101</v>
      </c>
      <c r="M41">
        <v>110</v>
      </c>
      <c r="N41">
        <v>130</v>
      </c>
      <c r="O41">
        <v>116</v>
      </c>
      <c r="P41">
        <v>123</v>
      </c>
      <c r="Q41">
        <v>29</v>
      </c>
      <c r="R41">
        <v>470</v>
      </c>
      <c r="S41">
        <v>479</v>
      </c>
      <c r="T41">
        <v>1079</v>
      </c>
      <c r="U41">
        <v>218</v>
      </c>
      <c r="V41">
        <v>334</v>
      </c>
      <c r="W41">
        <v>120</v>
      </c>
      <c r="X41">
        <v>253</v>
      </c>
      <c r="Y41">
        <v>226</v>
      </c>
      <c r="Z41" s="10" t="s">
        <v>79</v>
      </c>
    </row>
    <row r="42" spans="1:26" x14ac:dyDescent="0.4">
      <c r="A42" s="10">
        <v>41</v>
      </c>
      <c r="B42" s="10" t="s">
        <v>61</v>
      </c>
      <c r="C42" s="10" t="s">
        <v>77</v>
      </c>
      <c r="D42" s="10" t="s">
        <v>63</v>
      </c>
      <c r="E42" s="10" t="s">
        <v>78</v>
      </c>
      <c r="F42" s="10" t="s">
        <v>8</v>
      </c>
      <c r="G42" s="10" t="s">
        <v>27</v>
      </c>
      <c r="H42">
        <v>118</v>
      </c>
      <c r="I42">
        <v>111</v>
      </c>
      <c r="J42">
        <v>123</v>
      </c>
      <c r="K42">
        <v>124</v>
      </c>
      <c r="L42">
        <v>101</v>
      </c>
      <c r="M42">
        <v>111</v>
      </c>
      <c r="N42">
        <v>133</v>
      </c>
      <c r="O42">
        <v>117</v>
      </c>
      <c r="P42">
        <v>126</v>
      </c>
      <c r="Q42">
        <v>29</v>
      </c>
      <c r="R42">
        <v>476</v>
      </c>
      <c r="S42">
        <v>487</v>
      </c>
      <c r="T42">
        <v>1093</v>
      </c>
      <c r="U42">
        <v>219</v>
      </c>
      <c r="V42">
        <v>336</v>
      </c>
      <c r="W42">
        <v>123</v>
      </c>
      <c r="X42">
        <v>259</v>
      </c>
      <c r="Y42">
        <v>228</v>
      </c>
      <c r="Z42" s="10" t="s">
        <v>79</v>
      </c>
    </row>
    <row r="43" spans="1:26" x14ac:dyDescent="0.4">
      <c r="A43" s="10">
        <v>42</v>
      </c>
      <c r="B43" s="10" t="s">
        <v>69</v>
      </c>
      <c r="C43" s="10" t="s">
        <v>77</v>
      </c>
      <c r="D43" s="10" t="s">
        <v>63</v>
      </c>
      <c r="E43" s="10" t="s">
        <v>78</v>
      </c>
      <c r="F43" s="10" t="s">
        <v>8</v>
      </c>
      <c r="G43" s="10" t="s">
        <v>27</v>
      </c>
      <c r="H43">
        <v>119</v>
      </c>
      <c r="I43">
        <v>111</v>
      </c>
      <c r="J43">
        <v>125</v>
      </c>
      <c r="K43">
        <v>125</v>
      </c>
      <c r="L43">
        <v>101</v>
      </c>
      <c r="M43">
        <v>111</v>
      </c>
      <c r="N43">
        <v>136</v>
      </c>
      <c r="O43">
        <v>118</v>
      </c>
      <c r="P43">
        <v>128</v>
      </c>
      <c r="Q43">
        <v>29</v>
      </c>
      <c r="R43">
        <v>480</v>
      </c>
      <c r="S43">
        <v>493</v>
      </c>
      <c r="T43">
        <v>1103</v>
      </c>
      <c r="U43">
        <v>220</v>
      </c>
      <c r="V43">
        <v>337</v>
      </c>
      <c r="W43">
        <v>125</v>
      </c>
      <c r="X43">
        <v>264</v>
      </c>
      <c r="Y43">
        <v>229</v>
      </c>
      <c r="Z43" s="10" t="s">
        <v>79</v>
      </c>
    </row>
    <row r="44" spans="1:26" x14ac:dyDescent="0.4">
      <c r="A44" s="10">
        <v>43</v>
      </c>
      <c r="B44" s="10" t="s">
        <v>340</v>
      </c>
      <c r="C44" s="10" t="s">
        <v>77</v>
      </c>
      <c r="D44" s="10" t="s">
        <v>65</v>
      </c>
      <c r="E44" s="10" t="s">
        <v>78</v>
      </c>
      <c r="F44" s="10" t="s">
        <v>8</v>
      </c>
      <c r="G44" s="10" t="s">
        <v>27</v>
      </c>
      <c r="H44">
        <v>117</v>
      </c>
      <c r="I44">
        <v>111</v>
      </c>
      <c r="J44">
        <v>127</v>
      </c>
      <c r="K44">
        <v>123</v>
      </c>
      <c r="L44">
        <v>101</v>
      </c>
      <c r="M44">
        <v>111</v>
      </c>
      <c r="N44">
        <v>137</v>
      </c>
      <c r="O44">
        <v>116</v>
      </c>
      <c r="P44">
        <v>130</v>
      </c>
      <c r="Q44">
        <v>29</v>
      </c>
      <c r="R44">
        <v>478</v>
      </c>
      <c r="S44">
        <v>494</v>
      </c>
      <c r="T44">
        <v>1102</v>
      </c>
      <c r="U44">
        <v>218</v>
      </c>
      <c r="V44">
        <v>335</v>
      </c>
      <c r="W44">
        <v>127</v>
      </c>
      <c r="X44">
        <v>267</v>
      </c>
      <c r="Y44">
        <v>227</v>
      </c>
      <c r="Z44" s="10" t="s">
        <v>79</v>
      </c>
    </row>
    <row r="45" spans="1:26" x14ac:dyDescent="0.4">
      <c r="A45" s="10">
        <v>44</v>
      </c>
      <c r="B45" s="10" t="s">
        <v>674</v>
      </c>
      <c r="C45" s="10" t="s">
        <v>77</v>
      </c>
      <c r="D45" s="10" t="s">
        <v>58</v>
      </c>
      <c r="E45" s="10" t="s">
        <v>78</v>
      </c>
      <c r="F45" s="10" t="s">
        <v>8</v>
      </c>
      <c r="G45" s="10" t="s">
        <v>27</v>
      </c>
      <c r="H45">
        <v>120</v>
      </c>
      <c r="I45">
        <v>112</v>
      </c>
      <c r="J45">
        <v>126</v>
      </c>
      <c r="K45">
        <v>126</v>
      </c>
      <c r="L45">
        <v>101</v>
      </c>
      <c r="M45">
        <v>112</v>
      </c>
      <c r="N45">
        <v>138</v>
      </c>
      <c r="O45">
        <v>119</v>
      </c>
      <c r="P45">
        <v>130</v>
      </c>
      <c r="Q45">
        <v>29</v>
      </c>
      <c r="R45">
        <v>484</v>
      </c>
      <c r="S45">
        <v>499</v>
      </c>
      <c r="T45">
        <v>1113</v>
      </c>
      <c r="U45">
        <v>221</v>
      </c>
      <c r="V45">
        <v>339</v>
      </c>
      <c r="W45">
        <v>126</v>
      </c>
      <c r="X45">
        <v>268</v>
      </c>
      <c r="Y45">
        <v>231</v>
      </c>
      <c r="Z45" s="10" t="s">
        <v>79</v>
      </c>
    </row>
    <row r="46" spans="1:26" x14ac:dyDescent="0.4">
      <c r="A46" s="10">
        <v>45</v>
      </c>
      <c r="B46" s="10" t="s">
        <v>731</v>
      </c>
      <c r="C46" s="10" t="s">
        <v>77</v>
      </c>
      <c r="D46" s="10" t="s">
        <v>63</v>
      </c>
      <c r="E46" s="10" t="s">
        <v>78</v>
      </c>
      <c r="F46" s="10" t="s">
        <v>8</v>
      </c>
      <c r="G46" s="10" t="s">
        <v>27</v>
      </c>
      <c r="H46">
        <v>119</v>
      </c>
      <c r="I46">
        <v>112</v>
      </c>
      <c r="J46">
        <v>127</v>
      </c>
      <c r="K46">
        <v>126</v>
      </c>
      <c r="L46">
        <v>101</v>
      </c>
      <c r="M46">
        <v>112</v>
      </c>
      <c r="N46">
        <v>139</v>
      </c>
      <c r="O46">
        <v>119</v>
      </c>
      <c r="P46">
        <v>130</v>
      </c>
      <c r="Q46">
        <v>29</v>
      </c>
      <c r="R46">
        <v>484</v>
      </c>
      <c r="S46">
        <v>500</v>
      </c>
      <c r="T46">
        <v>1114</v>
      </c>
      <c r="U46">
        <v>220</v>
      </c>
      <c r="V46">
        <v>339</v>
      </c>
      <c r="W46">
        <v>127</v>
      </c>
      <c r="X46">
        <v>269</v>
      </c>
      <c r="Y46">
        <v>231</v>
      </c>
      <c r="Z46" s="10" t="s">
        <v>79</v>
      </c>
    </row>
    <row r="47" spans="1:26" x14ac:dyDescent="0.4">
      <c r="A47" s="10">
        <v>46</v>
      </c>
      <c r="B47" s="10" t="s">
        <v>811</v>
      </c>
      <c r="C47" s="10" t="s">
        <v>77</v>
      </c>
      <c r="D47" s="10" t="s">
        <v>65</v>
      </c>
      <c r="E47" s="10" t="s">
        <v>78</v>
      </c>
      <c r="F47" s="10" t="s">
        <v>8</v>
      </c>
      <c r="G47" s="10" t="s">
        <v>27</v>
      </c>
      <c r="H47">
        <v>121</v>
      </c>
      <c r="I47">
        <v>113</v>
      </c>
      <c r="J47">
        <v>127</v>
      </c>
      <c r="K47">
        <v>127</v>
      </c>
      <c r="L47">
        <v>101</v>
      </c>
      <c r="M47">
        <v>113</v>
      </c>
      <c r="N47">
        <v>140</v>
      </c>
      <c r="O47">
        <v>120</v>
      </c>
      <c r="P47">
        <v>132</v>
      </c>
      <c r="Q47">
        <v>29</v>
      </c>
      <c r="R47">
        <v>488</v>
      </c>
      <c r="S47">
        <v>505</v>
      </c>
      <c r="T47">
        <v>1123</v>
      </c>
      <c r="U47">
        <v>222</v>
      </c>
      <c r="V47">
        <v>341</v>
      </c>
      <c r="W47">
        <v>127</v>
      </c>
      <c r="X47">
        <v>272</v>
      </c>
      <c r="Y47">
        <v>233</v>
      </c>
      <c r="Z47" s="10" t="s">
        <v>79</v>
      </c>
    </row>
    <row r="48" spans="1:26" x14ac:dyDescent="0.4">
      <c r="A48" s="10">
        <v>47</v>
      </c>
      <c r="B48" s="10" t="s">
        <v>964</v>
      </c>
      <c r="C48" s="10" t="s">
        <v>77</v>
      </c>
      <c r="D48" s="10" t="s">
        <v>58</v>
      </c>
      <c r="E48" s="10" t="s">
        <v>78</v>
      </c>
      <c r="F48" s="10" t="s">
        <v>8</v>
      </c>
      <c r="G48" s="10" t="s">
        <v>27</v>
      </c>
      <c r="H48">
        <v>122</v>
      </c>
      <c r="I48">
        <v>114</v>
      </c>
      <c r="J48">
        <v>128</v>
      </c>
      <c r="K48">
        <v>128</v>
      </c>
      <c r="L48">
        <v>101</v>
      </c>
      <c r="M48">
        <v>114</v>
      </c>
      <c r="N48">
        <v>142</v>
      </c>
      <c r="O48">
        <v>121</v>
      </c>
      <c r="P48">
        <v>134</v>
      </c>
      <c r="Q48">
        <v>29</v>
      </c>
      <c r="R48">
        <v>492</v>
      </c>
      <c r="S48">
        <v>511</v>
      </c>
      <c r="T48">
        <v>1133</v>
      </c>
      <c r="U48">
        <v>223</v>
      </c>
      <c r="V48">
        <v>343</v>
      </c>
      <c r="W48">
        <v>128</v>
      </c>
      <c r="X48">
        <v>276</v>
      </c>
      <c r="Y48">
        <v>235</v>
      </c>
      <c r="Z48" s="10" t="s">
        <v>79</v>
      </c>
    </row>
    <row r="49" spans="1:26" x14ac:dyDescent="0.4">
      <c r="A49" s="10">
        <v>48</v>
      </c>
      <c r="B49" s="10" t="s">
        <v>32</v>
      </c>
      <c r="C49" s="10" t="s">
        <v>80</v>
      </c>
      <c r="D49" s="10" t="s">
        <v>65</v>
      </c>
      <c r="E49" s="10" t="s">
        <v>81</v>
      </c>
      <c r="F49" s="10" t="s">
        <v>8</v>
      </c>
      <c r="G49" s="10" t="s">
        <v>27</v>
      </c>
      <c r="H49">
        <v>125</v>
      </c>
      <c r="I49">
        <v>117</v>
      </c>
      <c r="J49">
        <v>113</v>
      </c>
      <c r="K49">
        <v>114</v>
      </c>
      <c r="L49">
        <v>97</v>
      </c>
      <c r="M49">
        <v>116</v>
      </c>
      <c r="N49">
        <v>117</v>
      </c>
      <c r="O49">
        <v>115</v>
      </c>
      <c r="P49">
        <v>115</v>
      </c>
      <c r="Q49">
        <v>27</v>
      </c>
      <c r="R49">
        <v>469</v>
      </c>
      <c r="S49">
        <v>463</v>
      </c>
      <c r="T49">
        <v>1056</v>
      </c>
      <c r="U49">
        <v>222</v>
      </c>
      <c r="V49">
        <v>328</v>
      </c>
      <c r="W49">
        <v>113</v>
      </c>
      <c r="X49">
        <v>232</v>
      </c>
      <c r="Y49">
        <v>231</v>
      </c>
      <c r="Z49" s="10" t="s">
        <v>82</v>
      </c>
    </row>
    <row r="50" spans="1:26" x14ac:dyDescent="0.4">
      <c r="A50" s="10">
        <v>49</v>
      </c>
      <c r="B50" s="10" t="s">
        <v>61</v>
      </c>
      <c r="C50" s="10" t="s">
        <v>80</v>
      </c>
      <c r="D50" s="10" t="s">
        <v>58</v>
      </c>
      <c r="E50" s="10" t="s">
        <v>81</v>
      </c>
      <c r="F50" s="10" t="s">
        <v>8</v>
      </c>
      <c r="G50" s="10" t="s">
        <v>27</v>
      </c>
      <c r="H50">
        <v>128</v>
      </c>
      <c r="I50">
        <v>120</v>
      </c>
      <c r="J50">
        <v>114</v>
      </c>
      <c r="K50">
        <v>115</v>
      </c>
      <c r="L50">
        <v>97</v>
      </c>
      <c r="M50">
        <v>117</v>
      </c>
      <c r="N50">
        <v>118</v>
      </c>
      <c r="O50">
        <v>118</v>
      </c>
      <c r="P50">
        <v>116</v>
      </c>
      <c r="Q50">
        <v>27</v>
      </c>
      <c r="R50">
        <v>477</v>
      </c>
      <c r="S50">
        <v>469</v>
      </c>
      <c r="T50">
        <v>1070</v>
      </c>
      <c r="U50">
        <v>225</v>
      </c>
      <c r="V50">
        <v>332</v>
      </c>
      <c r="W50">
        <v>114</v>
      </c>
      <c r="X50">
        <v>234</v>
      </c>
      <c r="Y50">
        <v>235</v>
      </c>
      <c r="Z50" s="10" t="s">
        <v>82</v>
      </c>
    </row>
    <row r="51" spans="1:26" x14ac:dyDescent="0.4">
      <c r="A51" s="10">
        <v>50</v>
      </c>
      <c r="B51" s="10" t="s">
        <v>83</v>
      </c>
      <c r="C51" s="10" t="s">
        <v>80</v>
      </c>
      <c r="D51" s="10" t="s">
        <v>63</v>
      </c>
      <c r="E51" s="10" t="s">
        <v>81</v>
      </c>
      <c r="F51" s="10" t="s">
        <v>8</v>
      </c>
      <c r="G51" s="10" t="s">
        <v>27</v>
      </c>
      <c r="H51">
        <v>131</v>
      </c>
      <c r="I51">
        <v>117</v>
      </c>
      <c r="J51">
        <v>114</v>
      </c>
      <c r="K51">
        <v>112</v>
      </c>
      <c r="L51">
        <v>97</v>
      </c>
      <c r="M51">
        <v>118</v>
      </c>
      <c r="N51">
        <v>118</v>
      </c>
      <c r="O51">
        <v>120</v>
      </c>
      <c r="P51">
        <v>116</v>
      </c>
      <c r="Q51">
        <v>27</v>
      </c>
      <c r="R51">
        <v>474</v>
      </c>
      <c r="S51">
        <v>472</v>
      </c>
      <c r="T51">
        <v>1070</v>
      </c>
      <c r="U51">
        <v>228</v>
      </c>
      <c r="V51">
        <v>326</v>
      </c>
      <c r="W51">
        <v>114</v>
      </c>
      <c r="X51">
        <v>234</v>
      </c>
      <c r="Y51">
        <v>238</v>
      </c>
      <c r="Z51" s="10" t="s">
        <v>82</v>
      </c>
    </row>
    <row r="52" spans="1:26" x14ac:dyDescent="0.4">
      <c r="A52" s="10">
        <v>51</v>
      </c>
      <c r="B52" s="10" t="s">
        <v>298</v>
      </c>
      <c r="C52" s="10" t="s">
        <v>80</v>
      </c>
      <c r="D52" s="10" t="s">
        <v>65</v>
      </c>
      <c r="E52" s="10" t="s">
        <v>81</v>
      </c>
      <c r="F52" s="10" t="s">
        <v>8</v>
      </c>
      <c r="G52" s="10" t="s">
        <v>27</v>
      </c>
      <c r="H52">
        <v>127</v>
      </c>
      <c r="I52">
        <v>118</v>
      </c>
      <c r="J52">
        <v>113</v>
      </c>
      <c r="K52">
        <v>113</v>
      </c>
      <c r="L52">
        <v>97</v>
      </c>
      <c r="M52">
        <v>120</v>
      </c>
      <c r="N52">
        <v>120</v>
      </c>
      <c r="O52">
        <v>119</v>
      </c>
      <c r="P52">
        <v>117</v>
      </c>
      <c r="Q52">
        <v>27</v>
      </c>
      <c r="R52">
        <v>471</v>
      </c>
      <c r="S52">
        <v>476</v>
      </c>
      <c r="T52">
        <v>1071</v>
      </c>
      <c r="U52">
        <v>224</v>
      </c>
      <c r="V52">
        <v>328</v>
      </c>
      <c r="W52">
        <v>113</v>
      </c>
      <c r="X52">
        <v>237</v>
      </c>
      <c r="Y52">
        <v>239</v>
      </c>
      <c r="Z52" s="10" t="s">
        <v>82</v>
      </c>
    </row>
    <row r="53" spans="1:26" x14ac:dyDescent="0.4">
      <c r="A53" s="10">
        <v>52</v>
      </c>
      <c r="B53" s="10" t="s">
        <v>651</v>
      </c>
      <c r="C53" s="10" t="s">
        <v>80</v>
      </c>
      <c r="D53" s="10" t="s">
        <v>65</v>
      </c>
      <c r="E53" s="10" t="s">
        <v>81</v>
      </c>
      <c r="F53" s="10" t="s">
        <v>8</v>
      </c>
      <c r="G53" s="10" t="s">
        <v>27</v>
      </c>
      <c r="H53">
        <v>131</v>
      </c>
      <c r="I53">
        <v>120</v>
      </c>
      <c r="J53">
        <v>115</v>
      </c>
      <c r="K53">
        <v>115</v>
      </c>
      <c r="L53">
        <v>97</v>
      </c>
      <c r="M53">
        <v>119</v>
      </c>
      <c r="N53">
        <v>119</v>
      </c>
      <c r="O53">
        <v>120</v>
      </c>
      <c r="P53">
        <v>117</v>
      </c>
      <c r="Q53">
        <v>27</v>
      </c>
      <c r="R53">
        <v>481</v>
      </c>
      <c r="S53">
        <v>475</v>
      </c>
      <c r="T53">
        <v>1080</v>
      </c>
      <c r="U53">
        <v>228</v>
      </c>
      <c r="V53">
        <v>332</v>
      </c>
      <c r="W53">
        <v>115</v>
      </c>
      <c r="X53">
        <v>236</v>
      </c>
      <c r="Y53">
        <v>239</v>
      </c>
      <c r="Z53" s="10" t="s">
        <v>82</v>
      </c>
    </row>
    <row r="54" spans="1:26" x14ac:dyDescent="0.4">
      <c r="A54" s="10">
        <v>53</v>
      </c>
      <c r="B54" s="10" t="s">
        <v>854</v>
      </c>
      <c r="C54" s="10" t="s">
        <v>80</v>
      </c>
      <c r="D54" s="10" t="s">
        <v>63</v>
      </c>
      <c r="E54" s="10" t="s">
        <v>81</v>
      </c>
      <c r="F54" s="10" t="s">
        <v>8</v>
      </c>
      <c r="G54" s="10" t="s">
        <v>27</v>
      </c>
      <c r="H54">
        <v>129</v>
      </c>
      <c r="I54">
        <v>120</v>
      </c>
      <c r="J54">
        <v>114</v>
      </c>
      <c r="K54">
        <v>115</v>
      </c>
      <c r="L54">
        <v>97</v>
      </c>
      <c r="M54">
        <v>120</v>
      </c>
      <c r="N54">
        <v>120</v>
      </c>
      <c r="O54">
        <v>121</v>
      </c>
      <c r="P54">
        <v>118</v>
      </c>
      <c r="Q54">
        <v>27</v>
      </c>
      <c r="R54">
        <v>478</v>
      </c>
      <c r="S54">
        <v>479</v>
      </c>
      <c r="T54">
        <v>1081</v>
      </c>
      <c r="U54">
        <v>226</v>
      </c>
      <c r="V54">
        <v>332</v>
      </c>
      <c r="W54">
        <v>114</v>
      </c>
      <c r="X54">
        <v>238</v>
      </c>
      <c r="Y54">
        <v>241</v>
      </c>
      <c r="Z54" s="10" t="s">
        <v>82</v>
      </c>
    </row>
    <row r="55" spans="1:26" x14ac:dyDescent="0.4">
      <c r="A55" s="10">
        <v>54</v>
      </c>
      <c r="B55" s="10" t="s">
        <v>32</v>
      </c>
      <c r="C55" s="10" t="s">
        <v>84</v>
      </c>
      <c r="D55" s="10" t="s">
        <v>58</v>
      </c>
      <c r="E55" s="10" t="s">
        <v>81</v>
      </c>
      <c r="F55" s="10" t="s">
        <v>8</v>
      </c>
      <c r="G55" s="10" t="s">
        <v>27</v>
      </c>
      <c r="H55">
        <v>118</v>
      </c>
      <c r="I55">
        <v>116</v>
      </c>
      <c r="J55">
        <v>116</v>
      </c>
      <c r="K55">
        <v>123</v>
      </c>
      <c r="L55">
        <v>101</v>
      </c>
      <c r="M55">
        <v>116</v>
      </c>
      <c r="N55">
        <v>126</v>
      </c>
      <c r="O55">
        <v>115</v>
      </c>
      <c r="P55">
        <v>120</v>
      </c>
      <c r="Q55">
        <v>51</v>
      </c>
      <c r="R55">
        <v>473</v>
      </c>
      <c r="S55">
        <v>477</v>
      </c>
      <c r="T55">
        <v>1102</v>
      </c>
      <c r="U55">
        <v>219</v>
      </c>
      <c r="V55">
        <v>340</v>
      </c>
      <c r="W55">
        <v>116</v>
      </c>
      <c r="X55">
        <v>246</v>
      </c>
      <c r="Y55">
        <v>231</v>
      </c>
      <c r="Z55" s="10" t="s">
        <v>85</v>
      </c>
    </row>
    <row r="56" spans="1:26" x14ac:dyDescent="0.4">
      <c r="A56" s="10">
        <v>55</v>
      </c>
      <c r="B56" s="10" t="s">
        <v>86</v>
      </c>
      <c r="C56" s="10" t="s">
        <v>84</v>
      </c>
      <c r="D56" s="10" t="s">
        <v>63</v>
      </c>
      <c r="E56" s="10" t="s">
        <v>81</v>
      </c>
      <c r="F56" s="10" t="s">
        <v>8</v>
      </c>
      <c r="G56" s="10" t="s">
        <v>27</v>
      </c>
      <c r="H56">
        <v>121</v>
      </c>
      <c r="I56">
        <v>119</v>
      </c>
      <c r="J56">
        <v>117</v>
      </c>
      <c r="K56">
        <v>124</v>
      </c>
      <c r="L56">
        <v>101</v>
      </c>
      <c r="M56">
        <v>117</v>
      </c>
      <c r="N56">
        <v>127</v>
      </c>
      <c r="O56">
        <v>118</v>
      </c>
      <c r="P56">
        <v>121</v>
      </c>
      <c r="Q56">
        <v>51</v>
      </c>
      <c r="R56">
        <v>481</v>
      </c>
      <c r="S56">
        <v>483</v>
      </c>
      <c r="T56">
        <v>1116</v>
      </c>
      <c r="U56">
        <v>222</v>
      </c>
      <c r="V56">
        <v>344</v>
      </c>
      <c r="W56">
        <v>117</v>
      </c>
      <c r="X56">
        <v>248</v>
      </c>
      <c r="Y56">
        <v>235</v>
      </c>
      <c r="Z56" s="10" t="s">
        <v>85</v>
      </c>
    </row>
    <row r="57" spans="1:26" x14ac:dyDescent="0.4">
      <c r="A57" s="10">
        <v>56</v>
      </c>
      <c r="B57" s="10" t="s">
        <v>87</v>
      </c>
      <c r="C57" s="10" t="s">
        <v>84</v>
      </c>
      <c r="D57" s="10" t="s">
        <v>65</v>
      </c>
      <c r="E57" s="10" t="s">
        <v>81</v>
      </c>
      <c r="F57" s="10" t="s">
        <v>8</v>
      </c>
      <c r="G57" s="10" t="s">
        <v>27</v>
      </c>
      <c r="H57">
        <v>123</v>
      </c>
      <c r="I57">
        <v>117</v>
      </c>
      <c r="J57">
        <v>117</v>
      </c>
      <c r="K57">
        <v>122</v>
      </c>
      <c r="L57">
        <v>101</v>
      </c>
      <c r="M57">
        <v>118</v>
      </c>
      <c r="N57">
        <v>127</v>
      </c>
      <c r="O57">
        <v>119</v>
      </c>
      <c r="P57">
        <v>121</v>
      </c>
      <c r="Q57">
        <v>51</v>
      </c>
      <c r="R57">
        <v>479</v>
      </c>
      <c r="S57">
        <v>485</v>
      </c>
      <c r="T57">
        <v>1116</v>
      </c>
      <c r="U57">
        <v>224</v>
      </c>
      <c r="V57">
        <v>340</v>
      </c>
      <c r="W57">
        <v>117</v>
      </c>
      <c r="X57">
        <v>248</v>
      </c>
      <c r="Y57">
        <v>237</v>
      </c>
      <c r="Z57" s="10" t="s">
        <v>85</v>
      </c>
    </row>
    <row r="58" spans="1:26" x14ac:dyDescent="0.4">
      <c r="A58" s="10">
        <v>57</v>
      </c>
      <c r="B58" s="10" t="s">
        <v>298</v>
      </c>
      <c r="C58" s="10" t="s">
        <v>84</v>
      </c>
      <c r="D58" s="10" t="s">
        <v>58</v>
      </c>
      <c r="E58" s="10" t="s">
        <v>81</v>
      </c>
      <c r="F58" s="10" t="s">
        <v>8</v>
      </c>
      <c r="G58" s="10" t="s">
        <v>27</v>
      </c>
      <c r="H58">
        <v>119</v>
      </c>
      <c r="I58">
        <v>122</v>
      </c>
      <c r="J58">
        <v>116</v>
      </c>
      <c r="K58">
        <v>126</v>
      </c>
      <c r="L58">
        <v>101</v>
      </c>
      <c r="M58">
        <v>115</v>
      </c>
      <c r="N58">
        <v>128</v>
      </c>
      <c r="O58">
        <v>117</v>
      </c>
      <c r="P58">
        <v>122</v>
      </c>
      <c r="Q58">
        <v>51</v>
      </c>
      <c r="R58">
        <v>483</v>
      </c>
      <c r="S58">
        <v>482</v>
      </c>
      <c r="T58">
        <v>1117</v>
      </c>
      <c r="U58">
        <v>220</v>
      </c>
      <c r="V58">
        <v>349</v>
      </c>
      <c r="W58">
        <v>116</v>
      </c>
      <c r="X58">
        <v>250</v>
      </c>
      <c r="Y58">
        <v>232</v>
      </c>
      <c r="Z58" s="10" t="s">
        <v>85</v>
      </c>
    </row>
    <row r="59" spans="1:26" x14ac:dyDescent="0.4">
      <c r="A59" s="10">
        <v>58</v>
      </c>
      <c r="B59" s="10" t="s">
        <v>714</v>
      </c>
      <c r="C59" s="10" t="s">
        <v>84</v>
      </c>
      <c r="D59" s="10" t="s">
        <v>63</v>
      </c>
      <c r="E59" s="10" t="s">
        <v>81</v>
      </c>
      <c r="F59" s="10" t="s">
        <v>8</v>
      </c>
      <c r="G59" s="10" t="s">
        <v>27</v>
      </c>
      <c r="H59">
        <v>124</v>
      </c>
      <c r="I59">
        <v>119</v>
      </c>
      <c r="J59">
        <v>118</v>
      </c>
      <c r="K59">
        <v>124</v>
      </c>
      <c r="L59">
        <v>101</v>
      </c>
      <c r="M59">
        <v>118</v>
      </c>
      <c r="N59">
        <v>129</v>
      </c>
      <c r="O59">
        <v>120</v>
      </c>
      <c r="P59">
        <v>123</v>
      </c>
      <c r="Q59">
        <v>51</v>
      </c>
      <c r="R59">
        <v>485</v>
      </c>
      <c r="S59">
        <v>490</v>
      </c>
      <c r="T59">
        <v>1127</v>
      </c>
      <c r="U59">
        <v>225</v>
      </c>
      <c r="V59">
        <v>344</v>
      </c>
      <c r="W59">
        <v>118</v>
      </c>
      <c r="X59">
        <v>252</v>
      </c>
      <c r="Y59">
        <v>238</v>
      </c>
      <c r="Z59" s="10" t="s">
        <v>85</v>
      </c>
    </row>
    <row r="60" spans="1:26" x14ac:dyDescent="0.4">
      <c r="A60" s="10">
        <v>59</v>
      </c>
      <c r="B60" s="10" t="s">
        <v>854</v>
      </c>
      <c r="C60" s="10" t="s">
        <v>84</v>
      </c>
      <c r="D60" s="10" t="s">
        <v>65</v>
      </c>
      <c r="E60" s="10" t="s">
        <v>81</v>
      </c>
      <c r="F60" s="10" t="s">
        <v>8</v>
      </c>
      <c r="G60" s="10" t="s">
        <v>27</v>
      </c>
      <c r="H60">
        <v>122</v>
      </c>
      <c r="I60">
        <v>123</v>
      </c>
      <c r="J60">
        <v>117</v>
      </c>
      <c r="K60">
        <v>126</v>
      </c>
      <c r="L60">
        <v>101</v>
      </c>
      <c r="M60">
        <v>117</v>
      </c>
      <c r="N60">
        <v>130</v>
      </c>
      <c r="O60">
        <v>119</v>
      </c>
      <c r="P60">
        <v>122</v>
      </c>
      <c r="Q60">
        <v>51</v>
      </c>
      <c r="R60">
        <v>488</v>
      </c>
      <c r="S60">
        <v>488</v>
      </c>
      <c r="T60">
        <v>1128</v>
      </c>
      <c r="U60">
        <v>223</v>
      </c>
      <c r="V60">
        <v>350</v>
      </c>
      <c r="W60">
        <v>117</v>
      </c>
      <c r="X60">
        <v>252</v>
      </c>
      <c r="Y60">
        <v>236</v>
      </c>
      <c r="Z60" s="10" t="s">
        <v>85</v>
      </c>
    </row>
    <row r="61" spans="1:26" x14ac:dyDescent="0.4">
      <c r="A61" s="10">
        <v>60</v>
      </c>
      <c r="B61" s="10" t="s">
        <v>32</v>
      </c>
      <c r="C61" s="10" t="s">
        <v>88</v>
      </c>
      <c r="D61" s="10" t="s">
        <v>65</v>
      </c>
      <c r="E61" s="10" t="s">
        <v>67</v>
      </c>
      <c r="F61" s="10" t="s">
        <v>8</v>
      </c>
      <c r="G61" s="10" t="s">
        <v>27</v>
      </c>
      <c r="H61">
        <v>115</v>
      </c>
      <c r="I61">
        <v>115</v>
      </c>
      <c r="J61">
        <v>124</v>
      </c>
      <c r="K61">
        <v>123</v>
      </c>
      <c r="L61">
        <v>101</v>
      </c>
      <c r="M61">
        <v>116</v>
      </c>
      <c r="N61">
        <v>116</v>
      </c>
      <c r="O61">
        <v>115</v>
      </c>
      <c r="P61">
        <v>115</v>
      </c>
      <c r="Q61">
        <v>46</v>
      </c>
      <c r="R61">
        <v>477</v>
      </c>
      <c r="S61">
        <v>462</v>
      </c>
      <c r="T61">
        <v>1086</v>
      </c>
      <c r="U61">
        <v>216</v>
      </c>
      <c r="V61">
        <v>339</v>
      </c>
      <c r="W61">
        <v>124</v>
      </c>
      <c r="X61">
        <v>231</v>
      </c>
      <c r="Y61">
        <v>231</v>
      </c>
      <c r="Z61" s="10" t="s">
        <v>89</v>
      </c>
    </row>
    <row r="62" spans="1:26" x14ac:dyDescent="0.4">
      <c r="A62" s="10">
        <v>61</v>
      </c>
      <c r="B62" s="10" t="s">
        <v>86</v>
      </c>
      <c r="C62" s="10" t="s">
        <v>88</v>
      </c>
      <c r="D62" s="10" t="s">
        <v>58</v>
      </c>
      <c r="E62" s="10" t="s">
        <v>67</v>
      </c>
      <c r="F62" s="10" t="s">
        <v>8</v>
      </c>
      <c r="G62" s="10" t="s">
        <v>27</v>
      </c>
      <c r="H62">
        <v>116</v>
      </c>
      <c r="I62">
        <v>118</v>
      </c>
      <c r="J62">
        <v>127</v>
      </c>
      <c r="K62">
        <v>126</v>
      </c>
      <c r="L62">
        <v>101</v>
      </c>
      <c r="M62">
        <v>117</v>
      </c>
      <c r="N62">
        <v>117</v>
      </c>
      <c r="O62">
        <v>116</v>
      </c>
      <c r="P62">
        <v>116</v>
      </c>
      <c r="Q62">
        <v>46</v>
      </c>
      <c r="R62">
        <v>487</v>
      </c>
      <c r="S62">
        <v>466</v>
      </c>
      <c r="T62">
        <v>1100</v>
      </c>
      <c r="U62">
        <v>217</v>
      </c>
      <c r="V62">
        <v>345</v>
      </c>
      <c r="W62">
        <v>127</v>
      </c>
      <c r="X62">
        <v>233</v>
      </c>
      <c r="Y62">
        <v>233</v>
      </c>
      <c r="Z62" s="10" t="s">
        <v>89</v>
      </c>
    </row>
    <row r="63" spans="1:26" x14ac:dyDescent="0.4">
      <c r="A63" s="10">
        <v>62</v>
      </c>
      <c r="B63" s="10" t="s">
        <v>87</v>
      </c>
      <c r="C63" s="10" t="s">
        <v>88</v>
      </c>
      <c r="D63" s="10" t="s">
        <v>58</v>
      </c>
      <c r="E63" s="10" t="s">
        <v>67</v>
      </c>
      <c r="F63" s="10" t="s">
        <v>8</v>
      </c>
      <c r="G63" s="10" t="s">
        <v>27</v>
      </c>
      <c r="H63">
        <v>115</v>
      </c>
      <c r="I63">
        <v>120</v>
      </c>
      <c r="J63">
        <v>126</v>
      </c>
      <c r="K63">
        <v>128</v>
      </c>
      <c r="L63">
        <v>101</v>
      </c>
      <c r="M63">
        <v>115</v>
      </c>
      <c r="N63">
        <v>118</v>
      </c>
      <c r="O63">
        <v>114</v>
      </c>
      <c r="P63">
        <v>117</v>
      </c>
      <c r="Q63">
        <v>46</v>
      </c>
      <c r="R63">
        <v>489</v>
      </c>
      <c r="S63">
        <v>464</v>
      </c>
      <c r="T63">
        <v>1100</v>
      </c>
      <c r="U63">
        <v>216</v>
      </c>
      <c r="V63">
        <v>349</v>
      </c>
      <c r="W63">
        <v>126</v>
      </c>
      <c r="X63">
        <v>235</v>
      </c>
      <c r="Y63">
        <v>229</v>
      </c>
      <c r="Z63" s="10" t="s">
        <v>89</v>
      </c>
    </row>
    <row r="64" spans="1:26" x14ac:dyDescent="0.4">
      <c r="A64" s="10">
        <v>63</v>
      </c>
      <c r="B64" s="10" t="s">
        <v>557</v>
      </c>
      <c r="C64" s="10" t="s">
        <v>88</v>
      </c>
      <c r="D64" s="10" t="s">
        <v>65</v>
      </c>
      <c r="E64" s="10" t="s">
        <v>67</v>
      </c>
      <c r="F64" s="10" t="s">
        <v>8</v>
      </c>
      <c r="G64" s="10" t="s">
        <v>27</v>
      </c>
      <c r="H64">
        <v>116</v>
      </c>
      <c r="I64">
        <v>122</v>
      </c>
      <c r="J64">
        <v>129</v>
      </c>
      <c r="K64">
        <v>129</v>
      </c>
      <c r="L64">
        <v>101</v>
      </c>
      <c r="M64">
        <v>115</v>
      </c>
      <c r="N64">
        <v>120</v>
      </c>
      <c r="O64">
        <v>114</v>
      </c>
      <c r="P64">
        <v>118</v>
      </c>
      <c r="Q64">
        <v>46</v>
      </c>
      <c r="R64">
        <v>496</v>
      </c>
      <c r="S64">
        <v>467</v>
      </c>
      <c r="T64">
        <v>1110</v>
      </c>
      <c r="U64">
        <v>217</v>
      </c>
      <c r="V64">
        <v>352</v>
      </c>
      <c r="W64">
        <v>129</v>
      </c>
      <c r="X64">
        <v>238</v>
      </c>
      <c r="Y64">
        <v>229</v>
      </c>
      <c r="Z64" s="10" t="s">
        <v>89</v>
      </c>
    </row>
    <row r="65" spans="1:26" x14ac:dyDescent="0.4">
      <c r="A65" s="10">
        <v>64</v>
      </c>
      <c r="B65" s="10" t="s">
        <v>693</v>
      </c>
      <c r="C65" s="10" t="s">
        <v>88</v>
      </c>
      <c r="D65" s="10" t="s">
        <v>58</v>
      </c>
      <c r="E65" s="10" t="s">
        <v>67</v>
      </c>
      <c r="F65" s="10" t="s">
        <v>8</v>
      </c>
      <c r="G65" s="10" t="s">
        <v>27</v>
      </c>
      <c r="H65">
        <v>118</v>
      </c>
      <c r="I65">
        <v>120</v>
      </c>
      <c r="J65">
        <v>127</v>
      </c>
      <c r="K65">
        <v>128</v>
      </c>
      <c r="L65">
        <v>101</v>
      </c>
      <c r="M65">
        <v>117</v>
      </c>
      <c r="N65">
        <v>119</v>
      </c>
      <c r="O65">
        <v>116</v>
      </c>
      <c r="P65">
        <v>118</v>
      </c>
      <c r="Q65">
        <v>46</v>
      </c>
      <c r="R65">
        <v>493</v>
      </c>
      <c r="S65">
        <v>470</v>
      </c>
      <c r="T65">
        <v>1110</v>
      </c>
      <c r="U65">
        <v>219</v>
      </c>
      <c r="V65">
        <v>349</v>
      </c>
      <c r="W65">
        <v>127</v>
      </c>
      <c r="X65">
        <v>237</v>
      </c>
      <c r="Y65">
        <v>233</v>
      </c>
      <c r="Z65" s="10" t="s">
        <v>89</v>
      </c>
    </row>
    <row r="66" spans="1:26" x14ac:dyDescent="0.4">
      <c r="A66" s="10">
        <v>65</v>
      </c>
      <c r="B66" s="10" t="s">
        <v>793</v>
      </c>
      <c r="C66" s="10" t="s">
        <v>88</v>
      </c>
      <c r="D66" s="10" t="s">
        <v>63</v>
      </c>
      <c r="E66" s="10" t="s">
        <v>67</v>
      </c>
      <c r="F66" s="10" t="s">
        <v>8</v>
      </c>
      <c r="G66" s="10" t="s">
        <v>27</v>
      </c>
      <c r="H66">
        <v>114</v>
      </c>
      <c r="I66">
        <v>118</v>
      </c>
      <c r="J66">
        <v>130</v>
      </c>
      <c r="K66">
        <v>127</v>
      </c>
      <c r="L66">
        <v>101</v>
      </c>
      <c r="M66">
        <v>115</v>
      </c>
      <c r="N66">
        <v>119</v>
      </c>
      <c r="O66">
        <v>114</v>
      </c>
      <c r="P66">
        <v>118</v>
      </c>
      <c r="Q66">
        <v>46</v>
      </c>
      <c r="R66">
        <v>489</v>
      </c>
      <c r="S66">
        <v>466</v>
      </c>
      <c r="T66">
        <v>1102</v>
      </c>
      <c r="U66">
        <v>215</v>
      </c>
      <c r="V66">
        <v>346</v>
      </c>
      <c r="W66">
        <v>130</v>
      </c>
      <c r="X66">
        <v>237</v>
      </c>
      <c r="Y66">
        <v>229</v>
      </c>
      <c r="Z66" s="10" t="s">
        <v>89</v>
      </c>
    </row>
    <row r="67" spans="1:26" x14ac:dyDescent="0.4">
      <c r="A67" s="10">
        <v>66</v>
      </c>
      <c r="B67" s="10" t="s">
        <v>32</v>
      </c>
      <c r="C67" s="10" t="s">
        <v>90</v>
      </c>
      <c r="D67" s="10" t="s">
        <v>58</v>
      </c>
      <c r="E67" s="10" t="s">
        <v>81</v>
      </c>
      <c r="F67" s="10" t="s">
        <v>8</v>
      </c>
      <c r="G67" s="10" t="s">
        <v>27</v>
      </c>
      <c r="H67">
        <v>127</v>
      </c>
      <c r="I67">
        <v>125</v>
      </c>
      <c r="J67">
        <v>113</v>
      </c>
      <c r="K67">
        <v>120</v>
      </c>
      <c r="L67">
        <v>97</v>
      </c>
      <c r="M67">
        <v>121</v>
      </c>
      <c r="N67">
        <v>115</v>
      </c>
      <c r="O67">
        <v>115</v>
      </c>
      <c r="P67">
        <v>114</v>
      </c>
      <c r="Q67">
        <v>29</v>
      </c>
      <c r="R67">
        <v>485</v>
      </c>
      <c r="S67">
        <v>465</v>
      </c>
      <c r="T67">
        <v>1076</v>
      </c>
      <c r="U67">
        <v>224</v>
      </c>
      <c r="V67">
        <v>342</v>
      </c>
      <c r="W67">
        <v>113</v>
      </c>
      <c r="X67">
        <v>229</v>
      </c>
      <c r="Y67">
        <v>236</v>
      </c>
      <c r="Z67" s="10" t="s">
        <v>91</v>
      </c>
    </row>
    <row r="68" spans="1:26" x14ac:dyDescent="0.4">
      <c r="A68" s="10">
        <v>67</v>
      </c>
      <c r="B68" s="10" t="s">
        <v>86</v>
      </c>
      <c r="C68" s="10" t="s">
        <v>90</v>
      </c>
      <c r="D68" s="10" t="s">
        <v>63</v>
      </c>
      <c r="E68" s="10" t="s">
        <v>81</v>
      </c>
      <c r="F68" s="10" t="s">
        <v>8</v>
      </c>
      <c r="G68" s="10" t="s">
        <v>27</v>
      </c>
      <c r="H68">
        <v>124</v>
      </c>
      <c r="I68">
        <v>124</v>
      </c>
      <c r="J68">
        <v>110</v>
      </c>
      <c r="K68">
        <v>119</v>
      </c>
      <c r="L68">
        <v>97</v>
      </c>
      <c r="M68">
        <v>118</v>
      </c>
      <c r="N68">
        <v>112</v>
      </c>
      <c r="O68">
        <v>112</v>
      </c>
      <c r="P68">
        <v>111</v>
      </c>
      <c r="Q68">
        <v>29</v>
      </c>
      <c r="R68">
        <v>477</v>
      </c>
      <c r="S68">
        <v>453</v>
      </c>
      <c r="T68">
        <v>1056</v>
      </c>
      <c r="U68">
        <v>221</v>
      </c>
      <c r="V68">
        <v>340</v>
      </c>
      <c r="W68">
        <v>110</v>
      </c>
      <c r="X68">
        <v>223</v>
      </c>
      <c r="Y68">
        <v>230</v>
      </c>
      <c r="Z68" s="10" t="s">
        <v>91</v>
      </c>
    </row>
    <row r="69" spans="1:26" x14ac:dyDescent="0.4">
      <c r="A69" s="10">
        <v>68</v>
      </c>
      <c r="B69" s="10" t="s">
        <v>142</v>
      </c>
      <c r="C69" s="10" t="s">
        <v>90</v>
      </c>
      <c r="D69" s="10" t="s">
        <v>65</v>
      </c>
      <c r="E69" s="10" t="s">
        <v>81</v>
      </c>
      <c r="F69" s="10" t="s">
        <v>8</v>
      </c>
      <c r="G69" s="10" t="s">
        <v>27</v>
      </c>
      <c r="H69">
        <v>133</v>
      </c>
      <c r="I69">
        <v>125</v>
      </c>
      <c r="J69">
        <v>114</v>
      </c>
      <c r="K69">
        <v>118</v>
      </c>
      <c r="L69">
        <v>97</v>
      </c>
      <c r="M69">
        <v>123</v>
      </c>
      <c r="N69">
        <v>116</v>
      </c>
      <c r="O69">
        <v>120</v>
      </c>
      <c r="P69">
        <v>115</v>
      </c>
      <c r="Q69">
        <v>29</v>
      </c>
      <c r="R69">
        <v>490</v>
      </c>
      <c r="S69">
        <v>474</v>
      </c>
      <c r="T69">
        <v>1090</v>
      </c>
      <c r="U69">
        <v>230</v>
      </c>
      <c r="V69">
        <v>340</v>
      </c>
      <c r="W69">
        <v>114</v>
      </c>
      <c r="X69">
        <v>231</v>
      </c>
      <c r="Y69">
        <v>243</v>
      </c>
      <c r="Z69" s="10" t="s">
        <v>91</v>
      </c>
    </row>
    <row r="70" spans="1:26" x14ac:dyDescent="0.4">
      <c r="A70" s="10">
        <v>69</v>
      </c>
      <c r="B70" s="10" t="s">
        <v>793</v>
      </c>
      <c r="C70" s="10" t="s">
        <v>90</v>
      </c>
      <c r="D70" s="10" t="s">
        <v>58</v>
      </c>
      <c r="E70" s="10" t="s">
        <v>81</v>
      </c>
      <c r="F70" s="10" t="s">
        <v>8</v>
      </c>
      <c r="G70" s="10" t="s">
        <v>27</v>
      </c>
      <c r="H70">
        <v>135</v>
      </c>
      <c r="I70">
        <v>125</v>
      </c>
      <c r="J70">
        <v>115</v>
      </c>
      <c r="K70">
        <v>118</v>
      </c>
      <c r="L70">
        <v>97</v>
      </c>
      <c r="M70">
        <v>126</v>
      </c>
      <c r="N70">
        <v>117</v>
      </c>
      <c r="O70">
        <v>122</v>
      </c>
      <c r="P70">
        <v>116</v>
      </c>
      <c r="Q70">
        <v>29</v>
      </c>
      <c r="R70">
        <v>493</v>
      </c>
      <c r="S70">
        <v>481</v>
      </c>
      <c r="T70">
        <v>1100</v>
      </c>
      <c r="U70">
        <v>232</v>
      </c>
      <c r="V70">
        <v>340</v>
      </c>
      <c r="W70">
        <v>115</v>
      </c>
      <c r="X70">
        <v>233</v>
      </c>
      <c r="Y70">
        <v>248</v>
      </c>
      <c r="Z70" s="10" t="s">
        <v>91</v>
      </c>
    </row>
    <row r="71" spans="1:26" x14ac:dyDescent="0.4">
      <c r="A71" s="10">
        <v>70</v>
      </c>
      <c r="B71" s="10" t="s">
        <v>875</v>
      </c>
      <c r="C71" s="10" t="s">
        <v>90</v>
      </c>
      <c r="D71" s="10" t="s">
        <v>63</v>
      </c>
      <c r="E71" s="10" t="s">
        <v>81</v>
      </c>
      <c r="F71" s="10" t="s">
        <v>8</v>
      </c>
      <c r="G71" s="10" t="s">
        <v>27</v>
      </c>
      <c r="H71">
        <v>136</v>
      </c>
      <c r="I71">
        <v>125</v>
      </c>
      <c r="J71">
        <v>115</v>
      </c>
      <c r="K71">
        <v>118</v>
      </c>
      <c r="L71">
        <v>97</v>
      </c>
      <c r="M71">
        <v>124</v>
      </c>
      <c r="N71">
        <v>118</v>
      </c>
      <c r="O71">
        <v>122</v>
      </c>
      <c r="P71">
        <v>117</v>
      </c>
      <c r="Q71">
        <v>29</v>
      </c>
      <c r="R71">
        <v>494</v>
      </c>
      <c r="S71">
        <v>481</v>
      </c>
      <c r="T71">
        <v>1101</v>
      </c>
      <c r="U71">
        <v>233</v>
      </c>
      <c r="V71">
        <v>340</v>
      </c>
      <c r="W71">
        <v>115</v>
      </c>
      <c r="X71">
        <v>235</v>
      </c>
      <c r="Y71">
        <v>246</v>
      </c>
      <c r="Z71" s="10" t="s">
        <v>91</v>
      </c>
    </row>
    <row r="72" spans="1:26" x14ac:dyDescent="0.4">
      <c r="A72" s="10">
        <v>71</v>
      </c>
      <c r="B72" s="10" t="s">
        <v>32</v>
      </c>
      <c r="C72" s="10" t="s">
        <v>90</v>
      </c>
      <c r="D72" s="10" t="s">
        <v>58</v>
      </c>
      <c r="E72" s="10" t="s">
        <v>81</v>
      </c>
      <c r="F72" s="10" t="s">
        <v>8</v>
      </c>
      <c r="G72" s="10" t="s">
        <v>92</v>
      </c>
      <c r="H72">
        <v>128</v>
      </c>
      <c r="I72">
        <v>128</v>
      </c>
      <c r="J72">
        <v>112</v>
      </c>
      <c r="K72">
        <v>123</v>
      </c>
      <c r="L72">
        <v>97</v>
      </c>
      <c r="M72">
        <v>120</v>
      </c>
      <c r="N72">
        <v>114</v>
      </c>
      <c r="O72">
        <v>114</v>
      </c>
      <c r="P72">
        <v>113</v>
      </c>
      <c r="Q72">
        <v>29</v>
      </c>
      <c r="R72">
        <v>491</v>
      </c>
      <c r="S72">
        <v>461</v>
      </c>
      <c r="T72">
        <v>1078</v>
      </c>
      <c r="U72">
        <v>225</v>
      </c>
      <c r="V72">
        <v>348</v>
      </c>
      <c r="W72">
        <v>112</v>
      </c>
      <c r="X72">
        <v>227</v>
      </c>
      <c r="Y72">
        <v>234</v>
      </c>
      <c r="Z72" s="10" t="s">
        <v>91</v>
      </c>
    </row>
    <row r="73" spans="1:26" x14ac:dyDescent="0.4">
      <c r="A73" s="10">
        <v>72</v>
      </c>
      <c r="B73" s="10" t="s">
        <v>32</v>
      </c>
      <c r="C73" s="10" t="s">
        <v>93</v>
      </c>
      <c r="D73" s="10" t="s">
        <v>65</v>
      </c>
      <c r="E73" s="10" t="s">
        <v>81</v>
      </c>
      <c r="F73" s="10" t="s">
        <v>8</v>
      </c>
      <c r="G73" s="10" t="s">
        <v>27</v>
      </c>
      <c r="H73">
        <v>113</v>
      </c>
      <c r="I73">
        <v>115</v>
      </c>
      <c r="J73">
        <v>111</v>
      </c>
      <c r="K73">
        <v>120</v>
      </c>
      <c r="L73">
        <v>99</v>
      </c>
      <c r="M73">
        <v>113</v>
      </c>
      <c r="N73">
        <v>120</v>
      </c>
      <c r="O73">
        <v>114</v>
      </c>
      <c r="P73">
        <v>114</v>
      </c>
      <c r="Q73">
        <v>41</v>
      </c>
      <c r="R73">
        <v>459</v>
      </c>
      <c r="S73">
        <v>461</v>
      </c>
      <c r="T73">
        <v>1060</v>
      </c>
      <c r="U73">
        <v>212</v>
      </c>
      <c r="V73">
        <v>334</v>
      </c>
      <c r="W73">
        <v>111</v>
      </c>
      <c r="X73">
        <v>234</v>
      </c>
      <c r="Y73">
        <v>227</v>
      </c>
      <c r="Z73" s="10" t="s">
        <v>94</v>
      </c>
    </row>
    <row r="74" spans="1:26" x14ac:dyDescent="0.4">
      <c r="A74" s="10">
        <v>73</v>
      </c>
      <c r="B74" s="10" t="s">
        <v>95</v>
      </c>
      <c r="C74" s="10" t="s">
        <v>93</v>
      </c>
      <c r="D74" s="10" t="s">
        <v>58</v>
      </c>
      <c r="E74" s="10" t="s">
        <v>81</v>
      </c>
      <c r="F74" s="10" t="s">
        <v>8</v>
      </c>
      <c r="G74" s="10" t="s">
        <v>27</v>
      </c>
      <c r="H74">
        <v>116</v>
      </c>
      <c r="I74">
        <v>118</v>
      </c>
      <c r="J74">
        <v>113</v>
      </c>
      <c r="K74">
        <v>121</v>
      </c>
      <c r="L74">
        <v>99</v>
      </c>
      <c r="M74">
        <v>114</v>
      </c>
      <c r="N74">
        <v>121</v>
      </c>
      <c r="O74">
        <v>117</v>
      </c>
      <c r="P74">
        <v>115</v>
      </c>
      <c r="Q74">
        <v>41</v>
      </c>
      <c r="R74">
        <v>468</v>
      </c>
      <c r="S74">
        <v>467</v>
      </c>
      <c r="T74">
        <v>1075</v>
      </c>
      <c r="U74">
        <v>215</v>
      </c>
      <c r="V74">
        <v>338</v>
      </c>
      <c r="W74">
        <v>113</v>
      </c>
      <c r="X74">
        <v>236</v>
      </c>
      <c r="Y74">
        <v>231</v>
      </c>
      <c r="Z74" s="10" t="s">
        <v>94</v>
      </c>
    </row>
    <row r="75" spans="1:26" x14ac:dyDescent="0.4">
      <c r="A75" s="10">
        <v>74</v>
      </c>
      <c r="B75" s="10" t="s">
        <v>298</v>
      </c>
      <c r="C75" s="10" t="s">
        <v>93</v>
      </c>
      <c r="D75" s="10" t="s">
        <v>63</v>
      </c>
      <c r="E75" s="10" t="s">
        <v>81</v>
      </c>
      <c r="F75" s="10" t="s">
        <v>8</v>
      </c>
      <c r="G75" s="10" t="s">
        <v>27</v>
      </c>
      <c r="H75">
        <v>114</v>
      </c>
      <c r="I75">
        <v>119</v>
      </c>
      <c r="J75">
        <v>111</v>
      </c>
      <c r="K75">
        <v>122</v>
      </c>
      <c r="L75">
        <v>99</v>
      </c>
      <c r="M75">
        <v>113</v>
      </c>
      <c r="N75">
        <v>123</v>
      </c>
      <c r="O75">
        <v>116</v>
      </c>
      <c r="P75">
        <v>117</v>
      </c>
      <c r="Q75">
        <v>41</v>
      </c>
      <c r="R75">
        <v>466</v>
      </c>
      <c r="S75">
        <v>469</v>
      </c>
      <c r="T75">
        <v>1075</v>
      </c>
      <c r="U75">
        <v>213</v>
      </c>
      <c r="V75">
        <v>340</v>
      </c>
      <c r="W75">
        <v>111</v>
      </c>
      <c r="X75">
        <v>240</v>
      </c>
      <c r="Y75">
        <v>229</v>
      </c>
      <c r="Z75" s="10" t="s">
        <v>94</v>
      </c>
    </row>
    <row r="76" spans="1:26" x14ac:dyDescent="0.4">
      <c r="A76" s="10">
        <v>75</v>
      </c>
      <c r="B76" s="10" t="s">
        <v>574</v>
      </c>
      <c r="C76" s="10" t="s">
        <v>93</v>
      </c>
      <c r="D76" s="10" t="s">
        <v>65</v>
      </c>
      <c r="E76" s="10" t="s">
        <v>81</v>
      </c>
      <c r="F76" s="10" t="s">
        <v>8</v>
      </c>
      <c r="G76" s="10" t="s">
        <v>27</v>
      </c>
      <c r="H76">
        <v>119</v>
      </c>
      <c r="I76">
        <v>118</v>
      </c>
      <c r="J76">
        <v>114</v>
      </c>
      <c r="K76">
        <v>121</v>
      </c>
      <c r="L76">
        <v>99</v>
      </c>
      <c r="M76">
        <v>115</v>
      </c>
      <c r="N76">
        <v>123</v>
      </c>
      <c r="O76">
        <v>118</v>
      </c>
      <c r="P76">
        <v>117</v>
      </c>
      <c r="Q76">
        <v>41</v>
      </c>
      <c r="R76">
        <v>472</v>
      </c>
      <c r="S76">
        <v>473</v>
      </c>
      <c r="T76">
        <v>1085</v>
      </c>
      <c r="U76">
        <v>218</v>
      </c>
      <c r="V76">
        <v>338</v>
      </c>
      <c r="W76">
        <v>114</v>
      </c>
      <c r="X76">
        <v>240</v>
      </c>
      <c r="Y76">
        <v>233</v>
      </c>
      <c r="Z76" s="10" t="s">
        <v>94</v>
      </c>
    </row>
    <row r="77" spans="1:26" x14ac:dyDescent="0.4">
      <c r="A77" s="10">
        <v>76</v>
      </c>
      <c r="B77" s="10" t="s">
        <v>32</v>
      </c>
      <c r="C77" s="10" t="s">
        <v>96</v>
      </c>
      <c r="D77" s="10" t="s">
        <v>65</v>
      </c>
      <c r="E77" s="10" t="s">
        <v>81</v>
      </c>
      <c r="F77" s="10" t="s">
        <v>8</v>
      </c>
      <c r="G77" s="10" t="s">
        <v>27</v>
      </c>
      <c r="H77">
        <v>117</v>
      </c>
      <c r="I77">
        <v>122</v>
      </c>
      <c r="J77">
        <v>113</v>
      </c>
      <c r="K77">
        <v>117</v>
      </c>
      <c r="L77">
        <v>101</v>
      </c>
      <c r="M77">
        <v>115</v>
      </c>
      <c r="N77">
        <v>115</v>
      </c>
      <c r="O77">
        <v>115</v>
      </c>
      <c r="P77">
        <v>115</v>
      </c>
      <c r="Q77">
        <v>31</v>
      </c>
      <c r="R77">
        <v>469</v>
      </c>
      <c r="S77">
        <v>460</v>
      </c>
      <c r="T77">
        <v>1061</v>
      </c>
      <c r="U77">
        <v>218</v>
      </c>
      <c r="V77">
        <v>340</v>
      </c>
      <c r="W77">
        <v>113</v>
      </c>
      <c r="X77">
        <v>230</v>
      </c>
      <c r="Y77">
        <v>230</v>
      </c>
      <c r="Z77" s="10" t="s">
        <v>97</v>
      </c>
    </row>
    <row r="78" spans="1:26" x14ac:dyDescent="0.4">
      <c r="A78" s="10">
        <v>77</v>
      </c>
      <c r="B78" s="10" t="s">
        <v>748</v>
      </c>
      <c r="C78" s="10" t="s">
        <v>96</v>
      </c>
      <c r="D78" s="10" t="s">
        <v>58</v>
      </c>
      <c r="E78" s="10" t="s">
        <v>81</v>
      </c>
      <c r="F78" s="10" t="s">
        <v>8</v>
      </c>
      <c r="G78" s="10" t="s">
        <v>27</v>
      </c>
      <c r="H78">
        <v>120</v>
      </c>
      <c r="I78">
        <v>125</v>
      </c>
      <c r="J78">
        <v>114</v>
      </c>
      <c r="K78">
        <v>118</v>
      </c>
      <c r="L78">
        <v>101</v>
      </c>
      <c r="M78">
        <v>116</v>
      </c>
      <c r="N78">
        <v>116</v>
      </c>
      <c r="O78">
        <v>118</v>
      </c>
      <c r="P78">
        <v>116</v>
      </c>
      <c r="Q78">
        <v>31</v>
      </c>
      <c r="R78">
        <v>477</v>
      </c>
      <c r="S78">
        <v>466</v>
      </c>
      <c r="T78">
        <v>1075</v>
      </c>
      <c r="U78">
        <v>221</v>
      </c>
      <c r="V78">
        <v>344</v>
      </c>
      <c r="W78">
        <v>114</v>
      </c>
      <c r="X78">
        <v>232</v>
      </c>
      <c r="Y78">
        <v>234</v>
      </c>
      <c r="Z78" s="10" t="s">
        <v>97</v>
      </c>
    </row>
    <row r="79" spans="1:26" x14ac:dyDescent="0.4">
      <c r="A79" s="10">
        <v>78</v>
      </c>
      <c r="B79" s="10" t="s">
        <v>32</v>
      </c>
      <c r="C79" s="10" t="s">
        <v>98</v>
      </c>
      <c r="D79" s="10" t="s">
        <v>65</v>
      </c>
      <c r="E79" s="10" t="s">
        <v>59</v>
      </c>
      <c r="F79" s="10" t="s">
        <v>8</v>
      </c>
      <c r="G79" s="10" t="s">
        <v>27</v>
      </c>
      <c r="H79">
        <v>113</v>
      </c>
      <c r="I79">
        <v>116</v>
      </c>
      <c r="J79">
        <v>112</v>
      </c>
      <c r="K79">
        <v>123</v>
      </c>
      <c r="L79">
        <v>101</v>
      </c>
      <c r="M79">
        <v>119</v>
      </c>
      <c r="N79">
        <v>113</v>
      </c>
      <c r="O79">
        <v>114</v>
      </c>
      <c r="P79">
        <v>114</v>
      </c>
      <c r="Q79">
        <v>31</v>
      </c>
      <c r="R79">
        <v>464</v>
      </c>
      <c r="S79">
        <v>460</v>
      </c>
      <c r="T79">
        <v>1056</v>
      </c>
      <c r="U79">
        <v>214</v>
      </c>
      <c r="V79">
        <v>340</v>
      </c>
      <c r="W79">
        <v>112</v>
      </c>
      <c r="X79">
        <v>227</v>
      </c>
      <c r="Y79">
        <v>233</v>
      </c>
      <c r="Z79" s="10" t="s">
        <v>99</v>
      </c>
    </row>
    <row r="80" spans="1:26" x14ac:dyDescent="0.4">
      <c r="A80" s="10">
        <v>79</v>
      </c>
      <c r="B80" s="10" t="s">
        <v>903</v>
      </c>
      <c r="C80" s="10" t="s">
        <v>905</v>
      </c>
      <c r="D80" s="10" t="s">
        <v>63</v>
      </c>
      <c r="E80" s="10" t="s">
        <v>67</v>
      </c>
      <c r="F80" s="10" t="s">
        <v>8</v>
      </c>
      <c r="G80" s="10" t="s">
        <v>27</v>
      </c>
      <c r="H80">
        <v>122</v>
      </c>
      <c r="I80">
        <v>124</v>
      </c>
      <c r="J80">
        <v>130</v>
      </c>
      <c r="K80">
        <v>124</v>
      </c>
      <c r="L80">
        <v>101</v>
      </c>
      <c r="M80">
        <v>114</v>
      </c>
      <c r="N80">
        <v>119</v>
      </c>
      <c r="O80">
        <v>114</v>
      </c>
      <c r="P80">
        <v>114</v>
      </c>
      <c r="Q80">
        <v>31</v>
      </c>
      <c r="R80">
        <v>500</v>
      </c>
      <c r="S80">
        <v>461</v>
      </c>
      <c r="T80">
        <v>1093</v>
      </c>
      <c r="U80">
        <v>223</v>
      </c>
      <c r="V80">
        <v>349</v>
      </c>
      <c r="W80">
        <v>130</v>
      </c>
      <c r="X80">
        <v>233</v>
      </c>
      <c r="Y80">
        <v>228</v>
      </c>
      <c r="Z80" s="10" t="s">
        <v>906</v>
      </c>
    </row>
    <row r="81" spans="1:26" x14ac:dyDescent="0.4">
      <c r="A81" s="10">
        <v>80</v>
      </c>
      <c r="B81" s="10" t="s">
        <v>903</v>
      </c>
      <c r="C81" s="10" t="s">
        <v>908</v>
      </c>
      <c r="D81" s="10" t="s">
        <v>63</v>
      </c>
      <c r="E81" s="10" t="s">
        <v>59</v>
      </c>
      <c r="F81" s="10" t="s">
        <v>8</v>
      </c>
      <c r="G81" s="10" t="s">
        <v>27</v>
      </c>
      <c r="H81">
        <v>116</v>
      </c>
      <c r="I81">
        <v>111</v>
      </c>
      <c r="J81">
        <v>111</v>
      </c>
      <c r="K81">
        <v>113</v>
      </c>
      <c r="L81">
        <v>97</v>
      </c>
      <c r="M81">
        <v>124</v>
      </c>
      <c r="N81">
        <v>111</v>
      </c>
      <c r="O81">
        <v>130</v>
      </c>
      <c r="P81">
        <v>128</v>
      </c>
      <c r="Q81">
        <v>26</v>
      </c>
      <c r="R81">
        <v>451</v>
      </c>
      <c r="S81">
        <v>493</v>
      </c>
      <c r="T81">
        <v>1067</v>
      </c>
      <c r="U81">
        <v>213</v>
      </c>
      <c r="V81">
        <v>321</v>
      </c>
      <c r="W81">
        <v>111</v>
      </c>
      <c r="X81">
        <v>239</v>
      </c>
      <c r="Y81">
        <v>254</v>
      </c>
      <c r="Z81" s="10" t="s">
        <v>909</v>
      </c>
    </row>
    <row r="82" spans="1:26" x14ac:dyDescent="0.4">
      <c r="A82" s="10">
        <v>81</v>
      </c>
      <c r="B82" s="10" t="s">
        <v>32</v>
      </c>
      <c r="C82" s="10" t="s">
        <v>100</v>
      </c>
      <c r="D82" s="10" t="s">
        <v>65</v>
      </c>
      <c r="E82" s="10" t="s">
        <v>67</v>
      </c>
      <c r="F82" s="10" t="s">
        <v>6</v>
      </c>
      <c r="G82" s="10" t="s">
        <v>27</v>
      </c>
      <c r="H82">
        <v>113</v>
      </c>
      <c r="I82">
        <v>115</v>
      </c>
      <c r="J82">
        <v>127</v>
      </c>
      <c r="K82">
        <v>129</v>
      </c>
      <c r="L82">
        <v>101</v>
      </c>
      <c r="M82">
        <v>113</v>
      </c>
      <c r="N82">
        <v>117</v>
      </c>
      <c r="O82">
        <v>113</v>
      </c>
      <c r="P82">
        <v>115</v>
      </c>
      <c r="Q82">
        <v>41</v>
      </c>
      <c r="R82">
        <v>484</v>
      </c>
      <c r="S82">
        <v>458</v>
      </c>
      <c r="T82">
        <v>1084</v>
      </c>
      <c r="U82">
        <v>214</v>
      </c>
      <c r="V82">
        <v>345</v>
      </c>
      <c r="W82">
        <v>127</v>
      </c>
      <c r="X82">
        <v>232</v>
      </c>
      <c r="Y82">
        <v>226</v>
      </c>
      <c r="Z82" s="10" t="s">
        <v>101</v>
      </c>
    </row>
    <row r="83" spans="1:26" x14ac:dyDescent="0.4">
      <c r="A83" s="10">
        <v>82</v>
      </c>
      <c r="B83" s="10" t="s">
        <v>61</v>
      </c>
      <c r="C83" s="10" t="s">
        <v>100</v>
      </c>
      <c r="D83" s="10" t="s">
        <v>65</v>
      </c>
      <c r="E83" s="10" t="s">
        <v>67</v>
      </c>
      <c r="F83" s="10" t="s">
        <v>6</v>
      </c>
      <c r="G83" s="10" t="s">
        <v>27</v>
      </c>
      <c r="H83">
        <v>114</v>
      </c>
      <c r="I83">
        <v>118</v>
      </c>
      <c r="J83">
        <v>130</v>
      </c>
      <c r="K83">
        <v>132</v>
      </c>
      <c r="L83">
        <v>101</v>
      </c>
      <c r="M83">
        <v>114</v>
      </c>
      <c r="N83">
        <v>118</v>
      </c>
      <c r="O83">
        <v>114</v>
      </c>
      <c r="P83">
        <v>116</v>
      </c>
      <c r="Q83">
        <v>41</v>
      </c>
      <c r="R83">
        <v>494</v>
      </c>
      <c r="S83">
        <v>462</v>
      </c>
      <c r="T83">
        <v>1098</v>
      </c>
      <c r="U83">
        <v>215</v>
      </c>
      <c r="V83">
        <v>351</v>
      </c>
      <c r="W83">
        <v>130</v>
      </c>
      <c r="X83">
        <v>234</v>
      </c>
      <c r="Y83">
        <v>228</v>
      </c>
      <c r="Z83" s="10" t="s">
        <v>101</v>
      </c>
    </row>
    <row r="84" spans="1:26" x14ac:dyDescent="0.4">
      <c r="A84" s="10">
        <v>83</v>
      </c>
      <c r="B84" s="10" t="s">
        <v>62</v>
      </c>
      <c r="C84" s="10" t="s">
        <v>100</v>
      </c>
      <c r="D84" s="10" t="s">
        <v>58</v>
      </c>
      <c r="E84" s="10" t="s">
        <v>67</v>
      </c>
      <c r="F84" s="10" t="s">
        <v>6</v>
      </c>
      <c r="G84" s="10" t="s">
        <v>27</v>
      </c>
      <c r="H84">
        <v>112</v>
      </c>
      <c r="I84">
        <v>118</v>
      </c>
      <c r="J84">
        <v>132</v>
      </c>
      <c r="K84">
        <v>132</v>
      </c>
      <c r="L84">
        <v>101</v>
      </c>
      <c r="M84">
        <v>112</v>
      </c>
      <c r="N84">
        <v>120</v>
      </c>
      <c r="O84">
        <v>112</v>
      </c>
      <c r="P84">
        <v>118</v>
      </c>
      <c r="Q84">
        <v>41</v>
      </c>
      <c r="R84">
        <v>494</v>
      </c>
      <c r="S84">
        <v>462</v>
      </c>
      <c r="T84">
        <v>1098</v>
      </c>
      <c r="U84">
        <v>213</v>
      </c>
      <c r="V84">
        <v>351</v>
      </c>
      <c r="W84">
        <v>132</v>
      </c>
      <c r="X84">
        <v>238</v>
      </c>
      <c r="Y84">
        <v>224</v>
      </c>
      <c r="Z84" s="10" t="s">
        <v>101</v>
      </c>
    </row>
    <row r="85" spans="1:26" x14ac:dyDescent="0.4">
      <c r="A85" s="10">
        <v>84</v>
      </c>
      <c r="B85" s="10" t="s">
        <v>64</v>
      </c>
      <c r="C85" s="10" t="s">
        <v>100</v>
      </c>
      <c r="D85" s="10" t="s">
        <v>63</v>
      </c>
      <c r="E85" s="10" t="s">
        <v>67</v>
      </c>
      <c r="F85" s="10" t="s">
        <v>6</v>
      </c>
      <c r="G85" s="10" t="s">
        <v>27</v>
      </c>
      <c r="H85">
        <v>115</v>
      </c>
      <c r="I85">
        <v>120</v>
      </c>
      <c r="J85">
        <v>133</v>
      </c>
      <c r="K85">
        <v>134</v>
      </c>
      <c r="L85">
        <v>101</v>
      </c>
      <c r="M85">
        <v>115</v>
      </c>
      <c r="N85">
        <v>118</v>
      </c>
      <c r="O85">
        <v>115</v>
      </c>
      <c r="P85">
        <v>116</v>
      </c>
      <c r="Q85">
        <v>41</v>
      </c>
      <c r="R85">
        <v>502</v>
      </c>
      <c r="S85">
        <v>464</v>
      </c>
      <c r="T85">
        <v>1108</v>
      </c>
      <c r="U85">
        <v>216</v>
      </c>
      <c r="V85">
        <v>355</v>
      </c>
      <c r="W85">
        <v>133</v>
      </c>
      <c r="X85">
        <v>234</v>
      </c>
      <c r="Y85">
        <v>230</v>
      </c>
      <c r="Z85" s="10" t="s">
        <v>101</v>
      </c>
    </row>
    <row r="86" spans="1:26" x14ac:dyDescent="0.4">
      <c r="A86" s="10">
        <v>85</v>
      </c>
      <c r="B86" s="10" t="s">
        <v>635</v>
      </c>
      <c r="C86" s="10" t="s">
        <v>100</v>
      </c>
      <c r="D86" s="10" t="s">
        <v>65</v>
      </c>
      <c r="E86" s="10" t="s">
        <v>67</v>
      </c>
      <c r="F86" s="10" t="s">
        <v>6</v>
      </c>
      <c r="G86" s="10" t="s">
        <v>27</v>
      </c>
      <c r="H86">
        <v>115</v>
      </c>
      <c r="I86">
        <v>121</v>
      </c>
      <c r="J86">
        <v>131</v>
      </c>
      <c r="K86">
        <v>134</v>
      </c>
      <c r="L86">
        <v>101</v>
      </c>
      <c r="M86">
        <v>114</v>
      </c>
      <c r="N86">
        <v>120</v>
      </c>
      <c r="O86">
        <v>114</v>
      </c>
      <c r="P86">
        <v>118</v>
      </c>
      <c r="Q86">
        <v>41</v>
      </c>
      <c r="R86">
        <v>501</v>
      </c>
      <c r="S86">
        <v>466</v>
      </c>
      <c r="T86">
        <v>1109</v>
      </c>
      <c r="U86">
        <v>216</v>
      </c>
      <c r="V86">
        <v>356</v>
      </c>
      <c r="W86">
        <v>131</v>
      </c>
      <c r="X86">
        <v>238</v>
      </c>
      <c r="Y86">
        <v>228</v>
      </c>
      <c r="Z86" s="10" t="s">
        <v>101</v>
      </c>
    </row>
    <row r="87" spans="1:26" x14ac:dyDescent="0.4">
      <c r="A87" s="10">
        <v>86</v>
      </c>
      <c r="B87" s="10" t="s">
        <v>693</v>
      </c>
      <c r="C87" s="10" t="s">
        <v>100</v>
      </c>
      <c r="D87" s="10" t="s">
        <v>58</v>
      </c>
      <c r="E87" s="10" t="s">
        <v>67</v>
      </c>
      <c r="F87" s="10" t="s">
        <v>6</v>
      </c>
      <c r="G87" s="10" t="s">
        <v>27</v>
      </c>
      <c r="H87">
        <v>116</v>
      </c>
      <c r="I87">
        <v>122</v>
      </c>
      <c r="J87">
        <v>135</v>
      </c>
      <c r="K87">
        <v>135</v>
      </c>
      <c r="L87">
        <v>101</v>
      </c>
      <c r="M87">
        <v>116</v>
      </c>
      <c r="N87">
        <v>119</v>
      </c>
      <c r="O87">
        <v>116</v>
      </c>
      <c r="P87">
        <v>117</v>
      </c>
      <c r="Q87">
        <v>41</v>
      </c>
      <c r="R87">
        <v>508</v>
      </c>
      <c r="S87">
        <v>468</v>
      </c>
      <c r="T87">
        <v>1118</v>
      </c>
      <c r="U87">
        <v>217</v>
      </c>
      <c r="V87">
        <v>358</v>
      </c>
      <c r="W87">
        <v>135</v>
      </c>
      <c r="X87">
        <v>236</v>
      </c>
      <c r="Y87">
        <v>232</v>
      </c>
      <c r="Z87" s="10" t="s">
        <v>101</v>
      </c>
    </row>
    <row r="88" spans="1:26" x14ac:dyDescent="0.4">
      <c r="A88" s="10">
        <v>87</v>
      </c>
      <c r="B88" s="10" t="s">
        <v>756</v>
      </c>
      <c r="C88" s="10" t="s">
        <v>100</v>
      </c>
      <c r="D88" s="10" t="s">
        <v>63</v>
      </c>
      <c r="E88" s="10" t="s">
        <v>67</v>
      </c>
      <c r="F88" s="10" t="s">
        <v>6</v>
      </c>
      <c r="G88" s="10" t="s">
        <v>27</v>
      </c>
      <c r="H88">
        <v>116</v>
      </c>
      <c r="I88">
        <v>121</v>
      </c>
      <c r="J88">
        <v>134</v>
      </c>
      <c r="K88">
        <v>135</v>
      </c>
      <c r="L88">
        <v>101</v>
      </c>
      <c r="M88">
        <v>117</v>
      </c>
      <c r="N88">
        <v>120</v>
      </c>
      <c r="O88">
        <v>117</v>
      </c>
      <c r="P88">
        <v>117</v>
      </c>
      <c r="Q88">
        <v>41</v>
      </c>
      <c r="R88">
        <v>506</v>
      </c>
      <c r="S88">
        <v>471</v>
      </c>
      <c r="T88">
        <v>1119</v>
      </c>
      <c r="U88">
        <v>217</v>
      </c>
      <c r="V88">
        <v>357</v>
      </c>
      <c r="W88">
        <v>134</v>
      </c>
      <c r="X88">
        <v>237</v>
      </c>
      <c r="Y88">
        <v>234</v>
      </c>
      <c r="Z88" s="10" t="s">
        <v>101</v>
      </c>
    </row>
    <row r="89" spans="1:26" x14ac:dyDescent="0.4">
      <c r="A89" s="10">
        <v>88</v>
      </c>
      <c r="B89" s="10" t="s">
        <v>811</v>
      </c>
      <c r="C89" s="10" t="s">
        <v>100</v>
      </c>
      <c r="D89" s="10" t="s">
        <v>65</v>
      </c>
      <c r="E89" s="10" t="s">
        <v>67</v>
      </c>
      <c r="F89" s="10" t="s">
        <v>6</v>
      </c>
      <c r="G89" s="10" t="s">
        <v>27</v>
      </c>
      <c r="H89">
        <v>116</v>
      </c>
      <c r="I89">
        <v>123</v>
      </c>
      <c r="J89">
        <v>132</v>
      </c>
      <c r="K89">
        <v>136</v>
      </c>
      <c r="L89">
        <v>101</v>
      </c>
      <c r="M89">
        <v>115</v>
      </c>
      <c r="N89">
        <v>122</v>
      </c>
      <c r="O89">
        <v>115</v>
      </c>
      <c r="P89">
        <v>119</v>
      </c>
      <c r="Q89">
        <v>41</v>
      </c>
      <c r="R89">
        <v>507</v>
      </c>
      <c r="S89">
        <v>471</v>
      </c>
      <c r="T89">
        <v>1120</v>
      </c>
      <c r="U89">
        <v>217</v>
      </c>
      <c r="V89">
        <v>360</v>
      </c>
      <c r="W89">
        <v>132</v>
      </c>
      <c r="X89">
        <v>241</v>
      </c>
      <c r="Y89">
        <v>230</v>
      </c>
      <c r="Z89" s="10" t="s">
        <v>101</v>
      </c>
    </row>
    <row r="90" spans="1:26" x14ac:dyDescent="0.4">
      <c r="A90" s="10">
        <v>89</v>
      </c>
      <c r="B90" s="10" t="s">
        <v>865</v>
      </c>
      <c r="C90" s="10" t="s">
        <v>100</v>
      </c>
      <c r="D90" s="10" t="s">
        <v>58</v>
      </c>
      <c r="E90" s="10" t="s">
        <v>67</v>
      </c>
      <c r="F90" s="10" t="s">
        <v>6</v>
      </c>
      <c r="G90" s="10" t="s">
        <v>27</v>
      </c>
      <c r="H90">
        <v>117</v>
      </c>
      <c r="I90">
        <v>123</v>
      </c>
      <c r="J90">
        <v>137</v>
      </c>
      <c r="K90">
        <v>136</v>
      </c>
      <c r="L90">
        <v>101</v>
      </c>
      <c r="M90">
        <v>117</v>
      </c>
      <c r="N90">
        <v>121</v>
      </c>
      <c r="O90">
        <v>117</v>
      </c>
      <c r="P90">
        <v>118</v>
      </c>
      <c r="Q90">
        <v>41</v>
      </c>
      <c r="R90">
        <v>513</v>
      </c>
      <c r="S90">
        <v>473</v>
      </c>
      <c r="T90">
        <v>1128</v>
      </c>
      <c r="U90">
        <v>218</v>
      </c>
      <c r="V90">
        <v>360</v>
      </c>
      <c r="W90">
        <v>137</v>
      </c>
      <c r="X90">
        <v>239</v>
      </c>
      <c r="Y90">
        <v>234</v>
      </c>
      <c r="Z90" s="10" t="s">
        <v>101</v>
      </c>
    </row>
    <row r="91" spans="1:26" x14ac:dyDescent="0.4">
      <c r="A91" s="10">
        <v>90</v>
      </c>
      <c r="B91" s="10" t="s">
        <v>964</v>
      </c>
      <c r="C91" s="10" t="s">
        <v>100</v>
      </c>
      <c r="D91" s="10" t="s">
        <v>63</v>
      </c>
      <c r="E91" s="10" t="s">
        <v>67</v>
      </c>
      <c r="F91" s="10" t="s">
        <v>6</v>
      </c>
      <c r="G91" s="10" t="s">
        <v>27</v>
      </c>
      <c r="H91">
        <v>117</v>
      </c>
      <c r="I91">
        <v>125</v>
      </c>
      <c r="J91">
        <v>133</v>
      </c>
      <c r="K91">
        <v>138</v>
      </c>
      <c r="L91">
        <v>101</v>
      </c>
      <c r="M91">
        <v>116</v>
      </c>
      <c r="N91">
        <v>123</v>
      </c>
      <c r="O91">
        <v>116</v>
      </c>
      <c r="P91">
        <v>120</v>
      </c>
      <c r="Q91">
        <v>41</v>
      </c>
      <c r="R91">
        <v>513</v>
      </c>
      <c r="S91">
        <v>475</v>
      </c>
      <c r="T91">
        <v>1130</v>
      </c>
      <c r="U91">
        <v>218</v>
      </c>
      <c r="V91">
        <v>364</v>
      </c>
      <c r="W91">
        <v>133</v>
      </c>
      <c r="X91">
        <v>243</v>
      </c>
      <c r="Y91">
        <v>232</v>
      </c>
      <c r="Z91" s="10" t="s">
        <v>101</v>
      </c>
    </row>
    <row r="92" spans="1:26" x14ac:dyDescent="0.4">
      <c r="A92" s="10">
        <v>91</v>
      </c>
      <c r="B92" s="10" t="s">
        <v>32</v>
      </c>
      <c r="C92" s="10" t="s">
        <v>102</v>
      </c>
      <c r="D92" s="10" t="s">
        <v>63</v>
      </c>
      <c r="E92" s="10" t="s">
        <v>59</v>
      </c>
      <c r="F92" s="10" t="s">
        <v>6</v>
      </c>
      <c r="G92" s="10" t="s">
        <v>27</v>
      </c>
      <c r="H92">
        <v>126</v>
      </c>
      <c r="I92">
        <v>121</v>
      </c>
      <c r="J92">
        <v>114</v>
      </c>
      <c r="K92">
        <v>119</v>
      </c>
      <c r="L92">
        <v>101</v>
      </c>
      <c r="M92">
        <v>129</v>
      </c>
      <c r="N92">
        <v>117</v>
      </c>
      <c r="O92">
        <v>116</v>
      </c>
      <c r="P92">
        <v>115</v>
      </c>
      <c r="Q92">
        <v>36</v>
      </c>
      <c r="R92">
        <v>480</v>
      </c>
      <c r="S92">
        <v>477</v>
      </c>
      <c r="T92">
        <v>1094</v>
      </c>
      <c r="U92">
        <v>227</v>
      </c>
      <c r="V92">
        <v>341</v>
      </c>
      <c r="W92">
        <v>114</v>
      </c>
      <c r="X92">
        <v>232</v>
      </c>
      <c r="Y92">
        <v>245</v>
      </c>
      <c r="Z92" s="10" t="s">
        <v>103</v>
      </c>
    </row>
    <row r="93" spans="1:26" x14ac:dyDescent="0.4">
      <c r="A93" s="10">
        <v>92</v>
      </c>
      <c r="B93" s="10" t="s">
        <v>61</v>
      </c>
      <c r="C93" s="10" t="s">
        <v>102</v>
      </c>
      <c r="D93" s="10" t="s">
        <v>63</v>
      </c>
      <c r="E93" s="10" t="s">
        <v>59</v>
      </c>
      <c r="F93" s="10" t="s">
        <v>6</v>
      </c>
      <c r="G93" s="10" t="s">
        <v>27</v>
      </c>
      <c r="H93">
        <v>129</v>
      </c>
      <c r="I93">
        <v>122</v>
      </c>
      <c r="J93">
        <v>115</v>
      </c>
      <c r="K93">
        <v>120</v>
      </c>
      <c r="L93">
        <v>101</v>
      </c>
      <c r="M93">
        <v>132</v>
      </c>
      <c r="N93">
        <v>118</v>
      </c>
      <c r="O93">
        <v>119</v>
      </c>
      <c r="P93">
        <v>116</v>
      </c>
      <c r="Q93">
        <v>36</v>
      </c>
      <c r="R93">
        <v>486</v>
      </c>
      <c r="S93">
        <v>485</v>
      </c>
      <c r="T93">
        <v>1108</v>
      </c>
      <c r="U93">
        <v>230</v>
      </c>
      <c r="V93">
        <v>343</v>
      </c>
      <c r="W93">
        <v>115</v>
      </c>
      <c r="X93">
        <v>234</v>
      </c>
      <c r="Y93">
        <v>251</v>
      </c>
      <c r="Z93" s="10" t="s">
        <v>103</v>
      </c>
    </row>
    <row r="94" spans="1:26" x14ac:dyDescent="0.4">
      <c r="A94" s="10">
        <v>93</v>
      </c>
      <c r="B94" s="10" t="s">
        <v>62</v>
      </c>
      <c r="C94" s="10" t="s">
        <v>102</v>
      </c>
      <c r="D94" s="10" t="s">
        <v>65</v>
      </c>
      <c r="E94" s="10" t="s">
        <v>59</v>
      </c>
      <c r="F94" s="10" t="s">
        <v>6</v>
      </c>
      <c r="G94" s="10" t="s">
        <v>27</v>
      </c>
      <c r="H94">
        <v>131</v>
      </c>
      <c r="I94">
        <v>125</v>
      </c>
      <c r="J94">
        <v>115</v>
      </c>
      <c r="K94">
        <v>123</v>
      </c>
      <c r="L94">
        <v>101</v>
      </c>
      <c r="M94">
        <v>129</v>
      </c>
      <c r="N94">
        <v>118</v>
      </c>
      <c r="O94">
        <v>116</v>
      </c>
      <c r="P94">
        <v>114</v>
      </c>
      <c r="Q94">
        <v>36</v>
      </c>
      <c r="R94">
        <v>494</v>
      </c>
      <c r="S94">
        <v>477</v>
      </c>
      <c r="T94">
        <v>1108</v>
      </c>
      <c r="U94">
        <v>232</v>
      </c>
      <c r="V94">
        <v>349</v>
      </c>
      <c r="W94">
        <v>115</v>
      </c>
      <c r="X94">
        <v>232</v>
      </c>
      <c r="Y94">
        <v>245</v>
      </c>
      <c r="Z94" s="10" t="s">
        <v>103</v>
      </c>
    </row>
    <row r="95" spans="1:26" x14ac:dyDescent="0.4">
      <c r="A95" s="10">
        <v>94</v>
      </c>
      <c r="B95" s="10" t="s">
        <v>64</v>
      </c>
      <c r="C95" s="10" t="s">
        <v>102</v>
      </c>
      <c r="D95" s="10" t="s">
        <v>58</v>
      </c>
      <c r="E95" s="10" t="s">
        <v>59</v>
      </c>
      <c r="F95" s="10" t="s">
        <v>6</v>
      </c>
      <c r="G95" s="10" t="s">
        <v>27</v>
      </c>
      <c r="H95">
        <v>132</v>
      </c>
      <c r="I95">
        <v>119</v>
      </c>
      <c r="J95">
        <v>115</v>
      </c>
      <c r="K95">
        <v>120</v>
      </c>
      <c r="L95">
        <v>101</v>
      </c>
      <c r="M95">
        <v>129</v>
      </c>
      <c r="N95">
        <v>121</v>
      </c>
      <c r="O95">
        <v>117</v>
      </c>
      <c r="P95">
        <v>118</v>
      </c>
      <c r="Q95">
        <v>36</v>
      </c>
      <c r="R95">
        <v>486</v>
      </c>
      <c r="S95">
        <v>485</v>
      </c>
      <c r="T95">
        <v>1108</v>
      </c>
      <c r="U95">
        <v>233</v>
      </c>
      <c r="V95">
        <v>340</v>
      </c>
      <c r="W95">
        <v>115</v>
      </c>
      <c r="X95">
        <v>239</v>
      </c>
      <c r="Y95">
        <v>246</v>
      </c>
      <c r="Z95" s="10" t="s">
        <v>103</v>
      </c>
    </row>
    <row r="96" spans="1:26" x14ac:dyDescent="0.4">
      <c r="A96" s="10">
        <v>95</v>
      </c>
      <c r="B96" s="10" t="s">
        <v>565</v>
      </c>
      <c r="C96" s="10" t="s">
        <v>102</v>
      </c>
      <c r="D96" s="10" t="s">
        <v>63</v>
      </c>
      <c r="E96" s="10" t="s">
        <v>59</v>
      </c>
      <c r="F96" s="10" t="s">
        <v>6</v>
      </c>
      <c r="G96" s="10" t="s">
        <v>27</v>
      </c>
      <c r="H96">
        <v>131</v>
      </c>
      <c r="I96">
        <v>122</v>
      </c>
      <c r="J96">
        <v>116</v>
      </c>
      <c r="K96">
        <v>120</v>
      </c>
      <c r="L96">
        <v>101</v>
      </c>
      <c r="M96">
        <v>135</v>
      </c>
      <c r="N96">
        <v>119</v>
      </c>
      <c r="O96">
        <v>121</v>
      </c>
      <c r="P96">
        <v>117</v>
      </c>
      <c r="Q96">
        <v>36</v>
      </c>
      <c r="R96">
        <v>489</v>
      </c>
      <c r="S96">
        <v>492</v>
      </c>
      <c r="T96">
        <v>1118</v>
      </c>
      <c r="U96">
        <v>232</v>
      </c>
      <c r="V96">
        <v>343</v>
      </c>
      <c r="W96">
        <v>116</v>
      </c>
      <c r="X96">
        <v>236</v>
      </c>
      <c r="Y96">
        <v>256</v>
      </c>
      <c r="Z96" s="10" t="s">
        <v>103</v>
      </c>
    </row>
    <row r="97" spans="1:26" x14ac:dyDescent="0.4">
      <c r="A97" s="10">
        <v>96</v>
      </c>
      <c r="B97" s="10" t="s">
        <v>674</v>
      </c>
      <c r="C97" s="10" t="s">
        <v>102</v>
      </c>
      <c r="D97" s="10" t="s">
        <v>65</v>
      </c>
      <c r="E97" s="10" t="s">
        <v>59</v>
      </c>
      <c r="F97" s="10" t="s">
        <v>6</v>
      </c>
      <c r="G97" s="10" t="s">
        <v>27</v>
      </c>
      <c r="H97">
        <v>132</v>
      </c>
      <c r="I97">
        <v>122</v>
      </c>
      <c r="J97">
        <v>116</v>
      </c>
      <c r="K97">
        <v>120</v>
      </c>
      <c r="L97">
        <v>101</v>
      </c>
      <c r="M97">
        <v>133</v>
      </c>
      <c r="N97">
        <v>120</v>
      </c>
      <c r="O97">
        <v>121</v>
      </c>
      <c r="P97">
        <v>118</v>
      </c>
      <c r="Q97">
        <v>36</v>
      </c>
      <c r="R97">
        <v>490</v>
      </c>
      <c r="S97">
        <v>492</v>
      </c>
      <c r="T97">
        <v>1119</v>
      </c>
      <c r="U97">
        <v>233</v>
      </c>
      <c r="V97">
        <v>343</v>
      </c>
      <c r="W97">
        <v>116</v>
      </c>
      <c r="X97">
        <v>238</v>
      </c>
      <c r="Y97">
        <v>254</v>
      </c>
      <c r="Z97" s="10" t="s">
        <v>103</v>
      </c>
    </row>
    <row r="98" spans="1:26" x14ac:dyDescent="0.4">
      <c r="A98" s="10">
        <v>97</v>
      </c>
      <c r="B98" s="10" t="s">
        <v>756</v>
      </c>
      <c r="C98" s="10" t="s">
        <v>102</v>
      </c>
      <c r="D98" s="10" t="s">
        <v>58</v>
      </c>
      <c r="E98" s="10" t="s">
        <v>59</v>
      </c>
      <c r="F98" s="10" t="s">
        <v>6</v>
      </c>
      <c r="G98" s="10" t="s">
        <v>27</v>
      </c>
      <c r="H98">
        <v>132</v>
      </c>
      <c r="I98">
        <v>123</v>
      </c>
      <c r="J98">
        <v>117</v>
      </c>
      <c r="K98">
        <v>121</v>
      </c>
      <c r="L98">
        <v>101</v>
      </c>
      <c r="M98">
        <v>136</v>
      </c>
      <c r="N98">
        <v>120</v>
      </c>
      <c r="O98">
        <v>122</v>
      </c>
      <c r="P98">
        <v>118</v>
      </c>
      <c r="Q98">
        <v>36</v>
      </c>
      <c r="R98">
        <v>493</v>
      </c>
      <c r="S98">
        <v>496</v>
      </c>
      <c r="T98">
        <v>1126</v>
      </c>
      <c r="U98">
        <v>233</v>
      </c>
      <c r="V98">
        <v>345</v>
      </c>
      <c r="W98">
        <v>117</v>
      </c>
      <c r="X98">
        <v>238</v>
      </c>
      <c r="Y98">
        <v>258</v>
      </c>
      <c r="Z98" s="10" t="s">
        <v>103</v>
      </c>
    </row>
    <row r="99" spans="1:26" x14ac:dyDescent="0.4">
      <c r="A99" s="10">
        <v>98</v>
      </c>
      <c r="B99" s="10" t="s">
        <v>811</v>
      </c>
      <c r="C99" s="10" t="s">
        <v>102</v>
      </c>
      <c r="D99" s="10" t="s">
        <v>63</v>
      </c>
      <c r="E99" s="10" t="s">
        <v>59</v>
      </c>
      <c r="F99" s="10" t="s">
        <v>6</v>
      </c>
      <c r="G99" s="10" t="s">
        <v>27</v>
      </c>
      <c r="H99">
        <v>134</v>
      </c>
      <c r="I99">
        <v>123</v>
      </c>
      <c r="J99">
        <v>117</v>
      </c>
      <c r="K99">
        <v>121</v>
      </c>
      <c r="L99">
        <v>101</v>
      </c>
      <c r="M99">
        <v>134</v>
      </c>
      <c r="N99">
        <v>121</v>
      </c>
      <c r="O99">
        <v>123</v>
      </c>
      <c r="P99">
        <v>119</v>
      </c>
      <c r="Q99">
        <v>36</v>
      </c>
      <c r="R99">
        <v>495</v>
      </c>
      <c r="S99">
        <v>497</v>
      </c>
      <c r="T99">
        <v>1129</v>
      </c>
      <c r="U99">
        <v>235</v>
      </c>
      <c r="V99">
        <v>345</v>
      </c>
      <c r="W99">
        <v>117</v>
      </c>
      <c r="X99">
        <v>240</v>
      </c>
      <c r="Y99">
        <v>257</v>
      </c>
      <c r="Z99" s="10" t="s">
        <v>103</v>
      </c>
    </row>
    <row r="100" spans="1:26" x14ac:dyDescent="0.4">
      <c r="A100" s="10">
        <v>99</v>
      </c>
      <c r="B100" s="10" t="s">
        <v>875</v>
      </c>
      <c r="C100" s="10" t="s">
        <v>102</v>
      </c>
      <c r="D100" s="10" t="s">
        <v>65</v>
      </c>
      <c r="E100" s="10" t="s">
        <v>59</v>
      </c>
      <c r="F100" s="10" t="s">
        <v>6</v>
      </c>
      <c r="G100" s="10" t="s">
        <v>27</v>
      </c>
      <c r="H100">
        <v>132</v>
      </c>
      <c r="I100">
        <v>123</v>
      </c>
      <c r="J100">
        <v>117</v>
      </c>
      <c r="K100">
        <v>121</v>
      </c>
      <c r="L100">
        <v>101</v>
      </c>
      <c r="M100">
        <v>138</v>
      </c>
      <c r="N100">
        <v>120</v>
      </c>
      <c r="O100">
        <v>124</v>
      </c>
      <c r="P100">
        <v>118</v>
      </c>
      <c r="Q100">
        <v>36</v>
      </c>
      <c r="R100">
        <v>493</v>
      </c>
      <c r="S100">
        <v>500</v>
      </c>
      <c r="T100">
        <v>1130</v>
      </c>
      <c r="U100">
        <v>233</v>
      </c>
      <c r="V100">
        <v>345</v>
      </c>
      <c r="W100">
        <v>117</v>
      </c>
      <c r="X100">
        <v>238</v>
      </c>
      <c r="Y100">
        <v>262</v>
      </c>
      <c r="Z100" s="10" t="s">
        <v>103</v>
      </c>
    </row>
    <row r="101" spans="1:26" x14ac:dyDescent="0.4">
      <c r="A101" s="10">
        <v>100</v>
      </c>
      <c r="B101" s="10" t="s">
        <v>964</v>
      </c>
      <c r="C101" s="10" t="s">
        <v>102</v>
      </c>
      <c r="D101" s="10" t="s">
        <v>58</v>
      </c>
      <c r="E101" s="10" t="s">
        <v>59</v>
      </c>
      <c r="F101" s="10" t="s">
        <v>6</v>
      </c>
      <c r="G101" s="10" t="s">
        <v>27</v>
      </c>
      <c r="H101">
        <v>136</v>
      </c>
      <c r="I101">
        <v>124</v>
      </c>
      <c r="J101">
        <v>118</v>
      </c>
      <c r="K101">
        <v>122</v>
      </c>
      <c r="L101">
        <v>101</v>
      </c>
      <c r="M101">
        <v>135</v>
      </c>
      <c r="N101">
        <v>122</v>
      </c>
      <c r="O101">
        <v>125</v>
      </c>
      <c r="P101">
        <v>120</v>
      </c>
      <c r="Q101">
        <v>36</v>
      </c>
      <c r="R101">
        <v>500</v>
      </c>
      <c r="S101">
        <v>502</v>
      </c>
      <c r="T101">
        <v>1139</v>
      </c>
      <c r="U101">
        <v>237</v>
      </c>
      <c r="V101">
        <v>347</v>
      </c>
      <c r="W101">
        <v>118</v>
      </c>
      <c r="X101">
        <v>242</v>
      </c>
      <c r="Y101">
        <v>260</v>
      </c>
      <c r="Z101" s="10" t="s">
        <v>103</v>
      </c>
    </row>
    <row r="102" spans="1:26" x14ac:dyDescent="0.4">
      <c r="A102" s="10">
        <v>101</v>
      </c>
      <c r="B102" s="10" t="s">
        <v>32</v>
      </c>
      <c r="C102" s="10" t="s">
        <v>104</v>
      </c>
      <c r="D102" s="10" t="s">
        <v>63</v>
      </c>
      <c r="E102" s="10" t="s">
        <v>59</v>
      </c>
      <c r="F102" s="10" t="s">
        <v>6</v>
      </c>
      <c r="G102" s="10" t="s">
        <v>27</v>
      </c>
      <c r="H102">
        <v>117</v>
      </c>
      <c r="I102">
        <v>114</v>
      </c>
      <c r="J102">
        <v>113</v>
      </c>
      <c r="K102">
        <v>118</v>
      </c>
      <c r="L102">
        <v>97</v>
      </c>
      <c r="M102">
        <v>123</v>
      </c>
      <c r="N102">
        <v>115</v>
      </c>
      <c r="O102">
        <v>115</v>
      </c>
      <c r="P102">
        <v>115</v>
      </c>
      <c r="Q102">
        <v>27</v>
      </c>
      <c r="R102">
        <v>462</v>
      </c>
      <c r="S102">
        <v>468</v>
      </c>
      <c r="T102">
        <v>1054</v>
      </c>
      <c r="U102">
        <v>214</v>
      </c>
      <c r="V102">
        <v>329</v>
      </c>
      <c r="W102">
        <v>113</v>
      </c>
      <c r="X102">
        <v>230</v>
      </c>
      <c r="Y102">
        <v>238</v>
      </c>
      <c r="Z102" s="10" t="s">
        <v>105</v>
      </c>
    </row>
    <row r="103" spans="1:26" x14ac:dyDescent="0.4">
      <c r="A103" s="10">
        <v>102</v>
      </c>
      <c r="B103" s="10" t="s">
        <v>95</v>
      </c>
      <c r="C103" s="10" t="s">
        <v>104</v>
      </c>
      <c r="D103" s="10" t="s">
        <v>65</v>
      </c>
      <c r="E103" s="10" t="s">
        <v>59</v>
      </c>
      <c r="F103" s="10" t="s">
        <v>6</v>
      </c>
      <c r="G103" s="10" t="s">
        <v>27</v>
      </c>
      <c r="H103">
        <v>120</v>
      </c>
      <c r="I103">
        <v>115</v>
      </c>
      <c r="J103">
        <v>114</v>
      </c>
      <c r="K103">
        <v>119</v>
      </c>
      <c r="L103">
        <v>97</v>
      </c>
      <c r="M103">
        <v>126</v>
      </c>
      <c r="N103">
        <v>116</v>
      </c>
      <c r="O103">
        <v>118</v>
      </c>
      <c r="P103">
        <v>116</v>
      </c>
      <c r="Q103">
        <v>27</v>
      </c>
      <c r="R103">
        <v>468</v>
      </c>
      <c r="S103">
        <v>476</v>
      </c>
      <c r="T103">
        <v>1068</v>
      </c>
      <c r="U103">
        <v>217</v>
      </c>
      <c r="V103">
        <v>331</v>
      </c>
      <c r="W103">
        <v>114</v>
      </c>
      <c r="X103">
        <v>232</v>
      </c>
      <c r="Y103">
        <v>244</v>
      </c>
      <c r="Z103" s="10" t="s">
        <v>105</v>
      </c>
    </row>
    <row r="104" spans="1:26" x14ac:dyDescent="0.4">
      <c r="A104" s="10">
        <v>103</v>
      </c>
      <c r="B104" s="10" t="s">
        <v>329</v>
      </c>
      <c r="C104" s="10" t="s">
        <v>104</v>
      </c>
      <c r="D104" s="10" t="s">
        <v>58</v>
      </c>
      <c r="E104" s="10" t="s">
        <v>59</v>
      </c>
      <c r="F104" s="10" t="s">
        <v>6</v>
      </c>
      <c r="G104" s="10" t="s">
        <v>27</v>
      </c>
      <c r="H104">
        <v>123</v>
      </c>
      <c r="I104">
        <v>113</v>
      </c>
      <c r="J104">
        <v>114</v>
      </c>
      <c r="K104">
        <v>117</v>
      </c>
      <c r="L104">
        <v>97</v>
      </c>
      <c r="M104">
        <v>128</v>
      </c>
      <c r="N104">
        <v>115</v>
      </c>
      <c r="O104">
        <v>120</v>
      </c>
      <c r="P104">
        <v>115</v>
      </c>
      <c r="Q104">
        <v>27</v>
      </c>
      <c r="R104">
        <v>467</v>
      </c>
      <c r="S104">
        <v>478</v>
      </c>
      <c r="T104">
        <v>1069</v>
      </c>
      <c r="U104">
        <v>220</v>
      </c>
      <c r="V104">
        <v>327</v>
      </c>
      <c r="W104">
        <v>114</v>
      </c>
      <c r="X104">
        <v>230</v>
      </c>
      <c r="Y104">
        <v>248</v>
      </c>
      <c r="Z104" s="10" t="s">
        <v>105</v>
      </c>
    </row>
    <row r="105" spans="1:26" x14ac:dyDescent="0.4">
      <c r="A105" s="10">
        <v>104</v>
      </c>
      <c r="B105" s="10" t="s">
        <v>674</v>
      </c>
      <c r="C105" s="10" t="s">
        <v>104</v>
      </c>
      <c r="D105" s="10" t="s">
        <v>63</v>
      </c>
      <c r="E105" s="10" t="s">
        <v>59</v>
      </c>
      <c r="F105" s="10" t="s">
        <v>6</v>
      </c>
      <c r="G105" s="10" t="s">
        <v>27</v>
      </c>
      <c r="H105">
        <v>121</v>
      </c>
      <c r="I105">
        <v>112</v>
      </c>
      <c r="J105">
        <v>112</v>
      </c>
      <c r="K105">
        <v>117</v>
      </c>
      <c r="L105">
        <v>97</v>
      </c>
      <c r="M105">
        <v>129</v>
      </c>
      <c r="N105">
        <v>118</v>
      </c>
      <c r="O105">
        <v>121</v>
      </c>
      <c r="P105">
        <v>117</v>
      </c>
      <c r="Q105">
        <v>27</v>
      </c>
      <c r="R105">
        <v>462</v>
      </c>
      <c r="S105">
        <v>485</v>
      </c>
      <c r="T105">
        <v>1071</v>
      </c>
      <c r="U105">
        <v>218</v>
      </c>
      <c r="V105">
        <v>326</v>
      </c>
      <c r="W105">
        <v>112</v>
      </c>
      <c r="X105">
        <v>235</v>
      </c>
      <c r="Y105">
        <v>250</v>
      </c>
      <c r="Z105" s="10" t="s">
        <v>105</v>
      </c>
    </row>
    <row r="106" spans="1:26" x14ac:dyDescent="0.4">
      <c r="A106" s="10">
        <v>105</v>
      </c>
      <c r="B106" s="10" t="s">
        <v>776</v>
      </c>
      <c r="C106" s="10" t="s">
        <v>104</v>
      </c>
      <c r="D106" s="10" t="s">
        <v>65</v>
      </c>
      <c r="E106" s="10" t="s">
        <v>59</v>
      </c>
      <c r="F106" s="10" t="s">
        <v>6</v>
      </c>
      <c r="G106" s="10" t="s">
        <v>27</v>
      </c>
      <c r="H106">
        <v>123</v>
      </c>
      <c r="I106">
        <v>115</v>
      </c>
      <c r="J106">
        <v>115</v>
      </c>
      <c r="K106">
        <v>119</v>
      </c>
      <c r="L106">
        <v>97</v>
      </c>
      <c r="M106">
        <v>128</v>
      </c>
      <c r="N106">
        <v>117</v>
      </c>
      <c r="O106">
        <v>120</v>
      </c>
      <c r="P106">
        <v>118</v>
      </c>
      <c r="Q106">
        <v>27</v>
      </c>
      <c r="R106">
        <v>472</v>
      </c>
      <c r="S106">
        <v>483</v>
      </c>
      <c r="T106">
        <v>1079</v>
      </c>
      <c r="U106">
        <v>220</v>
      </c>
      <c r="V106">
        <v>331</v>
      </c>
      <c r="W106">
        <v>115</v>
      </c>
      <c r="X106">
        <v>235</v>
      </c>
      <c r="Y106">
        <v>248</v>
      </c>
      <c r="Z106" s="10" t="s">
        <v>105</v>
      </c>
    </row>
    <row r="107" spans="1:26" x14ac:dyDescent="0.4">
      <c r="A107" s="10">
        <v>106</v>
      </c>
      <c r="B107" s="10" t="s">
        <v>32</v>
      </c>
      <c r="C107" s="10" t="s">
        <v>106</v>
      </c>
      <c r="D107" s="10" t="s">
        <v>65</v>
      </c>
      <c r="E107" s="10" t="s">
        <v>78</v>
      </c>
      <c r="F107" s="10" t="s">
        <v>6</v>
      </c>
      <c r="G107" s="10" t="s">
        <v>27</v>
      </c>
      <c r="H107">
        <v>118</v>
      </c>
      <c r="I107">
        <v>111</v>
      </c>
      <c r="J107">
        <v>116</v>
      </c>
      <c r="K107">
        <v>124</v>
      </c>
      <c r="L107">
        <v>101</v>
      </c>
      <c r="M107">
        <v>110</v>
      </c>
      <c r="N107">
        <v>130</v>
      </c>
      <c r="O107">
        <v>116</v>
      </c>
      <c r="P107">
        <v>122</v>
      </c>
      <c r="Q107">
        <v>36</v>
      </c>
      <c r="R107">
        <v>469</v>
      </c>
      <c r="S107">
        <v>478</v>
      </c>
      <c r="T107">
        <v>1084</v>
      </c>
      <c r="U107">
        <v>219</v>
      </c>
      <c r="V107">
        <v>336</v>
      </c>
      <c r="W107">
        <v>116</v>
      </c>
      <c r="X107">
        <v>252</v>
      </c>
      <c r="Y107">
        <v>226</v>
      </c>
      <c r="Z107" s="10" t="s">
        <v>107</v>
      </c>
    </row>
    <row r="108" spans="1:26" x14ac:dyDescent="0.4">
      <c r="A108" s="10">
        <v>107</v>
      </c>
      <c r="B108" s="10" t="s">
        <v>64</v>
      </c>
      <c r="C108" s="10" t="s">
        <v>106</v>
      </c>
      <c r="D108" s="10" t="s">
        <v>58</v>
      </c>
      <c r="E108" s="10" t="s">
        <v>78</v>
      </c>
      <c r="F108" s="10" t="s">
        <v>6</v>
      </c>
      <c r="G108" s="10" t="s">
        <v>27</v>
      </c>
      <c r="H108">
        <v>119</v>
      </c>
      <c r="I108">
        <v>112</v>
      </c>
      <c r="J108">
        <v>119</v>
      </c>
      <c r="K108">
        <v>125</v>
      </c>
      <c r="L108">
        <v>101</v>
      </c>
      <c r="M108">
        <v>111</v>
      </c>
      <c r="N108">
        <v>133</v>
      </c>
      <c r="O108">
        <v>117</v>
      </c>
      <c r="P108">
        <v>125</v>
      </c>
      <c r="Q108">
        <v>36</v>
      </c>
      <c r="R108">
        <v>475</v>
      </c>
      <c r="S108">
        <v>486</v>
      </c>
      <c r="T108">
        <v>1098</v>
      </c>
      <c r="U108">
        <v>220</v>
      </c>
      <c r="V108">
        <v>338</v>
      </c>
      <c r="W108">
        <v>119</v>
      </c>
      <c r="X108">
        <v>258</v>
      </c>
      <c r="Y108">
        <v>228</v>
      </c>
      <c r="Z108" s="10" t="s">
        <v>107</v>
      </c>
    </row>
    <row r="109" spans="1:26" x14ac:dyDescent="0.4">
      <c r="A109" s="10">
        <v>108</v>
      </c>
      <c r="B109" s="10" t="s">
        <v>574</v>
      </c>
      <c r="C109" s="10" t="s">
        <v>106</v>
      </c>
      <c r="D109" s="10" t="s">
        <v>63</v>
      </c>
      <c r="E109" s="10" t="s">
        <v>78</v>
      </c>
      <c r="F109" s="10" t="s">
        <v>6</v>
      </c>
      <c r="G109" s="10" t="s">
        <v>27</v>
      </c>
      <c r="H109">
        <v>117</v>
      </c>
      <c r="I109">
        <v>110</v>
      </c>
      <c r="J109">
        <v>120</v>
      </c>
      <c r="K109">
        <v>124</v>
      </c>
      <c r="L109">
        <v>101</v>
      </c>
      <c r="M109">
        <v>111</v>
      </c>
      <c r="N109">
        <v>136</v>
      </c>
      <c r="O109">
        <v>117</v>
      </c>
      <c r="P109">
        <v>127</v>
      </c>
      <c r="Q109">
        <v>36</v>
      </c>
      <c r="R109">
        <v>471</v>
      </c>
      <c r="S109">
        <v>491</v>
      </c>
      <c r="T109">
        <v>1099</v>
      </c>
      <c r="U109">
        <v>218</v>
      </c>
      <c r="V109">
        <v>335</v>
      </c>
      <c r="W109">
        <v>120</v>
      </c>
      <c r="X109">
        <v>263</v>
      </c>
      <c r="Y109">
        <v>228</v>
      </c>
      <c r="Z109" s="10" t="s">
        <v>107</v>
      </c>
    </row>
    <row r="110" spans="1:26" x14ac:dyDescent="0.4">
      <c r="A110" s="10">
        <v>109</v>
      </c>
      <c r="B110" s="10" t="s">
        <v>731</v>
      </c>
      <c r="C110" s="10" t="s">
        <v>106</v>
      </c>
      <c r="D110" s="10" t="s">
        <v>65</v>
      </c>
      <c r="E110" s="10" t="s">
        <v>78</v>
      </c>
      <c r="F110" s="10" t="s">
        <v>6</v>
      </c>
      <c r="G110" s="10" t="s">
        <v>27</v>
      </c>
      <c r="H110">
        <v>120</v>
      </c>
      <c r="I110">
        <v>113</v>
      </c>
      <c r="J110">
        <v>120</v>
      </c>
      <c r="K110">
        <v>126</v>
      </c>
      <c r="L110">
        <v>101</v>
      </c>
      <c r="M110">
        <v>112</v>
      </c>
      <c r="N110">
        <v>135</v>
      </c>
      <c r="O110">
        <v>118</v>
      </c>
      <c r="P110">
        <v>127</v>
      </c>
      <c r="Q110">
        <v>36</v>
      </c>
      <c r="R110">
        <v>479</v>
      </c>
      <c r="S110">
        <v>492</v>
      </c>
      <c r="T110">
        <v>1108</v>
      </c>
      <c r="U110">
        <v>221</v>
      </c>
      <c r="V110">
        <v>340</v>
      </c>
      <c r="W110">
        <v>120</v>
      </c>
      <c r="X110">
        <v>262</v>
      </c>
      <c r="Y110">
        <v>230</v>
      </c>
      <c r="Z110" s="10" t="s">
        <v>107</v>
      </c>
    </row>
    <row r="111" spans="1:26" x14ac:dyDescent="0.4">
      <c r="A111" s="10">
        <v>110</v>
      </c>
      <c r="B111" s="10" t="s">
        <v>785</v>
      </c>
      <c r="C111" s="10" t="s">
        <v>106</v>
      </c>
      <c r="D111" s="10" t="s">
        <v>58</v>
      </c>
      <c r="E111" s="10" t="s">
        <v>78</v>
      </c>
      <c r="F111" s="10" t="s">
        <v>6</v>
      </c>
      <c r="G111" s="10" t="s">
        <v>27</v>
      </c>
      <c r="H111">
        <v>119</v>
      </c>
      <c r="I111">
        <v>113</v>
      </c>
      <c r="J111">
        <v>121</v>
      </c>
      <c r="K111">
        <v>126</v>
      </c>
      <c r="L111">
        <v>101</v>
      </c>
      <c r="M111">
        <v>112</v>
      </c>
      <c r="N111">
        <v>136</v>
      </c>
      <c r="O111">
        <v>118</v>
      </c>
      <c r="P111">
        <v>127</v>
      </c>
      <c r="Q111">
        <v>36</v>
      </c>
      <c r="R111">
        <v>479</v>
      </c>
      <c r="S111">
        <v>493</v>
      </c>
      <c r="T111">
        <v>1109</v>
      </c>
      <c r="U111">
        <v>220</v>
      </c>
      <c r="V111">
        <v>340</v>
      </c>
      <c r="W111">
        <v>121</v>
      </c>
      <c r="X111">
        <v>263</v>
      </c>
      <c r="Y111">
        <v>230</v>
      </c>
      <c r="Z111" s="10" t="s">
        <v>107</v>
      </c>
    </row>
    <row r="112" spans="1:26" x14ac:dyDescent="0.4">
      <c r="A112" s="10">
        <v>111</v>
      </c>
      <c r="B112" s="10" t="s">
        <v>854</v>
      </c>
      <c r="C112" s="10" t="s">
        <v>106</v>
      </c>
      <c r="D112" s="10" t="s">
        <v>63</v>
      </c>
      <c r="E112" s="10" t="s">
        <v>78</v>
      </c>
      <c r="F112" s="10" t="s">
        <v>6</v>
      </c>
      <c r="G112" s="10" t="s">
        <v>27</v>
      </c>
      <c r="H112">
        <v>121</v>
      </c>
      <c r="I112">
        <v>114</v>
      </c>
      <c r="J112">
        <v>121</v>
      </c>
      <c r="K112">
        <v>127</v>
      </c>
      <c r="L112">
        <v>101</v>
      </c>
      <c r="M112">
        <v>113</v>
      </c>
      <c r="N112">
        <v>137</v>
      </c>
      <c r="O112">
        <v>119</v>
      </c>
      <c r="P112">
        <v>129</v>
      </c>
      <c r="Q112">
        <v>36</v>
      </c>
      <c r="R112">
        <v>483</v>
      </c>
      <c r="S112">
        <v>498</v>
      </c>
      <c r="T112">
        <v>1118</v>
      </c>
      <c r="U112">
        <v>222</v>
      </c>
      <c r="V112">
        <v>342</v>
      </c>
      <c r="W112">
        <v>121</v>
      </c>
      <c r="X112">
        <v>266</v>
      </c>
      <c r="Y112">
        <v>232</v>
      </c>
      <c r="Z112" s="10" t="s">
        <v>107</v>
      </c>
    </row>
    <row r="113" spans="1:26" x14ac:dyDescent="0.4">
      <c r="A113" s="10">
        <v>112</v>
      </c>
      <c r="B113" s="10" t="s">
        <v>32</v>
      </c>
      <c r="C113" s="10" t="s">
        <v>108</v>
      </c>
      <c r="D113" s="10" t="s">
        <v>65</v>
      </c>
      <c r="E113" s="10" t="s">
        <v>81</v>
      </c>
      <c r="F113" s="10" t="s">
        <v>6</v>
      </c>
      <c r="G113" s="10" t="s">
        <v>27</v>
      </c>
      <c r="H113">
        <v>117</v>
      </c>
      <c r="I113">
        <v>113</v>
      </c>
      <c r="J113">
        <v>114</v>
      </c>
      <c r="K113">
        <v>115</v>
      </c>
      <c r="L113">
        <v>97</v>
      </c>
      <c r="M113">
        <v>115</v>
      </c>
      <c r="N113">
        <v>116</v>
      </c>
      <c r="O113">
        <v>115</v>
      </c>
      <c r="P113">
        <v>115</v>
      </c>
      <c r="Q113">
        <v>29</v>
      </c>
      <c r="R113">
        <v>459</v>
      </c>
      <c r="S113">
        <v>461</v>
      </c>
      <c r="T113">
        <v>1046</v>
      </c>
      <c r="U113">
        <v>214</v>
      </c>
      <c r="V113">
        <v>325</v>
      </c>
      <c r="W113">
        <v>114</v>
      </c>
      <c r="X113">
        <v>231</v>
      </c>
      <c r="Y113">
        <v>230</v>
      </c>
      <c r="Z113" s="10" t="s">
        <v>109</v>
      </c>
    </row>
    <row r="114" spans="1:26" x14ac:dyDescent="0.4">
      <c r="A114" s="10">
        <v>113</v>
      </c>
      <c r="B114" s="10" t="s">
        <v>340</v>
      </c>
      <c r="C114" s="10" t="s">
        <v>108</v>
      </c>
      <c r="D114" s="10" t="s">
        <v>58</v>
      </c>
      <c r="E114" s="10" t="s">
        <v>81</v>
      </c>
      <c r="F114" s="10" t="s">
        <v>6</v>
      </c>
      <c r="G114" s="10" t="s">
        <v>27</v>
      </c>
      <c r="H114">
        <v>120</v>
      </c>
      <c r="I114">
        <v>116</v>
      </c>
      <c r="J114">
        <v>115</v>
      </c>
      <c r="K114">
        <v>116</v>
      </c>
      <c r="L114">
        <v>97</v>
      </c>
      <c r="M114">
        <v>116</v>
      </c>
      <c r="N114">
        <v>117</v>
      </c>
      <c r="O114">
        <v>118</v>
      </c>
      <c r="P114">
        <v>116</v>
      </c>
      <c r="Q114">
        <v>29</v>
      </c>
      <c r="R114">
        <v>467</v>
      </c>
      <c r="S114">
        <v>467</v>
      </c>
      <c r="T114">
        <v>1060</v>
      </c>
      <c r="U114">
        <v>217</v>
      </c>
      <c r="V114">
        <v>329</v>
      </c>
      <c r="W114">
        <v>115</v>
      </c>
      <c r="X114">
        <v>233</v>
      </c>
      <c r="Y114">
        <v>234</v>
      </c>
      <c r="Z114" s="10" t="s">
        <v>109</v>
      </c>
    </row>
    <row r="115" spans="1:26" x14ac:dyDescent="0.4">
      <c r="A115" s="10">
        <v>114</v>
      </c>
      <c r="B115" s="10" t="s">
        <v>769</v>
      </c>
      <c r="C115" s="10" t="s">
        <v>108</v>
      </c>
      <c r="D115" s="10" t="s">
        <v>63</v>
      </c>
      <c r="E115" s="10" t="s">
        <v>81</v>
      </c>
      <c r="F115" s="10" t="s">
        <v>6</v>
      </c>
      <c r="G115" s="10" t="s">
        <v>27</v>
      </c>
      <c r="H115">
        <v>123</v>
      </c>
      <c r="I115">
        <v>114</v>
      </c>
      <c r="J115">
        <v>115</v>
      </c>
      <c r="K115">
        <v>114</v>
      </c>
      <c r="L115">
        <v>97</v>
      </c>
      <c r="M115">
        <v>118</v>
      </c>
      <c r="N115">
        <v>116</v>
      </c>
      <c r="O115">
        <v>120</v>
      </c>
      <c r="P115">
        <v>115</v>
      </c>
      <c r="Q115">
        <v>29</v>
      </c>
      <c r="R115">
        <v>466</v>
      </c>
      <c r="S115">
        <v>469</v>
      </c>
      <c r="T115">
        <v>1061</v>
      </c>
      <c r="U115">
        <v>220</v>
      </c>
      <c r="V115">
        <v>325</v>
      </c>
      <c r="W115">
        <v>115</v>
      </c>
      <c r="X115">
        <v>231</v>
      </c>
      <c r="Y115">
        <v>238</v>
      </c>
      <c r="Z115" s="10" t="s">
        <v>109</v>
      </c>
    </row>
    <row r="116" spans="1:26" x14ac:dyDescent="0.4">
      <c r="A116" s="10">
        <v>115</v>
      </c>
      <c r="B116" s="10" t="s">
        <v>32</v>
      </c>
      <c r="C116" s="10" t="s">
        <v>110</v>
      </c>
      <c r="D116" s="10" t="s">
        <v>65</v>
      </c>
      <c r="E116" s="10" t="s">
        <v>59</v>
      </c>
      <c r="F116" s="10" t="s">
        <v>6</v>
      </c>
      <c r="G116" s="10" t="s">
        <v>27</v>
      </c>
      <c r="H116">
        <v>115</v>
      </c>
      <c r="I116">
        <v>114</v>
      </c>
      <c r="J116">
        <v>113</v>
      </c>
      <c r="K116">
        <v>118</v>
      </c>
      <c r="L116">
        <v>97</v>
      </c>
      <c r="M116">
        <v>121</v>
      </c>
      <c r="N116">
        <v>115</v>
      </c>
      <c r="O116">
        <v>116</v>
      </c>
      <c r="P116">
        <v>115</v>
      </c>
      <c r="Q116">
        <v>36</v>
      </c>
      <c r="R116">
        <v>460</v>
      </c>
      <c r="S116">
        <v>467</v>
      </c>
      <c r="T116">
        <v>1060</v>
      </c>
      <c r="U116">
        <v>212</v>
      </c>
      <c r="V116">
        <v>329</v>
      </c>
      <c r="W116">
        <v>113</v>
      </c>
      <c r="X116">
        <v>230</v>
      </c>
      <c r="Y116">
        <v>237</v>
      </c>
      <c r="Z116" s="10" t="s">
        <v>111</v>
      </c>
    </row>
    <row r="117" spans="1:26" x14ac:dyDescent="0.4">
      <c r="A117" s="10">
        <v>116</v>
      </c>
      <c r="B117" s="10" t="s">
        <v>83</v>
      </c>
      <c r="C117" s="10" t="s">
        <v>110</v>
      </c>
      <c r="D117" s="10" t="s">
        <v>58</v>
      </c>
      <c r="E117" s="10" t="s">
        <v>59</v>
      </c>
      <c r="F117" s="10" t="s">
        <v>6</v>
      </c>
      <c r="G117" s="10" t="s">
        <v>27</v>
      </c>
      <c r="H117">
        <v>118</v>
      </c>
      <c r="I117">
        <v>115</v>
      </c>
      <c r="J117">
        <v>114</v>
      </c>
      <c r="K117">
        <v>119</v>
      </c>
      <c r="L117">
        <v>97</v>
      </c>
      <c r="M117">
        <v>124</v>
      </c>
      <c r="N117">
        <v>116</v>
      </c>
      <c r="O117">
        <v>119</v>
      </c>
      <c r="P117">
        <v>116</v>
      </c>
      <c r="Q117">
        <v>36</v>
      </c>
      <c r="R117">
        <v>466</v>
      </c>
      <c r="S117">
        <v>475</v>
      </c>
      <c r="T117">
        <v>1074</v>
      </c>
      <c r="U117">
        <v>215</v>
      </c>
      <c r="V117">
        <v>331</v>
      </c>
      <c r="W117">
        <v>114</v>
      </c>
      <c r="X117">
        <v>232</v>
      </c>
      <c r="Y117">
        <v>243</v>
      </c>
      <c r="Z117" s="10" t="s">
        <v>111</v>
      </c>
    </row>
    <row r="118" spans="1:26" x14ac:dyDescent="0.4">
      <c r="A118" s="10">
        <v>117</v>
      </c>
      <c r="B118" s="10" t="s">
        <v>977</v>
      </c>
      <c r="C118" s="10" t="s">
        <v>110</v>
      </c>
      <c r="D118" s="10" t="s">
        <v>63</v>
      </c>
      <c r="E118" s="10" t="s">
        <v>59</v>
      </c>
      <c r="F118" s="10" t="s">
        <v>6</v>
      </c>
      <c r="G118" s="10" t="s">
        <v>27</v>
      </c>
      <c r="H118">
        <v>119</v>
      </c>
      <c r="I118">
        <v>112</v>
      </c>
      <c r="J118">
        <v>112</v>
      </c>
      <c r="K118">
        <v>117</v>
      </c>
      <c r="L118">
        <v>97</v>
      </c>
      <c r="M118">
        <v>127</v>
      </c>
      <c r="N118">
        <v>118</v>
      </c>
      <c r="O118">
        <v>122</v>
      </c>
      <c r="P118">
        <v>117</v>
      </c>
      <c r="Q118">
        <v>36</v>
      </c>
      <c r="R118">
        <v>460</v>
      </c>
      <c r="S118">
        <v>484</v>
      </c>
      <c r="T118">
        <v>1077</v>
      </c>
      <c r="U118">
        <v>216</v>
      </c>
      <c r="V118">
        <v>326</v>
      </c>
      <c r="W118">
        <v>112</v>
      </c>
      <c r="X118">
        <v>235</v>
      </c>
      <c r="Y118">
        <v>249</v>
      </c>
      <c r="Z118" s="10" t="s">
        <v>111</v>
      </c>
    </row>
    <row r="119" spans="1:26" x14ac:dyDescent="0.4">
      <c r="A119" s="10">
        <v>118</v>
      </c>
      <c r="B119" s="10" t="s">
        <v>32</v>
      </c>
      <c r="C119" s="10" t="s">
        <v>112</v>
      </c>
      <c r="D119" s="10" t="s">
        <v>65</v>
      </c>
      <c r="E119" s="10" t="s">
        <v>81</v>
      </c>
      <c r="F119" s="10" t="s">
        <v>6</v>
      </c>
      <c r="G119" s="10" t="s">
        <v>27</v>
      </c>
      <c r="H119">
        <v>123</v>
      </c>
      <c r="I119">
        <v>120</v>
      </c>
      <c r="J119">
        <v>114</v>
      </c>
      <c r="K119">
        <v>122</v>
      </c>
      <c r="L119">
        <v>101</v>
      </c>
      <c r="M119">
        <v>115</v>
      </c>
      <c r="N119">
        <v>116</v>
      </c>
      <c r="O119">
        <v>115</v>
      </c>
      <c r="P119">
        <v>115</v>
      </c>
      <c r="Q119">
        <v>29</v>
      </c>
      <c r="R119">
        <v>479</v>
      </c>
      <c r="S119">
        <v>461</v>
      </c>
      <c r="T119">
        <v>1070</v>
      </c>
      <c r="U119">
        <v>224</v>
      </c>
      <c r="V119">
        <v>343</v>
      </c>
      <c r="W119">
        <v>114</v>
      </c>
      <c r="X119">
        <v>231</v>
      </c>
      <c r="Y119">
        <v>230</v>
      </c>
      <c r="Z119" s="10" t="s">
        <v>113</v>
      </c>
    </row>
    <row r="120" spans="1:26" x14ac:dyDescent="0.4">
      <c r="A120" s="10">
        <v>119</v>
      </c>
      <c r="B120" s="10" t="s">
        <v>83</v>
      </c>
      <c r="C120" s="10" t="s">
        <v>112</v>
      </c>
      <c r="D120" s="10" t="s">
        <v>58</v>
      </c>
      <c r="E120" s="10" t="s">
        <v>81</v>
      </c>
      <c r="F120" s="10" t="s">
        <v>6</v>
      </c>
      <c r="G120" s="10" t="s">
        <v>27</v>
      </c>
      <c r="H120">
        <v>126</v>
      </c>
      <c r="I120">
        <v>122</v>
      </c>
      <c r="J120">
        <v>115</v>
      </c>
      <c r="K120">
        <v>123</v>
      </c>
      <c r="L120">
        <v>101</v>
      </c>
      <c r="M120">
        <v>116</v>
      </c>
      <c r="N120">
        <v>117</v>
      </c>
      <c r="O120">
        <v>118</v>
      </c>
      <c r="P120">
        <v>116</v>
      </c>
      <c r="Q120">
        <v>29</v>
      </c>
      <c r="R120">
        <v>486</v>
      </c>
      <c r="S120">
        <v>467</v>
      </c>
      <c r="T120">
        <v>1083</v>
      </c>
      <c r="U120">
        <v>227</v>
      </c>
      <c r="V120">
        <v>346</v>
      </c>
      <c r="W120">
        <v>115</v>
      </c>
      <c r="X120">
        <v>233</v>
      </c>
      <c r="Y120">
        <v>234</v>
      </c>
      <c r="Z120" s="10" t="s">
        <v>113</v>
      </c>
    </row>
    <row r="121" spans="1:26" x14ac:dyDescent="0.4">
      <c r="A121" s="10">
        <v>120</v>
      </c>
      <c r="B121" s="10" t="s">
        <v>875</v>
      </c>
      <c r="C121" s="10" t="s">
        <v>112</v>
      </c>
      <c r="D121" s="10" t="s">
        <v>63</v>
      </c>
      <c r="E121" s="10" t="s">
        <v>81</v>
      </c>
      <c r="F121" s="10" t="s">
        <v>6</v>
      </c>
      <c r="G121" s="10" t="s">
        <v>27</v>
      </c>
      <c r="H121">
        <v>129</v>
      </c>
      <c r="I121">
        <v>120</v>
      </c>
      <c r="J121">
        <v>115</v>
      </c>
      <c r="K121">
        <v>121</v>
      </c>
      <c r="L121">
        <v>101</v>
      </c>
      <c r="M121">
        <v>118</v>
      </c>
      <c r="N121">
        <v>116</v>
      </c>
      <c r="O121">
        <v>120</v>
      </c>
      <c r="P121">
        <v>115</v>
      </c>
      <c r="Q121">
        <v>29</v>
      </c>
      <c r="R121">
        <v>485</v>
      </c>
      <c r="S121">
        <v>469</v>
      </c>
      <c r="T121">
        <v>1084</v>
      </c>
      <c r="U121">
        <v>230</v>
      </c>
      <c r="V121">
        <v>342</v>
      </c>
      <c r="W121">
        <v>115</v>
      </c>
      <c r="X121">
        <v>231</v>
      </c>
      <c r="Y121">
        <v>238</v>
      </c>
      <c r="Z121" s="10" t="s">
        <v>113</v>
      </c>
    </row>
    <row r="122" spans="1:26" x14ac:dyDescent="0.4">
      <c r="A122" s="10">
        <v>121</v>
      </c>
      <c r="B122" s="10" t="s">
        <v>32</v>
      </c>
      <c r="C122" s="10" t="s">
        <v>114</v>
      </c>
      <c r="D122" s="10" t="s">
        <v>65</v>
      </c>
      <c r="E122" s="10" t="s">
        <v>78</v>
      </c>
      <c r="F122" s="10" t="s">
        <v>6</v>
      </c>
      <c r="G122" s="10" t="s">
        <v>27</v>
      </c>
      <c r="H122">
        <v>115</v>
      </c>
      <c r="I122">
        <v>110</v>
      </c>
      <c r="J122">
        <v>113</v>
      </c>
      <c r="K122">
        <v>120</v>
      </c>
      <c r="L122">
        <v>97</v>
      </c>
      <c r="M122">
        <v>110</v>
      </c>
      <c r="N122">
        <v>123</v>
      </c>
      <c r="O122">
        <v>119</v>
      </c>
      <c r="P122">
        <v>120</v>
      </c>
      <c r="Q122">
        <v>33</v>
      </c>
      <c r="R122">
        <v>458</v>
      </c>
      <c r="S122">
        <v>472</v>
      </c>
      <c r="T122">
        <v>1060</v>
      </c>
      <c r="U122">
        <v>212</v>
      </c>
      <c r="V122">
        <v>327</v>
      </c>
      <c r="W122">
        <v>113</v>
      </c>
      <c r="X122">
        <v>243</v>
      </c>
      <c r="Y122">
        <v>229</v>
      </c>
      <c r="Z122" s="10" t="s">
        <v>115</v>
      </c>
    </row>
    <row r="123" spans="1:26" x14ac:dyDescent="0.4">
      <c r="A123" s="10">
        <v>122</v>
      </c>
      <c r="B123" s="10" t="s">
        <v>801</v>
      </c>
      <c r="C123" s="10" t="s">
        <v>114</v>
      </c>
      <c r="D123" s="10" t="s">
        <v>58</v>
      </c>
      <c r="E123" s="10" t="s">
        <v>78</v>
      </c>
      <c r="F123" s="10" t="s">
        <v>6</v>
      </c>
      <c r="G123" s="10" t="s">
        <v>27</v>
      </c>
      <c r="H123">
        <v>116</v>
      </c>
      <c r="I123">
        <v>111</v>
      </c>
      <c r="J123">
        <v>116</v>
      </c>
      <c r="K123">
        <v>121</v>
      </c>
      <c r="L123">
        <v>97</v>
      </c>
      <c r="M123">
        <v>111</v>
      </c>
      <c r="N123">
        <v>126</v>
      </c>
      <c r="O123">
        <v>120</v>
      </c>
      <c r="P123">
        <v>123</v>
      </c>
      <c r="Q123">
        <v>33</v>
      </c>
      <c r="R123">
        <v>464</v>
      </c>
      <c r="S123">
        <v>480</v>
      </c>
      <c r="T123">
        <v>1074</v>
      </c>
      <c r="U123">
        <v>213</v>
      </c>
      <c r="V123">
        <v>329</v>
      </c>
      <c r="W123">
        <v>116</v>
      </c>
      <c r="X123">
        <v>249</v>
      </c>
      <c r="Y123">
        <v>231</v>
      </c>
      <c r="Z123" s="10" t="s">
        <v>115</v>
      </c>
    </row>
    <row r="124" spans="1:26" x14ac:dyDescent="0.4">
      <c r="A124" s="10">
        <v>123</v>
      </c>
      <c r="B124" s="10" t="s">
        <v>32</v>
      </c>
      <c r="C124" s="10" t="s">
        <v>116</v>
      </c>
      <c r="D124" s="10" t="s">
        <v>65</v>
      </c>
      <c r="E124" s="10" t="s">
        <v>81</v>
      </c>
      <c r="F124" s="10" t="s">
        <v>6</v>
      </c>
      <c r="G124" s="10" t="s">
        <v>27</v>
      </c>
      <c r="H124">
        <v>124</v>
      </c>
      <c r="I124">
        <v>121</v>
      </c>
      <c r="J124">
        <v>114</v>
      </c>
      <c r="K124">
        <v>122</v>
      </c>
      <c r="L124">
        <v>101</v>
      </c>
      <c r="M124">
        <v>116</v>
      </c>
      <c r="N124">
        <v>118</v>
      </c>
      <c r="O124">
        <v>116</v>
      </c>
      <c r="P124">
        <v>116</v>
      </c>
      <c r="Q124">
        <v>51</v>
      </c>
      <c r="R124">
        <v>481</v>
      </c>
      <c r="S124">
        <v>466</v>
      </c>
      <c r="T124">
        <v>1099</v>
      </c>
      <c r="U124">
        <v>225</v>
      </c>
      <c r="V124">
        <v>344</v>
      </c>
      <c r="W124">
        <v>114</v>
      </c>
      <c r="X124">
        <v>234</v>
      </c>
      <c r="Y124">
        <v>232</v>
      </c>
      <c r="Z124" s="10" t="s">
        <v>117</v>
      </c>
    </row>
    <row r="125" spans="1:26" x14ac:dyDescent="0.4">
      <c r="A125" s="10">
        <v>124</v>
      </c>
      <c r="B125" s="10" t="s">
        <v>741</v>
      </c>
      <c r="C125" s="10" t="s">
        <v>116</v>
      </c>
      <c r="D125" s="10" t="s">
        <v>58</v>
      </c>
      <c r="E125" s="10" t="s">
        <v>81</v>
      </c>
      <c r="F125" s="10" t="s">
        <v>6</v>
      </c>
      <c r="G125" s="10" t="s">
        <v>27</v>
      </c>
      <c r="H125">
        <v>127</v>
      </c>
      <c r="I125">
        <v>124</v>
      </c>
      <c r="J125">
        <v>115</v>
      </c>
      <c r="K125">
        <v>123</v>
      </c>
      <c r="L125">
        <v>101</v>
      </c>
      <c r="M125">
        <v>117</v>
      </c>
      <c r="N125">
        <v>119</v>
      </c>
      <c r="O125">
        <v>119</v>
      </c>
      <c r="P125">
        <v>117</v>
      </c>
      <c r="Q125">
        <v>51</v>
      </c>
      <c r="R125">
        <v>489</v>
      </c>
      <c r="S125">
        <v>472</v>
      </c>
      <c r="T125">
        <v>1113</v>
      </c>
      <c r="U125">
        <v>228</v>
      </c>
      <c r="V125">
        <v>348</v>
      </c>
      <c r="W125">
        <v>115</v>
      </c>
      <c r="X125">
        <v>236</v>
      </c>
      <c r="Y125">
        <v>236</v>
      </c>
      <c r="Z125" s="10" t="s">
        <v>117</v>
      </c>
    </row>
    <row r="126" spans="1:26" x14ac:dyDescent="0.4">
      <c r="A126" s="10">
        <v>125</v>
      </c>
      <c r="B126" s="10" t="s">
        <v>32</v>
      </c>
      <c r="C126" s="10" t="s">
        <v>116</v>
      </c>
      <c r="D126" s="10" t="s">
        <v>65</v>
      </c>
      <c r="E126" s="10" t="s">
        <v>81</v>
      </c>
      <c r="F126" s="10" t="s">
        <v>6</v>
      </c>
      <c r="G126" s="10" t="s">
        <v>92</v>
      </c>
      <c r="H126">
        <v>120</v>
      </c>
      <c r="I126">
        <v>117</v>
      </c>
      <c r="J126">
        <v>110</v>
      </c>
      <c r="K126">
        <v>118</v>
      </c>
      <c r="L126">
        <v>99</v>
      </c>
      <c r="M126">
        <v>112</v>
      </c>
      <c r="N126">
        <v>114</v>
      </c>
      <c r="O126">
        <v>112</v>
      </c>
      <c r="P126">
        <v>112</v>
      </c>
      <c r="Q126">
        <v>49</v>
      </c>
      <c r="R126">
        <v>465</v>
      </c>
      <c r="S126">
        <v>450</v>
      </c>
      <c r="T126">
        <v>1063</v>
      </c>
      <c r="U126">
        <v>219</v>
      </c>
      <c r="V126">
        <v>334</v>
      </c>
      <c r="W126">
        <v>110</v>
      </c>
      <c r="X126">
        <v>226</v>
      </c>
      <c r="Y126">
        <v>224</v>
      </c>
      <c r="Z126" s="10" t="s">
        <v>117</v>
      </c>
    </row>
    <row r="127" spans="1:26" x14ac:dyDescent="0.4">
      <c r="A127" s="10">
        <v>126</v>
      </c>
      <c r="B127" s="10" t="s">
        <v>32</v>
      </c>
      <c r="C127" s="10" t="s">
        <v>571</v>
      </c>
      <c r="D127" s="10" t="s">
        <v>65</v>
      </c>
      <c r="E127" s="10" t="s">
        <v>67</v>
      </c>
      <c r="F127" s="10" t="s">
        <v>6</v>
      </c>
      <c r="G127" s="10" t="s">
        <v>27</v>
      </c>
      <c r="H127">
        <v>113</v>
      </c>
      <c r="I127">
        <v>120</v>
      </c>
      <c r="J127">
        <v>120</v>
      </c>
      <c r="K127">
        <v>121</v>
      </c>
      <c r="L127">
        <v>97</v>
      </c>
      <c r="M127">
        <v>113</v>
      </c>
      <c r="N127">
        <v>116</v>
      </c>
      <c r="O127">
        <v>114</v>
      </c>
      <c r="P127">
        <v>117</v>
      </c>
      <c r="Q127">
        <v>31</v>
      </c>
      <c r="R127">
        <v>474</v>
      </c>
      <c r="S127">
        <v>460</v>
      </c>
      <c r="T127">
        <v>1062</v>
      </c>
      <c r="U127">
        <v>210</v>
      </c>
      <c r="V127">
        <v>338</v>
      </c>
      <c r="W127">
        <v>120</v>
      </c>
      <c r="X127">
        <v>233</v>
      </c>
      <c r="Y127">
        <v>227</v>
      </c>
      <c r="Z127" s="10" t="s">
        <v>572</v>
      </c>
    </row>
    <row r="128" spans="1:26" x14ac:dyDescent="0.4">
      <c r="A128" s="10">
        <v>127</v>
      </c>
      <c r="B128" s="10" t="s">
        <v>32</v>
      </c>
      <c r="C128" s="10" t="s">
        <v>118</v>
      </c>
      <c r="D128" s="10" t="s">
        <v>63</v>
      </c>
      <c r="E128" s="10" t="s">
        <v>59</v>
      </c>
      <c r="F128" s="10" t="s">
        <v>10</v>
      </c>
      <c r="G128" s="10" t="s">
        <v>27</v>
      </c>
      <c r="H128">
        <v>125</v>
      </c>
      <c r="I128">
        <v>113</v>
      </c>
      <c r="J128">
        <v>112</v>
      </c>
      <c r="K128">
        <v>122</v>
      </c>
      <c r="L128">
        <v>97</v>
      </c>
      <c r="M128">
        <v>130</v>
      </c>
      <c r="N128">
        <v>115</v>
      </c>
      <c r="O128">
        <v>116</v>
      </c>
      <c r="P128">
        <v>115</v>
      </c>
      <c r="Q128">
        <v>31</v>
      </c>
      <c r="R128">
        <v>472</v>
      </c>
      <c r="S128">
        <v>476</v>
      </c>
      <c r="T128">
        <v>1076</v>
      </c>
      <c r="U128">
        <v>222</v>
      </c>
      <c r="V128">
        <v>332</v>
      </c>
      <c r="W128">
        <v>112</v>
      </c>
      <c r="X128">
        <v>230</v>
      </c>
      <c r="Y128">
        <v>246</v>
      </c>
      <c r="Z128" s="10" t="s">
        <v>119</v>
      </c>
    </row>
    <row r="129" spans="1:26" x14ac:dyDescent="0.4">
      <c r="A129" s="10">
        <v>128</v>
      </c>
      <c r="B129" s="10" t="s">
        <v>61</v>
      </c>
      <c r="C129" s="10" t="s">
        <v>118</v>
      </c>
      <c r="D129" s="10" t="s">
        <v>63</v>
      </c>
      <c r="E129" s="10" t="s">
        <v>59</v>
      </c>
      <c r="F129" s="10" t="s">
        <v>10</v>
      </c>
      <c r="G129" s="10" t="s">
        <v>27</v>
      </c>
      <c r="H129">
        <v>128</v>
      </c>
      <c r="I129">
        <v>114</v>
      </c>
      <c r="J129">
        <v>113</v>
      </c>
      <c r="K129">
        <v>123</v>
      </c>
      <c r="L129">
        <v>97</v>
      </c>
      <c r="M129">
        <v>133</v>
      </c>
      <c r="N129">
        <v>116</v>
      </c>
      <c r="O129">
        <v>119</v>
      </c>
      <c r="P129">
        <v>116</v>
      </c>
      <c r="Q129">
        <v>31</v>
      </c>
      <c r="R129">
        <v>478</v>
      </c>
      <c r="S129">
        <v>484</v>
      </c>
      <c r="T129">
        <v>1090</v>
      </c>
      <c r="U129">
        <v>225</v>
      </c>
      <c r="V129">
        <v>334</v>
      </c>
      <c r="W129">
        <v>113</v>
      </c>
      <c r="X129">
        <v>232</v>
      </c>
      <c r="Y129">
        <v>252</v>
      </c>
      <c r="Z129" s="10" t="s">
        <v>119</v>
      </c>
    </row>
    <row r="130" spans="1:26" x14ac:dyDescent="0.4">
      <c r="A130" s="10">
        <v>129</v>
      </c>
      <c r="B130" s="10" t="s">
        <v>86</v>
      </c>
      <c r="C130" s="10" t="s">
        <v>118</v>
      </c>
      <c r="D130" s="10" t="s">
        <v>65</v>
      </c>
      <c r="E130" s="10" t="s">
        <v>59</v>
      </c>
      <c r="F130" s="10" t="s">
        <v>10</v>
      </c>
      <c r="G130" s="10" t="s">
        <v>27</v>
      </c>
      <c r="H130">
        <v>130</v>
      </c>
      <c r="I130">
        <v>114</v>
      </c>
      <c r="J130">
        <v>113</v>
      </c>
      <c r="K130">
        <v>123</v>
      </c>
      <c r="L130">
        <v>97</v>
      </c>
      <c r="M130">
        <v>131</v>
      </c>
      <c r="N130">
        <v>116</v>
      </c>
      <c r="O130">
        <v>119</v>
      </c>
      <c r="P130">
        <v>116</v>
      </c>
      <c r="Q130">
        <v>31</v>
      </c>
      <c r="R130">
        <v>480</v>
      </c>
      <c r="S130">
        <v>482</v>
      </c>
      <c r="T130">
        <v>1090</v>
      </c>
      <c r="U130">
        <v>227</v>
      </c>
      <c r="V130">
        <v>334</v>
      </c>
      <c r="W130">
        <v>113</v>
      </c>
      <c r="X130">
        <v>232</v>
      </c>
      <c r="Y130">
        <v>250</v>
      </c>
      <c r="Z130" s="10" t="s">
        <v>119</v>
      </c>
    </row>
    <row r="131" spans="1:26" x14ac:dyDescent="0.4">
      <c r="A131" s="10">
        <v>130</v>
      </c>
      <c r="B131" s="10" t="s">
        <v>565</v>
      </c>
      <c r="C131" s="10" t="s">
        <v>118</v>
      </c>
      <c r="D131" s="10" t="s">
        <v>58</v>
      </c>
      <c r="E131" s="10" t="s">
        <v>59</v>
      </c>
      <c r="F131" s="10" t="s">
        <v>10</v>
      </c>
      <c r="G131" s="10" t="s">
        <v>27</v>
      </c>
      <c r="H131">
        <v>130</v>
      </c>
      <c r="I131">
        <v>114</v>
      </c>
      <c r="J131">
        <v>114</v>
      </c>
      <c r="K131">
        <v>123</v>
      </c>
      <c r="L131">
        <v>97</v>
      </c>
      <c r="M131">
        <v>136</v>
      </c>
      <c r="N131">
        <v>117</v>
      </c>
      <c r="O131">
        <v>121</v>
      </c>
      <c r="P131">
        <v>117</v>
      </c>
      <c r="Q131">
        <v>31</v>
      </c>
      <c r="R131">
        <v>481</v>
      </c>
      <c r="S131">
        <v>491</v>
      </c>
      <c r="T131">
        <v>1100</v>
      </c>
      <c r="U131">
        <v>227</v>
      </c>
      <c r="V131">
        <v>334</v>
      </c>
      <c r="W131">
        <v>114</v>
      </c>
      <c r="X131">
        <v>234</v>
      </c>
      <c r="Y131">
        <v>257</v>
      </c>
      <c r="Z131" s="10" t="s">
        <v>119</v>
      </c>
    </row>
    <row r="132" spans="1:26" x14ac:dyDescent="0.4">
      <c r="A132" s="10">
        <v>131</v>
      </c>
      <c r="B132" s="10" t="s">
        <v>669</v>
      </c>
      <c r="C132" s="10" t="s">
        <v>118</v>
      </c>
      <c r="D132" s="10" t="s">
        <v>65</v>
      </c>
      <c r="E132" s="10" t="s">
        <v>59</v>
      </c>
      <c r="F132" s="10" t="s">
        <v>10</v>
      </c>
      <c r="G132" s="10" t="s">
        <v>27</v>
      </c>
      <c r="H132">
        <v>131</v>
      </c>
      <c r="I132">
        <v>114</v>
      </c>
      <c r="J132">
        <v>114</v>
      </c>
      <c r="K132">
        <v>123</v>
      </c>
      <c r="L132">
        <v>97</v>
      </c>
      <c r="M132">
        <v>134</v>
      </c>
      <c r="N132">
        <v>119</v>
      </c>
      <c r="O132">
        <v>120</v>
      </c>
      <c r="P132">
        <v>118</v>
      </c>
      <c r="Q132">
        <v>31</v>
      </c>
      <c r="R132">
        <v>482</v>
      </c>
      <c r="S132">
        <v>491</v>
      </c>
      <c r="T132">
        <v>1101</v>
      </c>
      <c r="U132">
        <v>228</v>
      </c>
      <c r="V132">
        <v>334</v>
      </c>
      <c r="W132">
        <v>114</v>
      </c>
      <c r="X132">
        <v>237</v>
      </c>
      <c r="Y132">
        <v>254</v>
      </c>
      <c r="Z132" s="10" t="s">
        <v>119</v>
      </c>
    </row>
    <row r="133" spans="1:26" x14ac:dyDescent="0.4">
      <c r="A133" s="10">
        <v>132</v>
      </c>
      <c r="B133" s="10" t="s">
        <v>854</v>
      </c>
      <c r="C133" s="10" t="s">
        <v>118</v>
      </c>
      <c r="D133" s="10" t="s">
        <v>63</v>
      </c>
      <c r="E133" s="10" t="s">
        <v>59</v>
      </c>
      <c r="F133" s="10" t="s">
        <v>10</v>
      </c>
      <c r="G133" s="10" t="s">
        <v>27</v>
      </c>
      <c r="H133">
        <v>131</v>
      </c>
      <c r="I133">
        <v>115</v>
      </c>
      <c r="J133">
        <v>115</v>
      </c>
      <c r="K133">
        <v>124</v>
      </c>
      <c r="L133">
        <v>97</v>
      </c>
      <c r="M133">
        <v>138</v>
      </c>
      <c r="N133">
        <v>118</v>
      </c>
      <c r="O133">
        <v>123</v>
      </c>
      <c r="P133">
        <v>118</v>
      </c>
      <c r="Q133">
        <v>31</v>
      </c>
      <c r="R133">
        <v>485</v>
      </c>
      <c r="S133">
        <v>497</v>
      </c>
      <c r="T133">
        <v>1110</v>
      </c>
      <c r="U133">
        <v>228</v>
      </c>
      <c r="V133">
        <v>336</v>
      </c>
      <c r="W133">
        <v>115</v>
      </c>
      <c r="X133">
        <v>236</v>
      </c>
      <c r="Y133">
        <v>261</v>
      </c>
      <c r="Z133" s="10" t="s">
        <v>119</v>
      </c>
    </row>
    <row r="134" spans="1:26" x14ac:dyDescent="0.4">
      <c r="A134" s="10">
        <v>133</v>
      </c>
      <c r="B134" s="10" t="s">
        <v>32</v>
      </c>
      <c r="C134" s="10" t="s">
        <v>120</v>
      </c>
      <c r="D134" s="10" t="s">
        <v>58</v>
      </c>
      <c r="E134" s="10" t="s">
        <v>81</v>
      </c>
      <c r="F134" s="10" t="s">
        <v>10</v>
      </c>
      <c r="G134" s="10" t="s">
        <v>27</v>
      </c>
      <c r="H134">
        <v>124</v>
      </c>
      <c r="I134">
        <v>119</v>
      </c>
      <c r="J134">
        <v>114</v>
      </c>
      <c r="K134">
        <v>127</v>
      </c>
      <c r="L134">
        <v>101</v>
      </c>
      <c r="M134">
        <v>127</v>
      </c>
      <c r="N134">
        <v>116</v>
      </c>
      <c r="O134">
        <v>116</v>
      </c>
      <c r="P134">
        <v>119</v>
      </c>
      <c r="Q134">
        <v>36</v>
      </c>
      <c r="R134">
        <v>484</v>
      </c>
      <c r="S134">
        <v>478</v>
      </c>
      <c r="T134">
        <v>1099</v>
      </c>
      <c r="U134">
        <v>225</v>
      </c>
      <c r="V134">
        <v>347</v>
      </c>
      <c r="W134">
        <v>114</v>
      </c>
      <c r="X134">
        <v>235</v>
      </c>
      <c r="Y134">
        <v>243</v>
      </c>
      <c r="Z134" s="10" t="s">
        <v>121</v>
      </c>
    </row>
    <row r="135" spans="1:26" x14ac:dyDescent="0.4">
      <c r="A135" s="10">
        <v>134</v>
      </c>
      <c r="B135" s="10" t="s">
        <v>61</v>
      </c>
      <c r="C135" s="10" t="s">
        <v>120</v>
      </c>
      <c r="D135" s="10" t="s">
        <v>58</v>
      </c>
      <c r="E135" s="10" t="s">
        <v>81</v>
      </c>
      <c r="F135" s="10" t="s">
        <v>10</v>
      </c>
      <c r="G135" s="10" t="s">
        <v>27</v>
      </c>
      <c r="H135">
        <v>127</v>
      </c>
      <c r="I135">
        <v>122</v>
      </c>
      <c r="J135">
        <v>115</v>
      </c>
      <c r="K135">
        <v>128</v>
      </c>
      <c r="L135">
        <v>101</v>
      </c>
      <c r="M135">
        <v>128</v>
      </c>
      <c r="N135">
        <v>117</v>
      </c>
      <c r="O135">
        <v>119</v>
      </c>
      <c r="P135">
        <v>120</v>
      </c>
      <c r="Q135">
        <v>36</v>
      </c>
      <c r="R135">
        <v>492</v>
      </c>
      <c r="S135">
        <v>484</v>
      </c>
      <c r="T135">
        <v>1113</v>
      </c>
      <c r="U135">
        <v>228</v>
      </c>
      <c r="V135">
        <v>351</v>
      </c>
      <c r="W135">
        <v>115</v>
      </c>
      <c r="X135">
        <v>237</v>
      </c>
      <c r="Y135">
        <v>247</v>
      </c>
      <c r="Z135" s="10" t="s">
        <v>121</v>
      </c>
    </row>
    <row r="136" spans="1:26" x14ac:dyDescent="0.4">
      <c r="A136" s="10">
        <v>135</v>
      </c>
      <c r="B136" s="10" t="s">
        <v>86</v>
      </c>
      <c r="C136" s="10" t="s">
        <v>120</v>
      </c>
      <c r="D136" s="10" t="s">
        <v>63</v>
      </c>
      <c r="E136" s="10" t="s">
        <v>81</v>
      </c>
      <c r="F136" s="10" t="s">
        <v>10</v>
      </c>
      <c r="G136" s="10" t="s">
        <v>27</v>
      </c>
      <c r="H136">
        <v>124</v>
      </c>
      <c r="I136">
        <v>119</v>
      </c>
      <c r="J136">
        <v>115</v>
      </c>
      <c r="K136">
        <v>126</v>
      </c>
      <c r="L136">
        <v>101</v>
      </c>
      <c r="M136">
        <v>131</v>
      </c>
      <c r="N136">
        <v>120</v>
      </c>
      <c r="O136">
        <v>119</v>
      </c>
      <c r="P136">
        <v>122</v>
      </c>
      <c r="Q136">
        <v>36</v>
      </c>
      <c r="R136">
        <v>484</v>
      </c>
      <c r="S136">
        <v>492</v>
      </c>
      <c r="T136">
        <v>1113</v>
      </c>
      <c r="U136">
        <v>225</v>
      </c>
      <c r="V136">
        <v>346</v>
      </c>
      <c r="W136">
        <v>115</v>
      </c>
      <c r="X136">
        <v>242</v>
      </c>
      <c r="Y136">
        <v>250</v>
      </c>
      <c r="Z136" s="10" t="s">
        <v>121</v>
      </c>
    </row>
    <row r="137" spans="1:26" x14ac:dyDescent="0.4">
      <c r="A137" s="10">
        <v>136</v>
      </c>
      <c r="B137" s="10" t="s">
        <v>329</v>
      </c>
      <c r="C137" s="10" t="s">
        <v>120</v>
      </c>
      <c r="D137" s="10" t="s">
        <v>65</v>
      </c>
      <c r="E137" s="10" t="s">
        <v>81</v>
      </c>
      <c r="F137" s="10" t="s">
        <v>10</v>
      </c>
      <c r="G137" s="10" t="s">
        <v>27</v>
      </c>
      <c r="H137">
        <v>130</v>
      </c>
      <c r="I137">
        <v>120</v>
      </c>
      <c r="J137">
        <v>115</v>
      </c>
      <c r="K137">
        <v>126</v>
      </c>
      <c r="L137">
        <v>101</v>
      </c>
      <c r="M137">
        <v>130</v>
      </c>
      <c r="N137">
        <v>116</v>
      </c>
      <c r="O137">
        <v>121</v>
      </c>
      <c r="P137">
        <v>119</v>
      </c>
      <c r="Q137">
        <v>39</v>
      </c>
      <c r="R137">
        <v>491</v>
      </c>
      <c r="S137">
        <v>486</v>
      </c>
      <c r="T137">
        <v>1117</v>
      </c>
      <c r="U137">
        <v>231</v>
      </c>
      <c r="V137">
        <v>347</v>
      </c>
      <c r="W137">
        <v>115</v>
      </c>
      <c r="X137">
        <v>235</v>
      </c>
      <c r="Y137">
        <v>251</v>
      </c>
      <c r="Z137" s="10" t="s">
        <v>121</v>
      </c>
    </row>
    <row r="138" spans="1:26" x14ac:dyDescent="0.4">
      <c r="A138" s="10">
        <v>137</v>
      </c>
      <c r="B138" s="10" t="s">
        <v>669</v>
      </c>
      <c r="C138" s="10" t="s">
        <v>120</v>
      </c>
      <c r="D138" s="10" t="s">
        <v>58</v>
      </c>
      <c r="E138" s="10" t="s">
        <v>81</v>
      </c>
      <c r="F138" s="10" t="s">
        <v>10</v>
      </c>
      <c r="G138" s="10" t="s">
        <v>27</v>
      </c>
      <c r="H138">
        <v>126</v>
      </c>
      <c r="I138">
        <v>125</v>
      </c>
      <c r="J138">
        <v>114</v>
      </c>
      <c r="K138">
        <v>130</v>
      </c>
      <c r="L138">
        <v>101</v>
      </c>
      <c r="M138">
        <v>126</v>
      </c>
      <c r="N138">
        <v>119</v>
      </c>
      <c r="O138">
        <v>117</v>
      </c>
      <c r="P138">
        <v>121</v>
      </c>
      <c r="Q138">
        <v>36</v>
      </c>
      <c r="R138">
        <v>495</v>
      </c>
      <c r="S138">
        <v>483</v>
      </c>
      <c r="T138">
        <v>1115</v>
      </c>
      <c r="U138">
        <v>227</v>
      </c>
      <c r="V138">
        <v>356</v>
      </c>
      <c r="W138">
        <v>114</v>
      </c>
      <c r="X138">
        <v>240</v>
      </c>
      <c r="Y138">
        <v>243</v>
      </c>
      <c r="Z138" s="10" t="s">
        <v>121</v>
      </c>
    </row>
    <row r="139" spans="1:26" x14ac:dyDescent="0.4">
      <c r="A139" s="10">
        <v>138</v>
      </c>
      <c r="B139" s="10" t="s">
        <v>731</v>
      </c>
      <c r="C139" s="10" t="s">
        <v>120</v>
      </c>
      <c r="D139" s="10" t="s">
        <v>63</v>
      </c>
      <c r="E139" s="10" t="s">
        <v>81</v>
      </c>
      <c r="F139" s="10" t="s">
        <v>10</v>
      </c>
      <c r="G139" s="10" t="s">
        <v>27</v>
      </c>
      <c r="H139">
        <v>129</v>
      </c>
      <c r="I139">
        <v>122</v>
      </c>
      <c r="J139">
        <v>116</v>
      </c>
      <c r="K139">
        <v>128</v>
      </c>
      <c r="L139">
        <v>101</v>
      </c>
      <c r="M139">
        <v>131</v>
      </c>
      <c r="N139">
        <v>118</v>
      </c>
      <c r="O139">
        <v>121</v>
      </c>
      <c r="P139">
        <v>121</v>
      </c>
      <c r="Q139">
        <v>36</v>
      </c>
      <c r="R139">
        <v>495</v>
      </c>
      <c r="S139">
        <v>491</v>
      </c>
      <c r="T139">
        <v>1123</v>
      </c>
      <c r="U139">
        <v>230</v>
      </c>
      <c r="V139">
        <v>351</v>
      </c>
      <c r="W139">
        <v>116</v>
      </c>
      <c r="X139">
        <v>239</v>
      </c>
      <c r="Y139">
        <v>252</v>
      </c>
      <c r="Z139" s="10" t="s">
        <v>121</v>
      </c>
    </row>
    <row r="140" spans="1:26" x14ac:dyDescent="0.4">
      <c r="A140" s="10">
        <v>139</v>
      </c>
      <c r="B140" s="10" t="s">
        <v>769</v>
      </c>
      <c r="C140" s="10" t="s">
        <v>120</v>
      </c>
      <c r="D140" s="10" t="s">
        <v>65</v>
      </c>
      <c r="E140" s="10" t="s">
        <v>81</v>
      </c>
      <c r="F140" s="10" t="s">
        <v>10</v>
      </c>
      <c r="G140" s="10" t="s">
        <v>27</v>
      </c>
      <c r="H140">
        <v>131</v>
      </c>
      <c r="I140">
        <v>122</v>
      </c>
      <c r="J140">
        <v>116</v>
      </c>
      <c r="K140">
        <v>128</v>
      </c>
      <c r="L140">
        <v>101</v>
      </c>
      <c r="M140">
        <v>130</v>
      </c>
      <c r="N140">
        <v>118</v>
      </c>
      <c r="O140">
        <v>121</v>
      </c>
      <c r="P140">
        <v>121</v>
      </c>
      <c r="Q140">
        <v>36</v>
      </c>
      <c r="R140">
        <v>497</v>
      </c>
      <c r="S140">
        <v>490</v>
      </c>
      <c r="T140">
        <v>1124</v>
      </c>
      <c r="U140">
        <v>232</v>
      </c>
      <c r="V140">
        <v>351</v>
      </c>
      <c r="W140">
        <v>116</v>
      </c>
      <c r="X140">
        <v>239</v>
      </c>
      <c r="Y140">
        <v>251</v>
      </c>
      <c r="Z140" s="10" t="s">
        <v>121</v>
      </c>
    </row>
    <row r="141" spans="1:26" x14ac:dyDescent="0.4">
      <c r="A141" s="10">
        <v>140</v>
      </c>
      <c r="B141" s="10" t="s">
        <v>854</v>
      </c>
      <c r="C141" s="10" t="s">
        <v>120</v>
      </c>
      <c r="D141" s="10" t="s">
        <v>58</v>
      </c>
      <c r="E141" s="10" t="s">
        <v>81</v>
      </c>
      <c r="F141" s="10" t="s">
        <v>10</v>
      </c>
      <c r="G141" s="10" t="s">
        <v>27</v>
      </c>
      <c r="H141">
        <v>128</v>
      </c>
      <c r="I141">
        <v>125</v>
      </c>
      <c r="J141">
        <v>115</v>
      </c>
      <c r="K141">
        <v>131</v>
      </c>
      <c r="L141">
        <v>101</v>
      </c>
      <c r="M141">
        <v>128</v>
      </c>
      <c r="N141">
        <v>119</v>
      </c>
      <c r="O141">
        <v>120</v>
      </c>
      <c r="P141">
        <v>122</v>
      </c>
      <c r="Q141">
        <v>36</v>
      </c>
      <c r="R141">
        <v>499</v>
      </c>
      <c r="S141">
        <v>489</v>
      </c>
      <c r="T141">
        <v>1125</v>
      </c>
      <c r="U141">
        <v>229</v>
      </c>
      <c r="V141">
        <v>357</v>
      </c>
      <c r="W141">
        <v>115</v>
      </c>
      <c r="X141">
        <v>241</v>
      </c>
      <c r="Y141">
        <v>248</v>
      </c>
      <c r="Z141" s="10" t="s">
        <v>121</v>
      </c>
    </row>
    <row r="142" spans="1:26" x14ac:dyDescent="0.4">
      <c r="A142" s="10">
        <v>141</v>
      </c>
      <c r="B142" s="10" t="s">
        <v>32</v>
      </c>
      <c r="C142" s="10" t="s">
        <v>122</v>
      </c>
      <c r="D142" s="10" t="s">
        <v>63</v>
      </c>
      <c r="E142" s="10" t="s">
        <v>67</v>
      </c>
      <c r="F142" s="10" t="s">
        <v>10</v>
      </c>
      <c r="G142" s="10" t="s">
        <v>27</v>
      </c>
      <c r="H142">
        <v>119</v>
      </c>
      <c r="I142">
        <v>118</v>
      </c>
      <c r="J142">
        <v>123</v>
      </c>
      <c r="K142">
        <v>121</v>
      </c>
      <c r="L142">
        <v>97</v>
      </c>
      <c r="M142">
        <v>127</v>
      </c>
      <c r="N142">
        <v>116</v>
      </c>
      <c r="O142">
        <v>116</v>
      </c>
      <c r="P142">
        <v>116</v>
      </c>
      <c r="Q142">
        <v>29</v>
      </c>
      <c r="R142">
        <v>481</v>
      </c>
      <c r="S142">
        <v>475</v>
      </c>
      <c r="T142">
        <v>1082</v>
      </c>
      <c r="U142">
        <v>216</v>
      </c>
      <c r="V142">
        <v>336</v>
      </c>
      <c r="W142">
        <v>123</v>
      </c>
      <c r="X142">
        <v>232</v>
      </c>
      <c r="Y142">
        <v>243</v>
      </c>
      <c r="Z142" s="10" t="s">
        <v>123</v>
      </c>
    </row>
    <row r="143" spans="1:26" x14ac:dyDescent="0.4">
      <c r="A143" s="10">
        <v>142</v>
      </c>
      <c r="B143" s="10" t="s">
        <v>61</v>
      </c>
      <c r="C143" s="10" t="s">
        <v>122</v>
      </c>
      <c r="D143" s="10" t="s">
        <v>63</v>
      </c>
      <c r="E143" s="10" t="s">
        <v>67</v>
      </c>
      <c r="F143" s="10" t="s">
        <v>10</v>
      </c>
      <c r="G143" s="10" t="s">
        <v>27</v>
      </c>
      <c r="H143">
        <v>120</v>
      </c>
      <c r="I143">
        <v>121</v>
      </c>
      <c r="J143">
        <v>126</v>
      </c>
      <c r="K143">
        <v>124</v>
      </c>
      <c r="L143">
        <v>97</v>
      </c>
      <c r="M143">
        <v>128</v>
      </c>
      <c r="N143">
        <v>117</v>
      </c>
      <c r="O143">
        <v>117</v>
      </c>
      <c r="P143">
        <v>117</v>
      </c>
      <c r="Q143">
        <v>29</v>
      </c>
      <c r="R143">
        <v>491</v>
      </c>
      <c r="S143">
        <v>479</v>
      </c>
      <c r="T143">
        <v>1096</v>
      </c>
      <c r="U143">
        <v>217</v>
      </c>
      <c r="V143">
        <v>342</v>
      </c>
      <c r="W143">
        <v>126</v>
      </c>
      <c r="X143">
        <v>234</v>
      </c>
      <c r="Y143">
        <v>245</v>
      </c>
      <c r="Z143" s="10" t="s">
        <v>123</v>
      </c>
    </row>
    <row r="144" spans="1:26" x14ac:dyDescent="0.4">
      <c r="A144" s="10">
        <v>143</v>
      </c>
      <c r="B144" s="10" t="s">
        <v>73</v>
      </c>
      <c r="C144" s="10" t="s">
        <v>122</v>
      </c>
      <c r="D144" s="10" t="s">
        <v>65</v>
      </c>
      <c r="E144" s="10" t="s">
        <v>67</v>
      </c>
      <c r="F144" s="10" t="s">
        <v>10</v>
      </c>
      <c r="G144" s="10" t="s">
        <v>27</v>
      </c>
      <c r="H144">
        <v>122</v>
      </c>
      <c r="I144">
        <v>123</v>
      </c>
      <c r="J144">
        <v>126</v>
      </c>
      <c r="K144">
        <v>126</v>
      </c>
      <c r="L144">
        <v>97</v>
      </c>
      <c r="M144">
        <v>126</v>
      </c>
      <c r="N144">
        <v>115</v>
      </c>
      <c r="O144">
        <v>116</v>
      </c>
      <c r="P144">
        <v>116</v>
      </c>
      <c r="Q144">
        <v>29</v>
      </c>
      <c r="R144">
        <v>497</v>
      </c>
      <c r="S144">
        <v>473</v>
      </c>
      <c r="T144">
        <v>1096</v>
      </c>
      <c r="U144">
        <v>219</v>
      </c>
      <c r="V144">
        <v>346</v>
      </c>
      <c r="W144">
        <v>126</v>
      </c>
      <c r="X144">
        <v>231</v>
      </c>
      <c r="Y144">
        <v>242</v>
      </c>
      <c r="Z144" s="10" t="s">
        <v>123</v>
      </c>
    </row>
    <row r="145" spans="1:26" x14ac:dyDescent="0.4">
      <c r="A145" s="10">
        <v>144</v>
      </c>
      <c r="B145" s="10" t="s">
        <v>635</v>
      </c>
      <c r="C145" s="10" t="s">
        <v>122</v>
      </c>
      <c r="D145" s="10" t="s">
        <v>58</v>
      </c>
      <c r="E145" s="10" t="s">
        <v>67</v>
      </c>
      <c r="F145" s="10" t="s">
        <v>10</v>
      </c>
      <c r="G145" s="10" t="s">
        <v>27</v>
      </c>
      <c r="H145">
        <v>121</v>
      </c>
      <c r="I145">
        <v>121</v>
      </c>
      <c r="J145">
        <v>128</v>
      </c>
      <c r="K145">
        <v>124</v>
      </c>
      <c r="L145">
        <v>97</v>
      </c>
      <c r="M145">
        <v>131</v>
      </c>
      <c r="N145">
        <v>118</v>
      </c>
      <c r="O145">
        <v>119</v>
      </c>
      <c r="P145">
        <v>117</v>
      </c>
      <c r="Q145">
        <v>29</v>
      </c>
      <c r="R145">
        <v>494</v>
      </c>
      <c r="S145">
        <v>485</v>
      </c>
      <c r="T145">
        <v>1105</v>
      </c>
      <c r="U145">
        <v>218</v>
      </c>
      <c r="V145">
        <v>342</v>
      </c>
      <c r="W145">
        <v>128</v>
      </c>
      <c r="X145">
        <v>235</v>
      </c>
      <c r="Y145">
        <v>250</v>
      </c>
      <c r="Z145" s="10" t="s">
        <v>123</v>
      </c>
    </row>
    <row r="146" spans="1:26" x14ac:dyDescent="0.4">
      <c r="A146" s="10">
        <v>145</v>
      </c>
      <c r="B146" s="10" t="s">
        <v>801</v>
      </c>
      <c r="C146" s="10" t="s">
        <v>122</v>
      </c>
      <c r="D146" s="10" t="s">
        <v>63</v>
      </c>
      <c r="E146" s="10" t="s">
        <v>67</v>
      </c>
      <c r="F146" s="10" t="s">
        <v>10</v>
      </c>
      <c r="G146" s="10" t="s">
        <v>27</v>
      </c>
      <c r="H146">
        <v>121</v>
      </c>
      <c r="I146">
        <v>123</v>
      </c>
      <c r="J146">
        <v>130</v>
      </c>
      <c r="K146">
        <v>125</v>
      </c>
      <c r="L146">
        <v>97</v>
      </c>
      <c r="M146">
        <v>128</v>
      </c>
      <c r="N146">
        <v>119</v>
      </c>
      <c r="O146">
        <v>117</v>
      </c>
      <c r="P146">
        <v>118</v>
      </c>
      <c r="Q146">
        <v>29</v>
      </c>
      <c r="R146">
        <v>499</v>
      </c>
      <c r="S146">
        <v>482</v>
      </c>
      <c r="T146">
        <v>1107</v>
      </c>
      <c r="U146">
        <v>218</v>
      </c>
      <c r="V146">
        <v>345</v>
      </c>
      <c r="W146">
        <v>130</v>
      </c>
      <c r="X146">
        <v>237</v>
      </c>
      <c r="Y146">
        <v>245</v>
      </c>
      <c r="Z146" s="10" t="s">
        <v>123</v>
      </c>
    </row>
    <row r="147" spans="1:26" x14ac:dyDescent="0.4">
      <c r="A147" s="10">
        <v>146</v>
      </c>
      <c r="B147" s="10" t="s">
        <v>903</v>
      </c>
      <c r="C147" s="10" t="s">
        <v>122</v>
      </c>
      <c r="D147" s="10" t="s">
        <v>65</v>
      </c>
      <c r="E147" s="10" t="s">
        <v>67</v>
      </c>
      <c r="F147" s="10" t="s">
        <v>10</v>
      </c>
      <c r="G147" s="10" t="s">
        <v>27</v>
      </c>
      <c r="H147">
        <v>122</v>
      </c>
      <c r="I147">
        <v>122</v>
      </c>
      <c r="J147">
        <v>129</v>
      </c>
      <c r="K147">
        <v>125</v>
      </c>
      <c r="L147">
        <v>97</v>
      </c>
      <c r="M147">
        <v>133</v>
      </c>
      <c r="N147">
        <v>119</v>
      </c>
      <c r="O147">
        <v>121</v>
      </c>
      <c r="P147">
        <v>118</v>
      </c>
      <c r="Q147">
        <v>29</v>
      </c>
      <c r="R147">
        <v>498</v>
      </c>
      <c r="S147">
        <v>491</v>
      </c>
      <c r="T147">
        <v>1115</v>
      </c>
      <c r="U147">
        <v>219</v>
      </c>
      <c r="V147">
        <v>344</v>
      </c>
      <c r="W147">
        <v>129</v>
      </c>
      <c r="X147">
        <v>237</v>
      </c>
      <c r="Y147">
        <v>254</v>
      </c>
      <c r="Z147" s="10" t="s">
        <v>123</v>
      </c>
    </row>
    <row r="148" spans="1:26" x14ac:dyDescent="0.4">
      <c r="A148" s="10">
        <v>147</v>
      </c>
      <c r="B148" s="10" t="s">
        <v>32</v>
      </c>
      <c r="C148" s="10" t="s">
        <v>124</v>
      </c>
      <c r="D148" s="10" t="s">
        <v>63</v>
      </c>
      <c r="E148" s="10" t="s">
        <v>81</v>
      </c>
      <c r="F148" s="10" t="s">
        <v>10</v>
      </c>
      <c r="G148" s="10" t="s">
        <v>27</v>
      </c>
      <c r="H148">
        <v>121</v>
      </c>
      <c r="I148">
        <v>117</v>
      </c>
      <c r="J148">
        <v>112</v>
      </c>
      <c r="K148">
        <v>119</v>
      </c>
      <c r="L148">
        <v>97</v>
      </c>
      <c r="M148">
        <v>116</v>
      </c>
      <c r="N148">
        <v>114</v>
      </c>
      <c r="O148">
        <v>116</v>
      </c>
      <c r="P148">
        <v>119</v>
      </c>
      <c r="Q148">
        <v>31</v>
      </c>
      <c r="R148">
        <v>469</v>
      </c>
      <c r="S148">
        <v>465</v>
      </c>
      <c r="T148">
        <v>1062</v>
      </c>
      <c r="U148">
        <v>218</v>
      </c>
      <c r="V148">
        <v>333</v>
      </c>
      <c r="W148">
        <v>112</v>
      </c>
      <c r="X148">
        <v>233</v>
      </c>
      <c r="Y148">
        <v>232</v>
      </c>
      <c r="Z148" s="10" t="s">
        <v>125</v>
      </c>
    </row>
    <row r="149" spans="1:26" x14ac:dyDescent="0.4">
      <c r="A149" s="10">
        <v>148</v>
      </c>
      <c r="B149" s="10" t="s">
        <v>32</v>
      </c>
      <c r="C149" s="10" t="s">
        <v>126</v>
      </c>
      <c r="D149" s="10" t="s">
        <v>63</v>
      </c>
      <c r="E149" s="10" t="s">
        <v>81</v>
      </c>
      <c r="F149" s="10" t="s">
        <v>10</v>
      </c>
      <c r="G149" s="10" t="s">
        <v>27</v>
      </c>
      <c r="H149">
        <v>122</v>
      </c>
      <c r="I149">
        <v>118</v>
      </c>
      <c r="J149">
        <v>113</v>
      </c>
      <c r="K149">
        <v>120</v>
      </c>
      <c r="L149">
        <v>97</v>
      </c>
      <c r="M149">
        <v>121</v>
      </c>
      <c r="N149">
        <v>115</v>
      </c>
      <c r="O149">
        <v>117</v>
      </c>
      <c r="P149">
        <v>120</v>
      </c>
      <c r="Q149">
        <v>31</v>
      </c>
      <c r="R149">
        <v>473</v>
      </c>
      <c r="S149">
        <v>473</v>
      </c>
      <c r="T149">
        <v>1074</v>
      </c>
      <c r="U149">
        <v>219</v>
      </c>
      <c r="V149">
        <v>335</v>
      </c>
      <c r="W149">
        <v>113</v>
      </c>
      <c r="X149">
        <v>235</v>
      </c>
      <c r="Y149">
        <v>238</v>
      </c>
      <c r="Z149" s="10" t="s">
        <v>127</v>
      </c>
    </row>
    <row r="150" spans="1:26" x14ac:dyDescent="0.4">
      <c r="A150" s="10">
        <v>149</v>
      </c>
      <c r="B150" s="10" t="s">
        <v>785</v>
      </c>
      <c r="C150" s="10" t="s">
        <v>126</v>
      </c>
      <c r="D150" s="10" t="s">
        <v>65</v>
      </c>
      <c r="E150" s="10" t="s">
        <v>81</v>
      </c>
      <c r="F150" s="10" t="s">
        <v>10</v>
      </c>
      <c r="G150" s="10" t="s">
        <v>27</v>
      </c>
      <c r="H150">
        <v>125</v>
      </c>
      <c r="I150">
        <v>121</v>
      </c>
      <c r="J150">
        <v>114</v>
      </c>
      <c r="K150">
        <v>121</v>
      </c>
      <c r="L150">
        <v>97</v>
      </c>
      <c r="M150">
        <v>122</v>
      </c>
      <c r="N150">
        <v>116</v>
      </c>
      <c r="O150">
        <v>120</v>
      </c>
      <c r="P150">
        <v>121</v>
      </c>
      <c r="Q150">
        <v>31</v>
      </c>
      <c r="R150">
        <v>481</v>
      </c>
      <c r="S150">
        <v>479</v>
      </c>
      <c r="T150">
        <v>1088</v>
      </c>
      <c r="U150">
        <v>222</v>
      </c>
      <c r="V150">
        <v>339</v>
      </c>
      <c r="W150">
        <v>114</v>
      </c>
      <c r="X150">
        <v>237</v>
      </c>
      <c r="Y150">
        <v>242</v>
      </c>
      <c r="Z150" s="10" t="s">
        <v>127</v>
      </c>
    </row>
    <row r="151" spans="1:26" x14ac:dyDescent="0.4">
      <c r="A151" s="10">
        <v>150</v>
      </c>
      <c r="B151" s="10" t="s">
        <v>32</v>
      </c>
      <c r="C151" s="10" t="s">
        <v>128</v>
      </c>
      <c r="D151" s="10" t="s">
        <v>63</v>
      </c>
      <c r="E151" s="10" t="s">
        <v>78</v>
      </c>
      <c r="F151" s="10" t="s">
        <v>10</v>
      </c>
      <c r="G151" s="10" t="s">
        <v>27</v>
      </c>
      <c r="H151">
        <v>113</v>
      </c>
      <c r="I151">
        <v>110</v>
      </c>
      <c r="J151">
        <v>112</v>
      </c>
      <c r="K151">
        <v>121</v>
      </c>
      <c r="L151">
        <v>101</v>
      </c>
      <c r="M151">
        <v>110</v>
      </c>
      <c r="N151">
        <v>124</v>
      </c>
      <c r="O151">
        <v>119</v>
      </c>
      <c r="P151">
        <v>120</v>
      </c>
      <c r="Q151">
        <v>36</v>
      </c>
      <c r="R151">
        <v>456</v>
      </c>
      <c r="S151">
        <v>473</v>
      </c>
      <c r="T151">
        <v>1066</v>
      </c>
      <c r="U151">
        <v>214</v>
      </c>
      <c r="V151">
        <v>332</v>
      </c>
      <c r="W151">
        <v>112</v>
      </c>
      <c r="X151">
        <v>244</v>
      </c>
      <c r="Y151">
        <v>229</v>
      </c>
      <c r="Z151" s="10" t="s">
        <v>129</v>
      </c>
    </row>
    <row r="152" spans="1:26" x14ac:dyDescent="0.4">
      <c r="A152" s="10">
        <v>151</v>
      </c>
      <c r="B152" s="10" t="s">
        <v>763</v>
      </c>
      <c r="C152" s="10" t="s">
        <v>128</v>
      </c>
      <c r="D152" s="10" t="s">
        <v>65</v>
      </c>
      <c r="E152" s="10" t="s">
        <v>78</v>
      </c>
      <c r="F152" s="10" t="s">
        <v>10</v>
      </c>
      <c r="G152" s="10" t="s">
        <v>27</v>
      </c>
      <c r="H152">
        <v>114</v>
      </c>
      <c r="I152">
        <v>111</v>
      </c>
      <c r="J152">
        <v>115</v>
      </c>
      <c r="K152">
        <v>122</v>
      </c>
      <c r="L152">
        <v>101</v>
      </c>
      <c r="M152">
        <v>111</v>
      </c>
      <c r="N152">
        <v>127</v>
      </c>
      <c r="O152">
        <v>120</v>
      </c>
      <c r="P152">
        <v>123</v>
      </c>
      <c r="Q152">
        <v>36</v>
      </c>
      <c r="R152">
        <v>462</v>
      </c>
      <c r="S152">
        <v>481</v>
      </c>
      <c r="T152">
        <v>1080</v>
      </c>
      <c r="U152">
        <v>215</v>
      </c>
      <c r="V152">
        <v>334</v>
      </c>
      <c r="W152">
        <v>115</v>
      </c>
      <c r="X152">
        <v>250</v>
      </c>
      <c r="Y152">
        <v>231</v>
      </c>
      <c r="Z152" s="10" t="s">
        <v>129</v>
      </c>
    </row>
    <row r="153" spans="1:26" x14ac:dyDescent="0.4">
      <c r="A153" s="10">
        <v>152</v>
      </c>
      <c r="B153" s="10" t="s">
        <v>32</v>
      </c>
      <c r="C153" s="10" t="s">
        <v>130</v>
      </c>
      <c r="D153" s="10" t="s">
        <v>63</v>
      </c>
      <c r="E153" s="10" t="s">
        <v>59</v>
      </c>
      <c r="F153" s="10" t="s">
        <v>10</v>
      </c>
      <c r="G153" s="10" t="s">
        <v>27</v>
      </c>
      <c r="H153">
        <v>125</v>
      </c>
      <c r="I153">
        <v>113</v>
      </c>
      <c r="J153">
        <v>112</v>
      </c>
      <c r="K153">
        <v>122</v>
      </c>
      <c r="L153">
        <v>97</v>
      </c>
      <c r="M153">
        <v>125</v>
      </c>
      <c r="N153">
        <v>115</v>
      </c>
      <c r="O153">
        <v>116</v>
      </c>
      <c r="P153">
        <v>115</v>
      </c>
      <c r="Q153">
        <v>31</v>
      </c>
      <c r="R153">
        <v>472</v>
      </c>
      <c r="S153">
        <v>471</v>
      </c>
      <c r="T153">
        <v>1071</v>
      </c>
      <c r="U153">
        <v>222</v>
      </c>
      <c r="V153">
        <v>332</v>
      </c>
      <c r="W153">
        <v>112</v>
      </c>
      <c r="X153">
        <v>230</v>
      </c>
      <c r="Y153">
        <v>241</v>
      </c>
      <c r="Z153" s="10" t="s">
        <v>131</v>
      </c>
    </row>
    <row r="154" spans="1:26" x14ac:dyDescent="0.4">
      <c r="A154" s="10">
        <v>153</v>
      </c>
      <c r="B154" s="10" t="s">
        <v>32</v>
      </c>
      <c r="C154" s="10" t="s">
        <v>132</v>
      </c>
      <c r="D154" s="10" t="s">
        <v>63</v>
      </c>
      <c r="E154" s="10" t="s">
        <v>67</v>
      </c>
      <c r="F154" s="10" t="s">
        <v>10</v>
      </c>
      <c r="G154" s="10" t="s">
        <v>27</v>
      </c>
      <c r="H154">
        <v>115</v>
      </c>
      <c r="I154">
        <v>116</v>
      </c>
      <c r="J154">
        <v>121</v>
      </c>
      <c r="K154">
        <v>120</v>
      </c>
      <c r="L154">
        <v>97</v>
      </c>
      <c r="M154">
        <v>118</v>
      </c>
      <c r="N154">
        <v>117</v>
      </c>
      <c r="O154">
        <v>116</v>
      </c>
      <c r="P154">
        <v>118</v>
      </c>
      <c r="Q154">
        <v>36</v>
      </c>
      <c r="R154">
        <v>472</v>
      </c>
      <c r="S154">
        <v>469</v>
      </c>
      <c r="T154">
        <v>1074</v>
      </c>
      <c r="U154">
        <v>212</v>
      </c>
      <c r="V154">
        <v>333</v>
      </c>
      <c r="W154">
        <v>121</v>
      </c>
      <c r="X154">
        <v>235</v>
      </c>
      <c r="Y154">
        <v>234</v>
      </c>
      <c r="Z154" s="10" t="s">
        <v>133</v>
      </c>
    </row>
    <row r="155" spans="1:26" x14ac:dyDescent="0.4">
      <c r="A155" s="10">
        <v>154</v>
      </c>
      <c r="B155" s="10" t="s">
        <v>865</v>
      </c>
      <c r="C155" s="10" t="s">
        <v>132</v>
      </c>
      <c r="D155" s="10" t="s">
        <v>65</v>
      </c>
      <c r="E155" s="10" t="s">
        <v>67</v>
      </c>
      <c r="F155" s="10" t="s">
        <v>10</v>
      </c>
      <c r="G155" s="10" t="s">
        <v>27</v>
      </c>
      <c r="H155">
        <v>116</v>
      </c>
      <c r="I155">
        <v>119</v>
      </c>
      <c r="J155">
        <v>124</v>
      </c>
      <c r="K155">
        <v>123</v>
      </c>
      <c r="L155">
        <v>97</v>
      </c>
      <c r="M155">
        <v>119</v>
      </c>
      <c r="N155">
        <v>118</v>
      </c>
      <c r="O155">
        <v>117</v>
      </c>
      <c r="P155">
        <v>119</v>
      </c>
      <c r="Q155">
        <v>36</v>
      </c>
      <c r="R155">
        <v>482</v>
      </c>
      <c r="S155">
        <v>473</v>
      </c>
      <c r="T155">
        <v>1088</v>
      </c>
      <c r="U155">
        <v>213</v>
      </c>
      <c r="V155">
        <v>339</v>
      </c>
      <c r="W155">
        <v>124</v>
      </c>
      <c r="X155">
        <v>237</v>
      </c>
      <c r="Y155">
        <v>236</v>
      </c>
      <c r="Z155" s="10" t="s">
        <v>133</v>
      </c>
    </row>
    <row r="156" spans="1:26" x14ac:dyDescent="0.4">
      <c r="A156" s="10">
        <v>155</v>
      </c>
      <c r="B156" s="10" t="s">
        <v>32</v>
      </c>
      <c r="C156" s="10" t="s">
        <v>134</v>
      </c>
      <c r="D156" s="10" t="s">
        <v>63</v>
      </c>
      <c r="E156" s="10" t="s">
        <v>59</v>
      </c>
      <c r="F156" s="10" t="s">
        <v>10</v>
      </c>
      <c r="G156" s="10" t="s">
        <v>27</v>
      </c>
      <c r="H156">
        <v>121</v>
      </c>
      <c r="I156">
        <v>119</v>
      </c>
      <c r="J156">
        <v>112</v>
      </c>
      <c r="K156">
        <v>121</v>
      </c>
      <c r="L156">
        <v>97</v>
      </c>
      <c r="M156">
        <v>123</v>
      </c>
      <c r="N156">
        <v>115</v>
      </c>
      <c r="O156">
        <v>115</v>
      </c>
      <c r="P156">
        <v>115</v>
      </c>
      <c r="Q156">
        <v>31</v>
      </c>
      <c r="R156">
        <v>473</v>
      </c>
      <c r="S156">
        <v>468</v>
      </c>
      <c r="T156">
        <v>1069</v>
      </c>
      <c r="U156">
        <v>218</v>
      </c>
      <c r="V156">
        <v>337</v>
      </c>
      <c r="W156">
        <v>112</v>
      </c>
      <c r="X156">
        <v>230</v>
      </c>
      <c r="Y156">
        <v>238</v>
      </c>
      <c r="Z156" s="10" t="s">
        <v>135</v>
      </c>
    </row>
    <row r="157" spans="1:26" x14ac:dyDescent="0.4">
      <c r="A157" s="10">
        <v>156</v>
      </c>
      <c r="B157" s="10" t="s">
        <v>669</v>
      </c>
      <c r="C157" s="10" t="s">
        <v>134</v>
      </c>
      <c r="D157" s="10" t="s">
        <v>65</v>
      </c>
      <c r="E157" s="10" t="s">
        <v>59</v>
      </c>
      <c r="F157" s="10" t="s">
        <v>10</v>
      </c>
      <c r="G157" s="10" t="s">
        <v>27</v>
      </c>
      <c r="H157">
        <v>124</v>
      </c>
      <c r="I157">
        <v>120</v>
      </c>
      <c r="J157">
        <v>113</v>
      </c>
      <c r="K157">
        <v>122</v>
      </c>
      <c r="L157">
        <v>97</v>
      </c>
      <c r="M157">
        <v>126</v>
      </c>
      <c r="N157">
        <v>116</v>
      </c>
      <c r="O157">
        <v>118</v>
      </c>
      <c r="P157">
        <v>116</v>
      </c>
      <c r="Q157">
        <v>31</v>
      </c>
      <c r="R157">
        <v>479</v>
      </c>
      <c r="S157">
        <v>476</v>
      </c>
      <c r="T157">
        <v>1083</v>
      </c>
      <c r="U157">
        <v>221</v>
      </c>
      <c r="V157">
        <v>339</v>
      </c>
      <c r="W157">
        <v>113</v>
      </c>
      <c r="X157">
        <v>232</v>
      </c>
      <c r="Y157">
        <v>244</v>
      </c>
      <c r="Z157" s="10" t="s">
        <v>135</v>
      </c>
    </row>
    <row r="158" spans="1:26" x14ac:dyDescent="0.4">
      <c r="A158" s="10">
        <v>157</v>
      </c>
      <c r="B158" s="10" t="s">
        <v>32</v>
      </c>
      <c r="C158" s="10" t="s">
        <v>136</v>
      </c>
      <c r="D158" s="10" t="s">
        <v>63</v>
      </c>
      <c r="E158" s="10" t="s">
        <v>81</v>
      </c>
      <c r="F158" s="10" t="s">
        <v>10</v>
      </c>
      <c r="G158" s="10" t="s">
        <v>27</v>
      </c>
      <c r="H158">
        <v>120</v>
      </c>
      <c r="I158">
        <v>117</v>
      </c>
      <c r="J158">
        <v>112</v>
      </c>
      <c r="K158">
        <v>119</v>
      </c>
      <c r="L158">
        <v>97</v>
      </c>
      <c r="M158">
        <v>119</v>
      </c>
      <c r="N158">
        <v>114</v>
      </c>
      <c r="O158">
        <v>116</v>
      </c>
      <c r="P158">
        <v>119</v>
      </c>
      <c r="Q158">
        <v>31</v>
      </c>
      <c r="R158">
        <v>468</v>
      </c>
      <c r="S158">
        <v>468</v>
      </c>
      <c r="T158">
        <v>1064</v>
      </c>
      <c r="U158">
        <v>217</v>
      </c>
      <c r="V158">
        <v>333</v>
      </c>
      <c r="W158">
        <v>112</v>
      </c>
      <c r="X158">
        <v>233</v>
      </c>
      <c r="Y158">
        <v>235</v>
      </c>
      <c r="Z158" s="10" t="s">
        <v>137</v>
      </c>
    </row>
    <row r="159" spans="1:26" x14ac:dyDescent="0.4">
      <c r="A159" s="10">
        <v>158</v>
      </c>
      <c r="B159" s="10" t="s">
        <v>977</v>
      </c>
      <c r="C159" s="10" t="s">
        <v>136</v>
      </c>
      <c r="D159" s="10" t="s">
        <v>65</v>
      </c>
      <c r="E159" s="10" t="s">
        <v>81</v>
      </c>
      <c r="F159" s="10" t="s">
        <v>10</v>
      </c>
      <c r="G159" s="10" t="s">
        <v>27</v>
      </c>
      <c r="H159">
        <v>123</v>
      </c>
      <c r="I159">
        <v>120</v>
      </c>
      <c r="J159">
        <v>113</v>
      </c>
      <c r="K159">
        <v>120</v>
      </c>
      <c r="L159">
        <v>97</v>
      </c>
      <c r="M159">
        <v>120</v>
      </c>
      <c r="N159">
        <v>115</v>
      </c>
      <c r="O159">
        <v>119</v>
      </c>
      <c r="P159">
        <v>120</v>
      </c>
      <c r="Q159">
        <v>31</v>
      </c>
      <c r="R159">
        <v>476</v>
      </c>
      <c r="S159">
        <v>474</v>
      </c>
      <c r="T159">
        <v>1078</v>
      </c>
      <c r="U159">
        <v>220</v>
      </c>
      <c r="V159">
        <v>337</v>
      </c>
      <c r="W159">
        <v>113</v>
      </c>
      <c r="X159">
        <v>235</v>
      </c>
      <c r="Y159">
        <v>239</v>
      </c>
      <c r="Z159" s="10" t="s">
        <v>137</v>
      </c>
    </row>
    <row r="160" spans="1:26" x14ac:dyDescent="0.4">
      <c r="A160" s="10">
        <v>159</v>
      </c>
      <c r="B160" s="10" t="s">
        <v>32</v>
      </c>
      <c r="C160" s="10" t="s">
        <v>138</v>
      </c>
      <c r="D160" s="10" t="s">
        <v>63</v>
      </c>
      <c r="E160" s="10" t="s">
        <v>67</v>
      </c>
      <c r="F160" s="10" t="s">
        <v>4</v>
      </c>
      <c r="G160" s="10" t="s">
        <v>27</v>
      </c>
      <c r="H160">
        <v>127</v>
      </c>
      <c r="I160">
        <v>127</v>
      </c>
      <c r="J160">
        <v>129</v>
      </c>
      <c r="K160">
        <v>127</v>
      </c>
      <c r="L160">
        <v>101</v>
      </c>
      <c r="M160">
        <v>114</v>
      </c>
      <c r="N160">
        <v>115</v>
      </c>
      <c r="O160">
        <v>115</v>
      </c>
      <c r="P160">
        <v>115</v>
      </c>
      <c r="Q160">
        <v>36</v>
      </c>
      <c r="R160">
        <v>510</v>
      </c>
      <c r="S160">
        <v>459</v>
      </c>
      <c r="T160">
        <v>1106</v>
      </c>
      <c r="U160">
        <v>228</v>
      </c>
      <c r="V160">
        <v>355</v>
      </c>
      <c r="W160">
        <v>129</v>
      </c>
      <c r="X160">
        <v>230</v>
      </c>
      <c r="Y160">
        <v>229</v>
      </c>
      <c r="Z160" s="10" t="s">
        <v>139</v>
      </c>
    </row>
    <row r="161" spans="1:26" x14ac:dyDescent="0.4">
      <c r="A161" s="10">
        <v>160</v>
      </c>
      <c r="B161" s="10" t="s">
        <v>86</v>
      </c>
      <c r="C161" s="10" t="s">
        <v>138</v>
      </c>
      <c r="D161" s="10" t="s">
        <v>65</v>
      </c>
      <c r="E161" s="10" t="s">
        <v>67</v>
      </c>
      <c r="F161" s="10" t="s">
        <v>4</v>
      </c>
      <c r="G161" s="10" t="s">
        <v>27</v>
      </c>
      <c r="H161">
        <v>128</v>
      </c>
      <c r="I161">
        <v>130</v>
      </c>
      <c r="J161">
        <v>132</v>
      </c>
      <c r="K161">
        <v>130</v>
      </c>
      <c r="L161">
        <v>101</v>
      </c>
      <c r="M161">
        <v>115</v>
      </c>
      <c r="N161">
        <v>116</v>
      </c>
      <c r="O161">
        <v>116</v>
      </c>
      <c r="P161">
        <v>116</v>
      </c>
      <c r="Q161">
        <v>36</v>
      </c>
      <c r="R161">
        <v>520</v>
      </c>
      <c r="S161">
        <v>463</v>
      </c>
      <c r="T161">
        <v>1120</v>
      </c>
      <c r="U161">
        <v>229</v>
      </c>
      <c r="V161">
        <v>361</v>
      </c>
      <c r="W161">
        <v>132</v>
      </c>
      <c r="X161">
        <v>232</v>
      </c>
      <c r="Y161">
        <v>231</v>
      </c>
      <c r="Z161" s="10" t="s">
        <v>139</v>
      </c>
    </row>
    <row r="162" spans="1:26" x14ac:dyDescent="0.4">
      <c r="A162" s="10">
        <v>161</v>
      </c>
      <c r="B162" s="10" t="s">
        <v>69</v>
      </c>
      <c r="C162" s="10" t="s">
        <v>138</v>
      </c>
      <c r="D162" s="10" t="s">
        <v>58</v>
      </c>
      <c r="E162" s="10" t="s">
        <v>67</v>
      </c>
      <c r="F162" s="10" t="s">
        <v>4</v>
      </c>
      <c r="G162" s="10" t="s">
        <v>27</v>
      </c>
      <c r="H162">
        <v>130</v>
      </c>
      <c r="I162">
        <v>127</v>
      </c>
      <c r="J162">
        <v>135</v>
      </c>
      <c r="K162">
        <v>127</v>
      </c>
      <c r="L162">
        <v>101</v>
      </c>
      <c r="M162">
        <v>118</v>
      </c>
      <c r="N162">
        <v>114</v>
      </c>
      <c r="O162">
        <v>119</v>
      </c>
      <c r="P162">
        <v>114</v>
      </c>
      <c r="Q162">
        <v>36</v>
      </c>
      <c r="R162">
        <v>519</v>
      </c>
      <c r="S162">
        <v>465</v>
      </c>
      <c r="T162">
        <v>1121</v>
      </c>
      <c r="U162">
        <v>231</v>
      </c>
      <c r="V162">
        <v>355</v>
      </c>
      <c r="W162">
        <v>135</v>
      </c>
      <c r="X162">
        <v>228</v>
      </c>
      <c r="Y162">
        <v>237</v>
      </c>
      <c r="Z162" s="10" t="s">
        <v>139</v>
      </c>
    </row>
    <row r="163" spans="1:26" x14ac:dyDescent="0.4">
      <c r="A163" s="10">
        <v>162</v>
      </c>
      <c r="B163" s="10" t="s">
        <v>61</v>
      </c>
      <c r="C163" s="10" t="s">
        <v>138</v>
      </c>
      <c r="D163" s="10" t="s">
        <v>63</v>
      </c>
      <c r="E163" s="10" t="s">
        <v>67</v>
      </c>
      <c r="F163" s="10" t="s">
        <v>4</v>
      </c>
      <c r="G163" s="10" t="s">
        <v>27</v>
      </c>
      <c r="H163">
        <v>131</v>
      </c>
      <c r="I163">
        <v>127</v>
      </c>
      <c r="J163">
        <v>131</v>
      </c>
      <c r="K163">
        <v>127</v>
      </c>
      <c r="L163">
        <v>101</v>
      </c>
      <c r="M163">
        <v>117</v>
      </c>
      <c r="N163">
        <v>116</v>
      </c>
      <c r="O163">
        <v>118</v>
      </c>
      <c r="P163">
        <v>116</v>
      </c>
      <c r="Q163">
        <v>36</v>
      </c>
      <c r="R163">
        <v>516</v>
      </c>
      <c r="S163">
        <v>467</v>
      </c>
      <c r="T163">
        <v>1120</v>
      </c>
      <c r="U163">
        <v>232</v>
      </c>
      <c r="V163">
        <v>355</v>
      </c>
      <c r="W163">
        <v>131</v>
      </c>
      <c r="X163">
        <v>232</v>
      </c>
      <c r="Y163">
        <v>235</v>
      </c>
      <c r="Z163" s="10" t="s">
        <v>139</v>
      </c>
    </row>
    <row r="164" spans="1:26" x14ac:dyDescent="0.4">
      <c r="A164" s="10">
        <v>163</v>
      </c>
      <c r="B164" s="10" t="s">
        <v>329</v>
      </c>
      <c r="C164" s="10" t="s">
        <v>138</v>
      </c>
      <c r="D164" s="10" t="s">
        <v>65</v>
      </c>
      <c r="E164" s="10" t="s">
        <v>67</v>
      </c>
      <c r="F164" s="10" t="s">
        <v>4</v>
      </c>
      <c r="G164" s="10" t="s">
        <v>27</v>
      </c>
      <c r="H164">
        <v>129</v>
      </c>
      <c r="I164">
        <v>133</v>
      </c>
      <c r="J164">
        <v>134</v>
      </c>
      <c r="K164">
        <v>132</v>
      </c>
      <c r="L164">
        <v>101</v>
      </c>
      <c r="M164">
        <v>115</v>
      </c>
      <c r="N164">
        <v>117</v>
      </c>
      <c r="O164">
        <v>116</v>
      </c>
      <c r="P164">
        <v>117</v>
      </c>
      <c r="Q164">
        <v>36</v>
      </c>
      <c r="R164">
        <v>528</v>
      </c>
      <c r="S164">
        <v>465</v>
      </c>
      <c r="T164">
        <v>1130</v>
      </c>
      <c r="U164">
        <v>230</v>
      </c>
      <c r="V164">
        <v>366</v>
      </c>
      <c r="W164">
        <v>134</v>
      </c>
      <c r="X164">
        <v>234</v>
      </c>
      <c r="Y164">
        <v>231</v>
      </c>
      <c r="Z164" s="10" t="s">
        <v>139</v>
      </c>
    </row>
    <row r="165" spans="1:26" x14ac:dyDescent="0.4">
      <c r="A165" s="10">
        <v>164</v>
      </c>
      <c r="B165" s="10" t="s">
        <v>579</v>
      </c>
      <c r="C165" s="10" t="s">
        <v>138</v>
      </c>
      <c r="D165" s="10" t="s">
        <v>58</v>
      </c>
      <c r="E165" s="10" t="s">
        <v>67</v>
      </c>
      <c r="F165" s="10" t="s">
        <v>4</v>
      </c>
      <c r="G165" s="10" t="s">
        <v>27</v>
      </c>
      <c r="H165">
        <v>129</v>
      </c>
      <c r="I165">
        <v>130</v>
      </c>
      <c r="J165">
        <v>135</v>
      </c>
      <c r="K165">
        <v>130</v>
      </c>
      <c r="L165">
        <v>101</v>
      </c>
      <c r="M165">
        <v>117</v>
      </c>
      <c r="N165">
        <v>118</v>
      </c>
      <c r="O165">
        <v>118</v>
      </c>
      <c r="P165">
        <v>117</v>
      </c>
      <c r="Q165">
        <v>36</v>
      </c>
      <c r="R165">
        <v>524</v>
      </c>
      <c r="S165">
        <v>470</v>
      </c>
      <c r="T165">
        <v>1131</v>
      </c>
      <c r="U165">
        <v>230</v>
      </c>
      <c r="V165">
        <v>361</v>
      </c>
      <c r="W165">
        <v>135</v>
      </c>
      <c r="X165">
        <v>235</v>
      </c>
      <c r="Y165">
        <v>235</v>
      </c>
      <c r="Z165" s="10" t="s">
        <v>139</v>
      </c>
    </row>
    <row r="166" spans="1:26" x14ac:dyDescent="0.4">
      <c r="A166" s="10">
        <v>165</v>
      </c>
      <c r="B166" s="10" t="s">
        <v>731</v>
      </c>
      <c r="C166" s="10" t="s">
        <v>138</v>
      </c>
      <c r="D166" s="10" t="s">
        <v>63</v>
      </c>
      <c r="E166" s="10" t="s">
        <v>67</v>
      </c>
      <c r="F166" s="10" t="s">
        <v>4</v>
      </c>
      <c r="G166" s="10" t="s">
        <v>27</v>
      </c>
      <c r="H166">
        <v>131</v>
      </c>
      <c r="I166">
        <v>130</v>
      </c>
      <c r="J166">
        <v>133</v>
      </c>
      <c r="K166">
        <v>131</v>
      </c>
      <c r="L166">
        <v>101</v>
      </c>
      <c r="M166">
        <v>115</v>
      </c>
      <c r="N166">
        <v>119</v>
      </c>
      <c r="O166">
        <v>118</v>
      </c>
      <c r="P166">
        <v>118</v>
      </c>
      <c r="Q166">
        <v>36</v>
      </c>
      <c r="R166">
        <v>525</v>
      </c>
      <c r="S166">
        <v>470</v>
      </c>
      <c r="T166">
        <v>1132</v>
      </c>
      <c r="U166">
        <v>232</v>
      </c>
      <c r="V166">
        <v>362</v>
      </c>
      <c r="W166">
        <v>133</v>
      </c>
      <c r="X166">
        <v>237</v>
      </c>
      <c r="Y166">
        <v>233</v>
      </c>
      <c r="Z166" s="10" t="s">
        <v>139</v>
      </c>
    </row>
    <row r="167" spans="1:26" x14ac:dyDescent="0.4">
      <c r="A167" s="10">
        <v>166</v>
      </c>
      <c r="B167" s="10" t="s">
        <v>793</v>
      </c>
      <c r="C167" s="10" t="s">
        <v>138</v>
      </c>
      <c r="D167" s="10" t="s">
        <v>65</v>
      </c>
      <c r="E167" s="10" t="s">
        <v>67</v>
      </c>
      <c r="F167" s="10" t="s">
        <v>4</v>
      </c>
      <c r="G167" s="10" t="s">
        <v>27</v>
      </c>
      <c r="H167">
        <v>130</v>
      </c>
      <c r="I167">
        <v>135</v>
      </c>
      <c r="J167">
        <v>136</v>
      </c>
      <c r="K167">
        <v>133</v>
      </c>
      <c r="L167">
        <v>101</v>
      </c>
      <c r="M167">
        <v>116</v>
      </c>
      <c r="N167">
        <v>118</v>
      </c>
      <c r="O167">
        <v>117</v>
      </c>
      <c r="P167">
        <v>118</v>
      </c>
      <c r="Q167">
        <v>36</v>
      </c>
      <c r="R167">
        <v>534</v>
      </c>
      <c r="S167">
        <v>469</v>
      </c>
      <c r="T167">
        <v>1140</v>
      </c>
      <c r="U167">
        <v>231</v>
      </c>
      <c r="V167">
        <v>369</v>
      </c>
      <c r="W167">
        <v>136</v>
      </c>
      <c r="X167">
        <v>236</v>
      </c>
      <c r="Y167">
        <v>233</v>
      </c>
      <c r="Z167" s="10" t="s">
        <v>139</v>
      </c>
    </row>
    <row r="168" spans="1:26" x14ac:dyDescent="0.4">
      <c r="A168" s="10">
        <v>167</v>
      </c>
      <c r="B168" s="10" t="s">
        <v>875</v>
      </c>
      <c r="C168" s="10" t="s">
        <v>138</v>
      </c>
      <c r="D168" s="10" t="s">
        <v>58</v>
      </c>
      <c r="E168" s="10" t="s">
        <v>67</v>
      </c>
      <c r="F168" s="10" t="s">
        <v>4</v>
      </c>
      <c r="G168" s="10" t="s">
        <v>27</v>
      </c>
      <c r="H168">
        <v>130</v>
      </c>
      <c r="I168">
        <v>136</v>
      </c>
      <c r="J168">
        <v>135</v>
      </c>
      <c r="K168">
        <v>133</v>
      </c>
      <c r="L168">
        <v>101</v>
      </c>
      <c r="M168">
        <v>116</v>
      </c>
      <c r="N168">
        <v>119</v>
      </c>
      <c r="O168">
        <v>117</v>
      </c>
      <c r="P168">
        <v>119</v>
      </c>
      <c r="Q168">
        <v>36</v>
      </c>
      <c r="R168">
        <v>534</v>
      </c>
      <c r="S168">
        <v>471</v>
      </c>
      <c r="T168">
        <v>1142</v>
      </c>
      <c r="U168">
        <v>231</v>
      </c>
      <c r="V168">
        <v>370</v>
      </c>
      <c r="W168">
        <v>135</v>
      </c>
      <c r="X168">
        <v>238</v>
      </c>
      <c r="Y168">
        <v>233</v>
      </c>
      <c r="Z168" s="10" t="s">
        <v>139</v>
      </c>
    </row>
    <row r="169" spans="1:26" x14ac:dyDescent="0.4">
      <c r="A169" s="10">
        <v>168</v>
      </c>
      <c r="B169" s="10" t="s">
        <v>903</v>
      </c>
      <c r="C169" s="10" t="s">
        <v>138</v>
      </c>
      <c r="D169" s="10" t="s">
        <v>63</v>
      </c>
      <c r="E169" s="10" t="s">
        <v>67</v>
      </c>
      <c r="F169" s="10" t="s">
        <v>4</v>
      </c>
      <c r="G169" s="10" t="s">
        <v>27</v>
      </c>
      <c r="H169">
        <v>131</v>
      </c>
      <c r="I169">
        <v>136</v>
      </c>
      <c r="J169">
        <v>138</v>
      </c>
      <c r="K169">
        <v>135</v>
      </c>
      <c r="L169">
        <v>101</v>
      </c>
      <c r="M169">
        <v>117</v>
      </c>
      <c r="N169">
        <v>119</v>
      </c>
      <c r="O169">
        <v>118</v>
      </c>
      <c r="P169">
        <v>119</v>
      </c>
      <c r="Q169">
        <v>36</v>
      </c>
      <c r="R169">
        <v>540</v>
      </c>
      <c r="S169">
        <v>473</v>
      </c>
      <c r="T169">
        <v>1150</v>
      </c>
      <c r="U169">
        <v>232</v>
      </c>
      <c r="V169">
        <v>372</v>
      </c>
      <c r="W169">
        <v>138</v>
      </c>
      <c r="X169">
        <v>238</v>
      </c>
      <c r="Y169">
        <v>235</v>
      </c>
      <c r="Z169" s="10" t="s">
        <v>139</v>
      </c>
    </row>
    <row r="170" spans="1:26" x14ac:dyDescent="0.4">
      <c r="A170" s="10">
        <v>169</v>
      </c>
      <c r="B170" s="10" t="s">
        <v>32</v>
      </c>
      <c r="C170" s="10" t="s">
        <v>140</v>
      </c>
      <c r="D170" s="10" t="s">
        <v>58</v>
      </c>
      <c r="E170" s="10" t="s">
        <v>81</v>
      </c>
      <c r="F170" s="10" t="s">
        <v>4</v>
      </c>
      <c r="G170" s="10" t="s">
        <v>27</v>
      </c>
      <c r="H170">
        <v>125</v>
      </c>
      <c r="I170">
        <v>121</v>
      </c>
      <c r="J170">
        <v>114</v>
      </c>
      <c r="K170">
        <v>122</v>
      </c>
      <c r="L170">
        <v>101</v>
      </c>
      <c r="M170">
        <v>117</v>
      </c>
      <c r="N170">
        <v>115</v>
      </c>
      <c r="O170">
        <v>116</v>
      </c>
      <c r="P170">
        <v>116</v>
      </c>
      <c r="Q170">
        <v>36</v>
      </c>
      <c r="R170">
        <v>482</v>
      </c>
      <c r="S170">
        <v>464</v>
      </c>
      <c r="T170">
        <v>1083</v>
      </c>
      <c r="U170">
        <v>226</v>
      </c>
      <c r="V170">
        <v>344</v>
      </c>
      <c r="W170">
        <v>114</v>
      </c>
      <c r="X170">
        <v>231</v>
      </c>
      <c r="Y170">
        <v>233</v>
      </c>
      <c r="Z170" s="10" t="s">
        <v>141</v>
      </c>
    </row>
    <row r="171" spans="1:26" x14ac:dyDescent="0.4">
      <c r="A171" s="10">
        <v>170</v>
      </c>
      <c r="B171" s="10" t="s">
        <v>86</v>
      </c>
      <c r="C171" s="10" t="s">
        <v>140</v>
      </c>
      <c r="D171" s="10" t="s">
        <v>63</v>
      </c>
      <c r="E171" s="10" t="s">
        <v>81</v>
      </c>
      <c r="F171" s="10" t="s">
        <v>4</v>
      </c>
      <c r="G171" s="10" t="s">
        <v>27</v>
      </c>
      <c r="H171">
        <v>128</v>
      </c>
      <c r="I171">
        <v>124</v>
      </c>
      <c r="J171">
        <v>115</v>
      </c>
      <c r="K171">
        <v>123</v>
      </c>
      <c r="L171">
        <v>101</v>
      </c>
      <c r="M171">
        <v>118</v>
      </c>
      <c r="N171">
        <v>116</v>
      </c>
      <c r="O171">
        <v>119</v>
      </c>
      <c r="P171">
        <v>117</v>
      </c>
      <c r="Q171">
        <v>36</v>
      </c>
      <c r="R171">
        <v>490</v>
      </c>
      <c r="S171">
        <v>470</v>
      </c>
      <c r="T171">
        <v>1097</v>
      </c>
      <c r="U171">
        <v>229</v>
      </c>
      <c r="V171">
        <v>348</v>
      </c>
      <c r="W171">
        <v>115</v>
      </c>
      <c r="X171">
        <v>233</v>
      </c>
      <c r="Y171">
        <v>237</v>
      </c>
      <c r="Z171" s="10" t="s">
        <v>141</v>
      </c>
    </row>
    <row r="172" spans="1:26" x14ac:dyDescent="0.4">
      <c r="A172" s="10">
        <v>171</v>
      </c>
      <c r="B172" s="10" t="s">
        <v>61</v>
      </c>
      <c r="C172" s="10" t="s">
        <v>140</v>
      </c>
      <c r="D172" s="10" t="s">
        <v>65</v>
      </c>
      <c r="E172" s="10" t="s">
        <v>81</v>
      </c>
      <c r="F172" s="10" t="s">
        <v>4</v>
      </c>
      <c r="G172" s="10" t="s">
        <v>27</v>
      </c>
      <c r="H172">
        <v>127</v>
      </c>
      <c r="I172">
        <v>126</v>
      </c>
      <c r="J172">
        <v>114</v>
      </c>
      <c r="K172">
        <v>125</v>
      </c>
      <c r="L172">
        <v>101</v>
      </c>
      <c r="M172">
        <v>116</v>
      </c>
      <c r="N172">
        <v>117</v>
      </c>
      <c r="O172">
        <v>117</v>
      </c>
      <c r="P172">
        <v>118</v>
      </c>
      <c r="Q172">
        <v>36</v>
      </c>
      <c r="R172">
        <v>492</v>
      </c>
      <c r="S172">
        <v>468</v>
      </c>
      <c r="T172">
        <v>1097</v>
      </c>
      <c r="U172">
        <v>228</v>
      </c>
      <c r="V172">
        <v>352</v>
      </c>
      <c r="W172">
        <v>114</v>
      </c>
      <c r="X172">
        <v>235</v>
      </c>
      <c r="Y172">
        <v>233</v>
      </c>
      <c r="Z172" s="10" t="s">
        <v>141</v>
      </c>
    </row>
    <row r="173" spans="1:26" x14ac:dyDescent="0.4">
      <c r="A173" s="10">
        <v>172</v>
      </c>
      <c r="B173" s="10" t="s">
        <v>142</v>
      </c>
      <c r="C173" s="10" t="s">
        <v>140</v>
      </c>
      <c r="D173" s="10" t="s">
        <v>58</v>
      </c>
      <c r="E173" s="10" t="s">
        <v>81</v>
      </c>
      <c r="F173" s="10" t="s">
        <v>4</v>
      </c>
      <c r="G173" s="10" t="s">
        <v>27</v>
      </c>
      <c r="H173">
        <v>127</v>
      </c>
      <c r="I173">
        <v>122</v>
      </c>
      <c r="J173">
        <v>114</v>
      </c>
      <c r="K173">
        <v>122</v>
      </c>
      <c r="L173">
        <v>101</v>
      </c>
      <c r="M173">
        <v>120</v>
      </c>
      <c r="N173">
        <v>118</v>
      </c>
      <c r="O173">
        <v>120</v>
      </c>
      <c r="P173">
        <v>118</v>
      </c>
      <c r="Q173">
        <v>36</v>
      </c>
      <c r="R173">
        <v>485</v>
      </c>
      <c r="S173">
        <v>476</v>
      </c>
      <c r="T173">
        <v>1098</v>
      </c>
      <c r="U173">
        <v>228</v>
      </c>
      <c r="V173">
        <v>345</v>
      </c>
      <c r="W173">
        <v>114</v>
      </c>
      <c r="X173">
        <v>236</v>
      </c>
      <c r="Y173">
        <v>240</v>
      </c>
      <c r="Z173" s="10" t="s">
        <v>141</v>
      </c>
    </row>
    <row r="174" spans="1:26" x14ac:dyDescent="0.4">
      <c r="A174" s="10">
        <v>173</v>
      </c>
      <c r="B174" s="10" t="s">
        <v>579</v>
      </c>
      <c r="C174" s="10" t="s">
        <v>140</v>
      </c>
      <c r="D174" s="10" t="s">
        <v>63</v>
      </c>
      <c r="E174" s="10" t="s">
        <v>81</v>
      </c>
      <c r="F174" s="10" t="s">
        <v>4</v>
      </c>
      <c r="G174" s="10" t="s">
        <v>27</v>
      </c>
      <c r="H174">
        <v>130</v>
      </c>
      <c r="I174">
        <v>122</v>
      </c>
      <c r="J174">
        <v>113</v>
      </c>
      <c r="K174">
        <v>121</v>
      </c>
      <c r="L174">
        <v>101</v>
      </c>
      <c r="M174">
        <v>120</v>
      </c>
      <c r="N174">
        <v>116</v>
      </c>
      <c r="O174">
        <v>120</v>
      </c>
      <c r="P174">
        <v>118</v>
      </c>
      <c r="Q174">
        <v>36</v>
      </c>
      <c r="R174">
        <v>486</v>
      </c>
      <c r="S174">
        <v>474</v>
      </c>
      <c r="T174">
        <v>1097</v>
      </c>
      <c r="U174">
        <v>231</v>
      </c>
      <c r="V174">
        <v>344</v>
      </c>
      <c r="W174">
        <v>113</v>
      </c>
      <c r="X174">
        <v>234</v>
      </c>
      <c r="Y174">
        <v>240</v>
      </c>
      <c r="Z174" s="10" t="s">
        <v>141</v>
      </c>
    </row>
    <row r="175" spans="1:26" x14ac:dyDescent="0.4">
      <c r="A175" s="10">
        <v>174</v>
      </c>
      <c r="B175" s="10" t="s">
        <v>724</v>
      </c>
      <c r="C175" s="10" t="s">
        <v>140</v>
      </c>
      <c r="D175" s="10" t="s">
        <v>65</v>
      </c>
      <c r="E175" s="10" t="s">
        <v>81</v>
      </c>
      <c r="F175" s="10" t="s">
        <v>4</v>
      </c>
      <c r="G175" s="10" t="s">
        <v>27</v>
      </c>
      <c r="H175">
        <v>131</v>
      </c>
      <c r="I175">
        <v>124</v>
      </c>
      <c r="J175">
        <v>116</v>
      </c>
      <c r="K175">
        <v>123</v>
      </c>
      <c r="L175">
        <v>101</v>
      </c>
      <c r="M175">
        <v>120</v>
      </c>
      <c r="N175">
        <v>117</v>
      </c>
      <c r="O175">
        <v>121</v>
      </c>
      <c r="P175">
        <v>118</v>
      </c>
      <c r="Q175">
        <v>36</v>
      </c>
      <c r="R175">
        <v>494</v>
      </c>
      <c r="S175">
        <v>476</v>
      </c>
      <c r="T175">
        <v>1107</v>
      </c>
      <c r="U175">
        <v>232</v>
      </c>
      <c r="V175">
        <v>348</v>
      </c>
      <c r="W175">
        <v>116</v>
      </c>
      <c r="X175">
        <v>235</v>
      </c>
      <c r="Y175">
        <v>241</v>
      </c>
      <c r="Z175" s="10" t="s">
        <v>141</v>
      </c>
    </row>
    <row r="176" spans="1:26" x14ac:dyDescent="0.4">
      <c r="A176" s="10">
        <v>175</v>
      </c>
      <c r="B176" s="10" t="s">
        <v>793</v>
      </c>
      <c r="C176" s="10" t="s">
        <v>140</v>
      </c>
      <c r="D176" s="10" t="s">
        <v>58</v>
      </c>
      <c r="E176" s="10" t="s">
        <v>81</v>
      </c>
      <c r="F176" s="10" t="s">
        <v>4</v>
      </c>
      <c r="G176" s="10" t="s">
        <v>27</v>
      </c>
      <c r="H176">
        <v>129</v>
      </c>
      <c r="I176">
        <v>124</v>
      </c>
      <c r="J176">
        <v>115</v>
      </c>
      <c r="K176">
        <v>123</v>
      </c>
      <c r="L176">
        <v>101</v>
      </c>
      <c r="M176">
        <v>121</v>
      </c>
      <c r="N176">
        <v>118</v>
      </c>
      <c r="O176">
        <v>122</v>
      </c>
      <c r="P176">
        <v>119</v>
      </c>
      <c r="Q176">
        <v>36</v>
      </c>
      <c r="R176">
        <v>491</v>
      </c>
      <c r="S176">
        <v>480</v>
      </c>
      <c r="T176">
        <v>1108</v>
      </c>
      <c r="U176">
        <v>230</v>
      </c>
      <c r="V176">
        <v>348</v>
      </c>
      <c r="W176">
        <v>115</v>
      </c>
      <c r="X176">
        <v>237</v>
      </c>
      <c r="Y176">
        <v>243</v>
      </c>
      <c r="Z176" s="10" t="s">
        <v>141</v>
      </c>
    </row>
    <row r="177" spans="1:26" x14ac:dyDescent="0.4">
      <c r="A177" s="10">
        <v>176</v>
      </c>
      <c r="B177" s="10" t="s">
        <v>854</v>
      </c>
      <c r="C177" s="10" t="s">
        <v>140</v>
      </c>
      <c r="D177" s="10" t="s">
        <v>63</v>
      </c>
      <c r="E177" s="10" t="s">
        <v>81</v>
      </c>
      <c r="F177" s="10" t="s">
        <v>4</v>
      </c>
      <c r="G177" s="10" t="s">
        <v>27</v>
      </c>
      <c r="H177">
        <v>133</v>
      </c>
      <c r="I177">
        <v>125</v>
      </c>
      <c r="J177">
        <v>117</v>
      </c>
      <c r="K177">
        <v>124</v>
      </c>
      <c r="L177">
        <v>101</v>
      </c>
      <c r="M177">
        <v>121</v>
      </c>
      <c r="N177">
        <v>118</v>
      </c>
      <c r="O177">
        <v>123</v>
      </c>
      <c r="P177">
        <v>119</v>
      </c>
      <c r="Q177">
        <v>36</v>
      </c>
      <c r="R177">
        <v>499</v>
      </c>
      <c r="S177">
        <v>481</v>
      </c>
      <c r="T177">
        <v>1117</v>
      </c>
      <c r="U177">
        <v>234</v>
      </c>
      <c r="V177">
        <v>350</v>
      </c>
      <c r="W177">
        <v>117</v>
      </c>
      <c r="X177">
        <v>237</v>
      </c>
      <c r="Y177">
        <v>244</v>
      </c>
      <c r="Z177" s="10" t="s">
        <v>141</v>
      </c>
    </row>
    <row r="178" spans="1:26" x14ac:dyDescent="0.4">
      <c r="A178" s="10">
        <v>177</v>
      </c>
      <c r="B178" s="10" t="s">
        <v>977</v>
      </c>
      <c r="C178" s="10" t="s">
        <v>140</v>
      </c>
      <c r="D178" s="10" t="s">
        <v>65</v>
      </c>
      <c r="E178" s="10" t="s">
        <v>81</v>
      </c>
      <c r="F178" s="10" t="s">
        <v>4</v>
      </c>
      <c r="G178" s="10" t="s">
        <v>27</v>
      </c>
      <c r="H178">
        <v>130</v>
      </c>
      <c r="I178">
        <v>125</v>
      </c>
      <c r="J178">
        <v>116</v>
      </c>
      <c r="K178">
        <v>124</v>
      </c>
      <c r="L178">
        <v>101</v>
      </c>
      <c r="M178">
        <v>123</v>
      </c>
      <c r="N178">
        <v>120</v>
      </c>
      <c r="O178">
        <v>124</v>
      </c>
      <c r="P178">
        <v>121</v>
      </c>
      <c r="Q178">
        <v>36</v>
      </c>
      <c r="R178">
        <v>495</v>
      </c>
      <c r="S178">
        <v>488</v>
      </c>
      <c r="T178">
        <v>1120</v>
      </c>
      <c r="U178">
        <v>231</v>
      </c>
      <c r="V178">
        <v>350</v>
      </c>
      <c r="W178">
        <v>116</v>
      </c>
      <c r="X178">
        <v>241</v>
      </c>
      <c r="Y178">
        <v>247</v>
      </c>
      <c r="Z178" s="10" t="s">
        <v>141</v>
      </c>
    </row>
    <row r="179" spans="1:26" x14ac:dyDescent="0.4">
      <c r="A179" s="10">
        <v>178</v>
      </c>
      <c r="B179" s="10" t="s">
        <v>32</v>
      </c>
      <c r="C179" s="10" t="s">
        <v>143</v>
      </c>
      <c r="D179" s="10" t="s">
        <v>65</v>
      </c>
      <c r="E179" s="10" t="s">
        <v>59</v>
      </c>
      <c r="F179" s="10" t="s">
        <v>4</v>
      </c>
      <c r="G179" s="10" t="s">
        <v>27</v>
      </c>
      <c r="H179">
        <v>118</v>
      </c>
      <c r="I179">
        <v>113</v>
      </c>
      <c r="J179">
        <v>112</v>
      </c>
      <c r="K179">
        <v>116</v>
      </c>
      <c r="L179">
        <v>97</v>
      </c>
      <c r="M179">
        <v>120</v>
      </c>
      <c r="N179">
        <v>115</v>
      </c>
      <c r="O179">
        <v>115</v>
      </c>
      <c r="P179">
        <v>115</v>
      </c>
      <c r="Q179">
        <v>31</v>
      </c>
      <c r="R179">
        <v>459</v>
      </c>
      <c r="S179">
        <v>465</v>
      </c>
      <c r="T179">
        <v>1052</v>
      </c>
      <c r="U179">
        <v>215</v>
      </c>
      <c r="V179">
        <v>326</v>
      </c>
      <c r="W179">
        <v>112</v>
      </c>
      <c r="X179">
        <v>230</v>
      </c>
      <c r="Y179">
        <v>235</v>
      </c>
      <c r="Z179" s="10" t="s">
        <v>144</v>
      </c>
    </row>
    <row r="180" spans="1:26" x14ac:dyDescent="0.4">
      <c r="A180" s="10">
        <v>179</v>
      </c>
      <c r="B180" s="10" t="s">
        <v>76</v>
      </c>
      <c r="C180" s="10" t="s">
        <v>143</v>
      </c>
      <c r="D180" s="10" t="s">
        <v>58</v>
      </c>
      <c r="E180" s="10" t="s">
        <v>59</v>
      </c>
      <c r="F180" s="10" t="s">
        <v>4</v>
      </c>
      <c r="G180" s="10" t="s">
        <v>27</v>
      </c>
      <c r="H180">
        <v>121</v>
      </c>
      <c r="I180">
        <v>114</v>
      </c>
      <c r="J180">
        <v>113</v>
      </c>
      <c r="K180">
        <v>117</v>
      </c>
      <c r="L180">
        <v>97</v>
      </c>
      <c r="M180">
        <v>123</v>
      </c>
      <c r="N180">
        <v>116</v>
      </c>
      <c r="O180">
        <v>118</v>
      </c>
      <c r="P180">
        <v>116</v>
      </c>
      <c r="Q180">
        <v>31</v>
      </c>
      <c r="R180">
        <v>465</v>
      </c>
      <c r="S180">
        <v>473</v>
      </c>
      <c r="T180">
        <v>1066</v>
      </c>
      <c r="U180">
        <v>218</v>
      </c>
      <c r="V180">
        <v>328</v>
      </c>
      <c r="W180">
        <v>113</v>
      </c>
      <c r="X180">
        <v>232</v>
      </c>
      <c r="Y180">
        <v>241</v>
      </c>
      <c r="Z180" s="10" t="s">
        <v>144</v>
      </c>
    </row>
    <row r="181" spans="1:26" x14ac:dyDescent="0.4">
      <c r="A181" s="10">
        <v>180</v>
      </c>
      <c r="B181" s="10" t="s">
        <v>643</v>
      </c>
      <c r="C181" s="10" t="s">
        <v>143</v>
      </c>
      <c r="D181" s="10" t="s">
        <v>58</v>
      </c>
      <c r="E181" s="10" t="s">
        <v>59</v>
      </c>
      <c r="F181" s="10" t="s">
        <v>4</v>
      </c>
      <c r="G181" s="10" t="s">
        <v>27</v>
      </c>
      <c r="H181">
        <v>120</v>
      </c>
      <c r="I181">
        <v>117</v>
      </c>
      <c r="J181">
        <v>112</v>
      </c>
      <c r="K181">
        <v>119</v>
      </c>
      <c r="L181">
        <v>97</v>
      </c>
      <c r="M181">
        <v>121</v>
      </c>
      <c r="N181">
        <v>118</v>
      </c>
      <c r="O181">
        <v>116</v>
      </c>
      <c r="P181">
        <v>117</v>
      </c>
      <c r="Q181">
        <v>31</v>
      </c>
      <c r="R181">
        <v>468</v>
      </c>
      <c r="S181">
        <v>472</v>
      </c>
      <c r="T181">
        <v>1068</v>
      </c>
      <c r="U181">
        <v>217</v>
      </c>
      <c r="V181">
        <v>333</v>
      </c>
      <c r="W181">
        <v>112</v>
      </c>
      <c r="X181">
        <v>235</v>
      </c>
      <c r="Y181">
        <v>237</v>
      </c>
      <c r="Z181" s="10" t="s">
        <v>144</v>
      </c>
    </row>
    <row r="182" spans="1:26" x14ac:dyDescent="0.4">
      <c r="A182" s="10">
        <v>181</v>
      </c>
      <c r="B182" s="10" t="s">
        <v>756</v>
      </c>
      <c r="C182" s="10" t="s">
        <v>143</v>
      </c>
      <c r="D182" s="10" t="s">
        <v>65</v>
      </c>
      <c r="E182" s="10" t="s">
        <v>59</v>
      </c>
      <c r="F182" s="10" t="s">
        <v>4</v>
      </c>
      <c r="G182" s="10" t="s">
        <v>27</v>
      </c>
      <c r="H182">
        <v>123</v>
      </c>
      <c r="I182">
        <v>112</v>
      </c>
      <c r="J182">
        <v>113</v>
      </c>
      <c r="K182">
        <v>115</v>
      </c>
      <c r="L182">
        <v>97</v>
      </c>
      <c r="M182">
        <v>126</v>
      </c>
      <c r="N182">
        <v>115</v>
      </c>
      <c r="O182">
        <v>121</v>
      </c>
      <c r="P182">
        <v>116</v>
      </c>
      <c r="Q182">
        <v>31</v>
      </c>
      <c r="R182">
        <v>463</v>
      </c>
      <c r="S182">
        <v>478</v>
      </c>
      <c r="T182">
        <v>1069</v>
      </c>
      <c r="U182">
        <v>220</v>
      </c>
      <c r="V182">
        <v>324</v>
      </c>
      <c r="W182">
        <v>113</v>
      </c>
      <c r="X182">
        <v>231</v>
      </c>
      <c r="Y182">
        <v>247</v>
      </c>
      <c r="Z182" s="10" t="s">
        <v>144</v>
      </c>
    </row>
    <row r="183" spans="1:26" x14ac:dyDescent="0.4">
      <c r="A183" s="10">
        <v>182</v>
      </c>
      <c r="B183" s="10" t="s">
        <v>32</v>
      </c>
      <c r="C183" s="10" t="s">
        <v>145</v>
      </c>
      <c r="D183" s="10" t="s">
        <v>58</v>
      </c>
      <c r="E183" s="10" t="s">
        <v>81</v>
      </c>
      <c r="F183" s="10" t="s">
        <v>4</v>
      </c>
      <c r="G183" s="10" t="s">
        <v>27</v>
      </c>
      <c r="H183">
        <v>128</v>
      </c>
      <c r="I183">
        <v>125</v>
      </c>
      <c r="J183">
        <v>112</v>
      </c>
      <c r="K183">
        <v>119</v>
      </c>
      <c r="L183">
        <v>97</v>
      </c>
      <c r="M183">
        <v>114</v>
      </c>
      <c r="N183">
        <v>110</v>
      </c>
      <c r="O183">
        <v>116</v>
      </c>
      <c r="P183">
        <v>121</v>
      </c>
      <c r="Q183">
        <v>27</v>
      </c>
      <c r="R183">
        <v>484</v>
      </c>
      <c r="S183">
        <v>461</v>
      </c>
      <c r="T183">
        <v>1069</v>
      </c>
      <c r="U183">
        <v>225</v>
      </c>
      <c r="V183">
        <v>341</v>
      </c>
      <c r="W183">
        <v>112</v>
      </c>
      <c r="X183">
        <v>231</v>
      </c>
      <c r="Y183">
        <v>230</v>
      </c>
      <c r="Z183" s="10" t="s">
        <v>146</v>
      </c>
    </row>
    <row r="184" spans="1:26" x14ac:dyDescent="0.4">
      <c r="A184" s="10">
        <v>183</v>
      </c>
      <c r="B184" s="10" t="s">
        <v>557</v>
      </c>
      <c r="C184" s="10" t="s">
        <v>145</v>
      </c>
      <c r="D184" s="10" t="s">
        <v>63</v>
      </c>
      <c r="E184" s="10" t="s">
        <v>81</v>
      </c>
      <c r="F184" s="10" t="s">
        <v>4</v>
      </c>
      <c r="G184" s="10" t="s">
        <v>27</v>
      </c>
      <c r="H184">
        <v>131</v>
      </c>
      <c r="I184">
        <v>128</v>
      </c>
      <c r="J184">
        <v>113</v>
      </c>
      <c r="K184">
        <v>120</v>
      </c>
      <c r="L184">
        <v>97</v>
      </c>
      <c r="M184">
        <v>115</v>
      </c>
      <c r="N184">
        <v>111</v>
      </c>
      <c r="O184">
        <v>119</v>
      </c>
      <c r="P184">
        <v>122</v>
      </c>
      <c r="Q184">
        <v>27</v>
      </c>
      <c r="R184">
        <v>492</v>
      </c>
      <c r="S184">
        <v>467</v>
      </c>
      <c r="T184">
        <v>1083</v>
      </c>
      <c r="U184">
        <v>228</v>
      </c>
      <c r="V184">
        <v>345</v>
      </c>
      <c r="W184">
        <v>113</v>
      </c>
      <c r="X184">
        <v>233</v>
      </c>
      <c r="Y184">
        <v>234</v>
      </c>
      <c r="Z184" s="10" t="s">
        <v>146</v>
      </c>
    </row>
    <row r="185" spans="1:26" x14ac:dyDescent="0.4">
      <c r="A185" s="10">
        <v>184</v>
      </c>
      <c r="B185" s="10" t="s">
        <v>785</v>
      </c>
      <c r="C185" s="10" t="s">
        <v>145</v>
      </c>
      <c r="D185" s="10" t="s">
        <v>65</v>
      </c>
      <c r="E185" s="10" t="s">
        <v>81</v>
      </c>
      <c r="F185" s="10" t="s">
        <v>4</v>
      </c>
      <c r="G185" s="10" t="s">
        <v>27</v>
      </c>
      <c r="H185">
        <v>134</v>
      </c>
      <c r="I185">
        <v>125</v>
      </c>
      <c r="J185">
        <v>111</v>
      </c>
      <c r="K185">
        <v>118</v>
      </c>
      <c r="L185">
        <v>97</v>
      </c>
      <c r="M185">
        <v>117</v>
      </c>
      <c r="N185">
        <v>112</v>
      </c>
      <c r="O185">
        <v>121</v>
      </c>
      <c r="P185">
        <v>123</v>
      </c>
      <c r="Q185">
        <v>27</v>
      </c>
      <c r="R185">
        <v>488</v>
      </c>
      <c r="S185">
        <v>473</v>
      </c>
      <c r="T185">
        <v>1085</v>
      </c>
      <c r="U185">
        <v>231</v>
      </c>
      <c r="V185">
        <v>340</v>
      </c>
      <c r="W185">
        <v>111</v>
      </c>
      <c r="X185">
        <v>235</v>
      </c>
      <c r="Y185">
        <v>238</v>
      </c>
      <c r="Z185" s="10" t="s">
        <v>146</v>
      </c>
    </row>
    <row r="186" spans="1:26" x14ac:dyDescent="0.4">
      <c r="A186" s="10">
        <v>185</v>
      </c>
      <c r="B186" s="10" t="s">
        <v>32</v>
      </c>
      <c r="C186" s="10" t="s">
        <v>147</v>
      </c>
      <c r="D186" s="10" t="s">
        <v>63</v>
      </c>
      <c r="E186" s="10" t="s">
        <v>81</v>
      </c>
      <c r="F186" s="10" t="s">
        <v>4</v>
      </c>
      <c r="G186" s="10" t="s">
        <v>27</v>
      </c>
      <c r="H186">
        <v>119</v>
      </c>
      <c r="I186">
        <v>115</v>
      </c>
      <c r="J186">
        <v>114</v>
      </c>
      <c r="K186">
        <v>119</v>
      </c>
      <c r="L186">
        <v>97</v>
      </c>
      <c r="M186">
        <v>114</v>
      </c>
      <c r="N186">
        <v>116</v>
      </c>
      <c r="O186">
        <v>116</v>
      </c>
      <c r="P186">
        <v>116</v>
      </c>
      <c r="Q186">
        <v>31</v>
      </c>
      <c r="R186">
        <v>467</v>
      </c>
      <c r="S186">
        <v>462</v>
      </c>
      <c r="T186">
        <v>1057</v>
      </c>
      <c r="U186">
        <v>216</v>
      </c>
      <c r="V186">
        <v>331</v>
      </c>
      <c r="W186">
        <v>114</v>
      </c>
      <c r="X186">
        <v>232</v>
      </c>
      <c r="Y186">
        <v>230</v>
      </c>
      <c r="Z186" s="10" t="s">
        <v>148</v>
      </c>
    </row>
    <row r="187" spans="1:26" x14ac:dyDescent="0.4">
      <c r="A187" s="10">
        <v>186</v>
      </c>
      <c r="B187" s="10" t="s">
        <v>73</v>
      </c>
      <c r="C187" s="10" t="s">
        <v>147</v>
      </c>
      <c r="D187" s="10" t="s">
        <v>65</v>
      </c>
      <c r="E187" s="10" t="s">
        <v>81</v>
      </c>
      <c r="F187" s="10" t="s">
        <v>4</v>
      </c>
      <c r="G187" s="10" t="s">
        <v>27</v>
      </c>
      <c r="H187">
        <v>122</v>
      </c>
      <c r="I187">
        <v>118</v>
      </c>
      <c r="J187">
        <v>115</v>
      </c>
      <c r="K187">
        <v>120</v>
      </c>
      <c r="L187">
        <v>97</v>
      </c>
      <c r="M187">
        <v>115</v>
      </c>
      <c r="N187">
        <v>117</v>
      </c>
      <c r="O187">
        <v>119</v>
      </c>
      <c r="P187">
        <v>117</v>
      </c>
      <c r="Q187">
        <v>31</v>
      </c>
      <c r="R187">
        <v>475</v>
      </c>
      <c r="S187">
        <v>468</v>
      </c>
      <c r="T187">
        <v>1071</v>
      </c>
      <c r="U187">
        <v>219</v>
      </c>
      <c r="V187">
        <v>335</v>
      </c>
      <c r="W187">
        <v>115</v>
      </c>
      <c r="X187">
        <v>234</v>
      </c>
      <c r="Y187">
        <v>234</v>
      </c>
      <c r="Z187" s="10" t="s">
        <v>148</v>
      </c>
    </row>
    <row r="188" spans="1:26" x14ac:dyDescent="0.4">
      <c r="A188" s="10">
        <v>187</v>
      </c>
      <c r="B188" s="10" t="s">
        <v>329</v>
      </c>
      <c r="C188" s="10" t="s">
        <v>147</v>
      </c>
      <c r="D188" s="10" t="s">
        <v>58</v>
      </c>
      <c r="E188" s="10" t="s">
        <v>81</v>
      </c>
      <c r="F188" s="10" t="s">
        <v>4</v>
      </c>
      <c r="G188" s="10" t="s">
        <v>27</v>
      </c>
      <c r="H188">
        <v>121</v>
      </c>
      <c r="I188">
        <v>116</v>
      </c>
      <c r="J188">
        <v>114</v>
      </c>
      <c r="K188">
        <v>119</v>
      </c>
      <c r="L188">
        <v>97</v>
      </c>
      <c r="M188">
        <v>118</v>
      </c>
      <c r="N188">
        <v>119</v>
      </c>
      <c r="O188">
        <v>120</v>
      </c>
      <c r="P188">
        <v>118</v>
      </c>
      <c r="Q188">
        <v>31</v>
      </c>
      <c r="R188">
        <v>470</v>
      </c>
      <c r="S188">
        <v>475</v>
      </c>
      <c r="T188">
        <v>1073</v>
      </c>
      <c r="U188">
        <v>218</v>
      </c>
      <c r="V188">
        <v>332</v>
      </c>
      <c r="W188">
        <v>114</v>
      </c>
      <c r="X188">
        <v>237</v>
      </c>
      <c r="Y188">
        <v>238</v>
      </c>
      <c r="Z188" s="10" t="s">
        <v>148</v>
      </c>
    </row>
    <row r="189" spans="1:26" x14ac:dyDescent="0.4">
      <c r="A189" s="10">
        <v>188</v>
      </c>
      <c r="B189" s="10" t="s">
        <v>643</v>
      </c>
      <c r="C189" s="10" t="s">
        <v>147</v>
      </c>
      <c r="D189" s="10" t="s">
        <v>63</v>
      </c>
      <c r="E189" s="10" t="s">
        <v>81</v>
      </c>
      <c r="F189" s="10" t="s">
        <v>4</v>
      </c>
      <c r="G189" s="10" t="s">
        <v>27</v>
      </c>
      <c r="H189">
        <v>126</v>
      </c>
      <c r="I189">
        <v>116</v>
      </c>
      <c r="J189">
        <v>117</v>
      </c>
      <c r="K189">
        <v>118</v>
      </c>
      <c r="L189">
        <v>97</v>
      </c>
      <c r="M189">
        <v>115</v>
      </c>
      <c r="N189">
        <v>117</v>
      </c>
      <c r="O189">
        <v>121</v>
      </c>
      <c r="P189">
        <v>115</v>
      </c>
      <c r="Q189">
        <v>31</v>
      </c>
      <c r="R189">
        <v>477</v>
      </c>
      <c r="S189">
        <v>468</v>
      </c>
      <c r="T189">
        <v>1073</v>
      </c>
      <c r="U189">
        <v>223</v>
      </c>
      <c r="V189">
        <v>331</v>
      </c>
      <c r="W189">
        <v>117</v>
      </c>
      <c r="X189">
        <v>232</v>
      </c>
      <c r="Y189">
        <v>236</v>
      </c>
      <c r="Z189" s="10" t="s">
        <v>148</v>
      </c>
    </row>
    <row r="190" spans="1:26" x14ac:dyDescent="0.4">
      <c r="A190" s="10">
        <v>189</v>
      </c>
      <c r="B190" s="10" t="s">
        <v>756</v>
      </c>
      <c r="C190" s="10" t="s">
        <v>147</v>
      </c>
      <c r="D190" s="10" t="s">
        <v>65</v>
      </c>
      <c r="E190" s="10" t="s">
        <v>81</v>
      </c>
      <c r="F190" s="10" t="s">
        <v>4</v>
      </c>
      <c r="G190" s="10" t="s">
        <v>27</v>
      </c>
      <c r="H190">
        <v>121</v>
      </c>
      <c r="I190">
        <v>116</v>
      </c>
      <c r="J190">
        <v>115</v>
      </c>
      <c r="K190">
        <v>119</v>
      </c>
      <c r="L190">
        <v>97</v>
      </c>
      <c r="M190">
        <v>121</v>
      </c>
      <c r="N190">
        <v>122</v>
      </c>
      <c r="O190">
        <v>122</v>
      </c>
      <c r="P190">
        <v>120</v>
      </c>
      <c r="Q190">
        <v>31</v>
      </c>
      <c r="R190">
        <v>471</v>
      </c>
      <c r="S190">
        <v>485</v>
      </c>
      <c r="T190">
        <v>1084</v>
      </c>
      <c r="U190">
        <v>218</v>
      </c>
      <c r="V190">
        <v>332</v>
      </c>
      <c r="W190">
        <v>115</v>
      </c>
      <c r="X190">
        <v>242</v>
      </c>
      <c r="Y190">
        <v>243</v>
      </c>
      <c r="Z190" s="10" t="s">
        <v>148</v>
      </c>
    </row>
    <row r="191" spans="1:26" x14ac:dyDescent="0.4">
      <c r="A191" s="10">
        <v>190</v>
      </c>
      <c r="B191" s="10" t="s">
        <v>865</v>
      </c>
      <c r="C191" s="10" t="s">
        <v>147</v>
      </c>
      <c r="D191" s="10" t="s">
        <v>58</v>
      </c>
      <c r="E191" s="10" t="s">
        <v>81</v>
      </c>
      <c r="F191" s="10" t="s">
        <v>4</v>
      </c>
      <c r="G191" s="10" t="s">
        <v>27</v>
      </c>
      <c r="H191">
        <v>129</v>
      </c>
      <c r="I191">
        <v>116</v>
      </c>
      <c r="J191">
        <v>118</v>
      </c>
      <c r="K191">
        <v>118</v>
      </c>
      <c r="L191">
        <v>97</v>
      </c>
      <c r="M191">
        <v>117</v>
      </c>
      <c r="N191">
        <v>118</v>
      </c>
      <c r="O191">
        <v>123</v>
      </c>
      <c r="P191">
        <v>116</v>
      </c>
      <c r="Q191">
        <v>31</v>
      </c>
      <c r="R191">
        <v>481</v>
      </c>
      <c r="S191">
        <v>474</v>
      </c>
      <c r="T191">
        <v>1083</v>
      </c>
      <c r="U191">
        <v>226</v>
      </c>
      <c r="V191">
        <v>331</v>
      </c>
      <c r="W191">
        <v>118</v>
      </c>
      <c r="X191">
        <v>234</v>
      </c>
      <c r="Y191">
        <v>240</v>
      </c>
      <c r="Z191" s="10" t="s">
        <v>148</v>
      </c>
    </row>
    <row r="192" spans="1:26" x14ac:dyDescent="0.4">
      <c r="A192" s="10">
        <v>191</v>
      </c>
      <c r="B192" s="10" t="s">
        <v>977</v>
      </c>
      <c r="C192" s="10" t="s">
        <v>147</v>
      </c>
      <c r="D192" s="10" t="s">
        <v>63</v>
      </c>
      <c r="E192" s="10" t="s">
        <v>81</v>
      </c>
      <c r="F192" s="10" t="s">
        <v>4</v>
      </c>
      <c r="G192" s="10" t="s">
        <v>27</v>
      </c>
      <c r="H192">
        <v>122</v>
      </c>
      <c r="I192">
        <v>118</v>
      </c>
      <c r="J192">
        <v>116</v>
      </c>
      <c r="K192">
        <v>121</v>
      </c>
      <c r="L192">
        <v>97</v>
      </c>
      <c r="M192">
        <v>122</v>
      </c>
      <c r="N192">
        <v>123</v>
      </c>
      <c r="O192">
        <v>123</v>
      </c>
      <c r="P192">
        <v>121</v>
      </c>
      <c r="Q192">
        <v>31</v>
      </c>
      <c r="R192">
        <v>477</v>
      </c>
      <c r="S192">
        <v>489</v>
      </c>
      <c r="T192">
        <v>1094</v>
      </c>
      <c r="U192">
        <v>219</v>
      </c>
      <c r="V192">
        <v>336</v>
      </c>
      <c r="W192">
        <v>116</v>
      </c>
      <c r="X192">
        <v>244</v>
      </c>
      <c r="Y192">
        <v>245</v>
      </c>
      <c r="Z192" s="10" t="s">
        <v>148</v>
      </c>
    </row>
    <row r="193" spans="1:26" x14ac:dyDescent="0.4">
      <c r="A193" s="10">
        <v>192</v>
      </c>
      <c r="B193" s="10" t="s">
        <v>32</v>
      </c>
      <c r="C193" s="10" t="s">
        <v>149</v>
      </c>
      <c r="D193" s="10" t="s">
        <v>63</v>
      </c>
      <c r="E193" s="10" t="s">
        <v>78</v>
      </c>
      <c r="F193" s="10" t="s">
        <v>4</v>
      </c>
      <c r="G193" s="10" t="s">
        <v>27</v>
      </c>
      <c r="H193">
        <v>113</v>
      </c>
      <c r="I193">
        <v>110</v>
      </c>
      <c r="J193">
        <v>119</v>
      </c>
      <c r="K193">
        <v>121</v>
      </c>
      <c r="L193">
        <v>101</v>
      </c>
      <c r="M193">
        <v>110</v>
      </c>
      <c r="N193">
        <v>124</v>
      </c>
      <c r="O193">
        <v>119</v>
      </c>
      <c r="P193">
        <v>122</v>
      </c>
      <c r="Q193">
        <v>41</v>
      </c>
      <c r="R193">
        <v>463</v>
      </c>
      <c r="S193">
        <v>475</v>
      </c>
      <c r="T193">
        <v>1080</v>
      </c>
      <c r="U193">
        <v>214</v>
      </c>
      <c r="V193">
        <v>332</v>
      </c>
      <c r="W193">
        <v>119</v>
      </c>
      <c r="X193">
        <v>246</v>
      </c>
      <c r="Y193">
        <v>229</v>
      </c>
      <c r="Z193" s="10" t="s">
        <v>150</v>
      </c>
    </row>
    <row r="194" spans="1:26" x14ac:dyDescent="0.4">
      <c r="A194" s="10">
        <v>193</v>
      </c>
      <c r="B194" s="10" t="s">
        <v>32</v>
      </c>
      <c r="C194" s="10" t="s">
        <v>151</v>
      </c>
      <c r="D194" s="10" t="s">
        <v>63</v>
      </c>
      <c r="E194" s="10" t="s">
        <v>59</v>
      </c>
      <c r="F194" s="10" t="s">
        <v>4</v>
      </c>
      <c r="G194" s="10" t="s">
        <v>27</v>
      </c>
      <c r="H194">
        <v>116</v>
      </c>
      <c r="I194">
        <v>113</v>
      </c>
      <c r="J194">
        <v>112</v>
      </c>
      <c r="K194">
        <v>117</v>
      </c>
      <c r="L194">
        <v>97</v>
      </c>
      <c r="M194">
        <v>120</v>
      </c>
      <c r="N194">
        <v>115</v>
      </c>
      <c r="O194">
        <v>115</v>
      </c>
      <c r="P194">
        <v>115</v>
      </c>
      <c r="Q194">
        <v>31</v>
      </c>
      <c r="R194">
        <v>458</v>
      </c>
      <c r="S194">
        <v>465</v>
      </c>
      <c r="T194">
        <v>1051</v>
      </c>
      <c r="U194">
        <v>213</v>
      </c>
      <c r="V194">
        <v>327</v>
      </c>
      <c r="W194">
        <v>112</v>
      </c>
      <c r="X194">
        <v>230</v>
      </c>
      <c r="Y194">
        <v>235</v>
      </c>
      <c r="Z194" s="10" t="s">
        <v>152</v>
      </c>
    </row>
    <row r="195" spans="1:26" x14ac:dyDescent="0.4">
      <c r="A195" s="10">
        <v>194</v>
      </c>
      <c r="B195" s="10" t="s">
        <v>153</v>
      </c>
      <c r="C195" s="10" t="s">
        <v>151</v>
      </c>
      <c r="D195" s="10" t="s">
        <v>65</v>
      </c>
      <c r="E195" s="10" t="s">
        <v>59</v>
      </c>
      <c r="F195" s="10" t="s">
        <v>4</v>
      </c>
      <c r="G195" s="10" t="s">
        <v>27</v>
      </c>
      <c r="H195">
        <v>119</v>
      </c>
      <c r="I195">
        <v>114</v>
      </c>
      <c r="J195">
        <v>113</v>
      </c>
      <c r="K195">
        <v>118</v>
      </c>
      <c r="L195">
        <v>97</v>
      </c>
      <c r="M195">
        <v>123</v>
      </c>
      <c r="N195">
        <v>116</v>
      </c>
      <c r="O195">
        <v>118</v>
      </c>
      <c r="P195">
        <v>116</v>
      </c>
      <c r="Q195">
        <v>31</v>
      </c>
      <c r="R195">
        <v>464</v>
      </c>
      <c r="S195">
        <v>473</v>
      </c>
      <c r="T195">
        <v>1065</v>
      </c>
      <c r="U195">
        <v>216</v>
      </c>
      <c r="V195">
        <v>329</v>
      </c>
      <c r="W195">
        <v>113</v>
      </c>
      <c r="X195">
        <v>232</v>
      </c>
      <c r="Y195">
        <v>241</v>
      </c>
      <c r="Z195" s="10" t="s">
        <v>152</v>
      </c>
    </row>
    <row r="196" spans="1:26" x14ac:dyDescent="0.4">
      <c r="A196" s="10">
        <v>195</v>
      </c>
      <c r="B196" s="10" t="s">
        <v>579</v>
      </c>
      <c r="C196" s="10" t="s">
        <v>151</v>
      </c>
      <c r="D196" s="10" t="s">
        <v>58</v>
      </c>
      <c r="E196" s="10" t="s">
        <v>59</v>
      </c>
      <c r="F196" s="10" t="s">
        <v>4</v>
      </c>
      <c r="G196" s="10" t="s">
        <v>27</v>
      </c>
      <c r="H196">
        <v>118</v>
      </c>
      <c r="I196">
        <v>117</v>
      </c>
      <c r="J196">
        <v>111</v>
      </c>
      <c r="K196">
        <v>119</v>
      </c>
      <c r="L196">
        <v>97</v>
      </c>
      <c r="M196">
        <v>125</v>
      </c>
      <c r="N196">
        <v>115</v>
      </c>
      <c r="O196">
        <v>119</v>
      </c>
      <c r="P196">
        <v>115</v>
      </c>
      <c r="Q196">
        <v>31</v>
      </c>
      <c r="R196">
        <v>465</v>
      </c>
      <c r="S196">
        <v>474</v>
      </c>
      <c r="T196">
        <v>1067</v>
      </c>
      <c r="U196">
        <v>215</v>
      </c>
      <c r="V196">
        <v>333</v>
      </c>
      <c r="W196">
        <v>111</v>
      </c>
      <c r="X196">
        <v>230</v>
      </c>
      <c r="Y196">
        <v>244</v>
      </c>
      <c r="Z196" s="10" t="s">
        <v>152</v>
      </c>
    </row>
    <row r="197" spans="1:26" x14ac:dyDescent="0.4">
      <c r="A197" s="10">
        <v>196</v>
      </c>
      <c r="B197" s="10" t="s">
        <v>801</v>
      </c>
      <c r="C197" s="10" t="s">
        <v>151</v>
      </c>
      <c r="D197" s="10" t="s">
        <v>63</v>
      </c>
      <c r="E197" s="10" t="s">
        <v>59</v>
      </c>
      <c r="F197" s="10" t="s">
        <v>4</v>
      </c>
      <c r="G197" s="10" t="s">
        <v>27</v>
      </c>
      <c r="H197">
        <v>121</v>
      </c>
      <c r="I197">
        <v>114</v>
      </c>
      <c r="J197">
        <v>115</v>
      </c>
      <c r="K197">
        <v>118</v>
      </c>
      <c r="L197">
        <v>97</v>
      </c>
      <c r="M197">
        <v>126</v>
      </c>
      <c r="N197">
        <v>117</v>
      </c>
      <c r="O197">
        <v>120</v>
      </c>
      <c r="P197">
        <v>116</v>
      </c>
      <c r="Q197">
        <v>31</v>
      </c>
      <c r="R197">
        <v>468</v>
      </c>
      <c r="S197">
        <v>479</v>
      </c>
      <c r="T197">
        <v>1075</v>
      </c>
      <c r="U197">
        <v>218</v>
      </c>
      <c r="V197">
        <v>329</v>
      </c>
      <c r="W197">
        <v>115</v>
      </c>
      <c r="X197">
        <v>233</v>
      </c>
      <c r="Y197">
        <v>246</v>
      </c>
      <c r="Z197" s="10" t="s">
        <v>152</v>
      </c>
    </row>
    <row r="198" spans="1:26" x14ac:dyDescent="0.4">
      <c r="A198" s="10">
        <v>197</v>
      </c>
      <c r="B198" s="10" t="s">
        <v>32</v>
      </c>
      <c r="C198" s="10" t="s">
        <v>154</v>
      </c>
      <c r="D198" s="10" t="s">
        <v>63</v>
      </c>
      <c r="E198" s="10" t="s">
        <v>81</v>
      </c>
      <c r="F198" s="10" t="s">
        <v>4</v>
      </c>
      <c r="G198" s="10" t="s">
        <v>27</v>
      </c>
      <c r="H198">
        <v>118</v>
      </c>
      <c r="I198">
        <v>116</v>
      </c>
      <c r="J198">
        <v>116</v>
      </c>
      <c r="K198">
        <v>119</v>
      </c>
      <c r="L198">
        <v>97</v>
      </c>
      <c r="M198">
        <v>117</v>
      </c>
      <c r="N198">
        <v>116</v>
      </c>
      <c r="O198">
        <v>116</v>
      </c>
      <c r="P198">
        <v>118</v>
      </c>
      <c r="Q198">
        <v>31</v>
      </c>
      <c r="R198">
        <v>469</v>
      </c>
      <c r="S198">
        <v>467</v>
      </c>
      <c r="T198">
        <v>1064</v>
      </c>
      <c r="U198">
        <v>215</v>
      </c>
      <c r="V198">
        <v>332</v>
      </c>
      <c r="W198">
        <v>116</v>
      </c>
      <c r="X198">
        <v>234</v>
      </c>
      <c r="Y198">
        <v>233</v>
      </c>
      <c r="Z198" s="10" t="s">
        <v>155</v>
      </c>
    </row>
    <row r="199" spans="1:26" x14ac:dyDescent="0.4">
      <c r="A199" s="10">
        <v>198</v>
      </c>
      <c r="B199" s="10" t="s">
        <v>153</v>
      </c>
      <c r="C199" s="10" t="s">
        <v>154</v>
      </c>
      <c r="D199" s="10" t="s">
        <v>65</v>
      </c>
      <c r="E199" s="10" t="s">
        <v>81</v>
      </c>
      <c r="F199" s="10" t="s">
        <v>4</v>
      </c>
      <c r="G199" s="10" t="s">
        <v>27</v>
      </c>
      <c r="H199">
        <v>121</v>
      </c>
      <c r="I199">
        <v>119</v>
      </c>
      <c r="J199">
        <v>117</v>
      </c>
      <c r="K199">
        <v>120</v>
      </c>
      <c r="L199">
        <v>97</v>
      </c>
      <c r="M199">
        <v>118</v>
      </c>
      <c r="N199">
        <v>117</v>
      </c>
      <c r="O199">
        <v>119</v>
      </c>
      <c r="P199">
        <v>119</v>
      </c>
      <c r="Q199">
        <v>31</v>
      </c>
      <c r="R199">
        <v>477</v>
      </c>
      <c r="S199">
        <v>473</v>
      </c>
      <c r="T199">
        <v>1078</v>
      </c>
      <c r="U199">
        <v>218</v>
      </c>
      <c r="V199">
        <v>336</v>
      </c>
      <c r="W199">
        <v>117</v>
      </c>
      <c r="X199">
        <v>236</v>
      </c>
      <c r="Y199">
        <v>237</v>
      </c>
      <c r="Z199" s="10" t="s">
        <v>155</v>
      </c>
    </row>
    <row r="200" spans="1:26" x14ac:dyDescent="0.4">
      <c r="A200" s="10">
        <v>199</v>
      </c>
      <c r="B200" s="10" t="s">
        <v>340</v>
      </c>
      <c r="C200" s="10" t="s">
        <v>154</v>
      </c>
      <c r="D200" s="10" t="s">
        <v>58</v>
      </c>
      <c r="E200" s="10" t="s">
        <v>81</v>
      </c>
      <c r="F200" s="10" t="s">
        <v>4</v>
      </c>
      <c r="G200" s="10" t="s">
        <v>27</v>
      </c>
      <c r="H200">
        <v>124</v>
      </c>
      <c r="I200">
        <v>117</v>
      </c>
      <c r="J200">
        <v>119</v>
      </c>
      <c r="K200">
        <v>118</v>
      </c>
      <c r="L200">
        <v>97</v>
      </c>
      <c r="M200">
        <v>118</v>
      </c>
      <c r="N200">
        <v>117</v>
      </c>
      <c r="O200">
        <v>121</v>
      </c>
      <c r="P200">
        <v>117</v>
      </c>
      <c r="Q200">
        <v>31</v>
      </c>
      <c r="R200">
        <v>478</v>
      </c>
      <c r="S200">
        <v>473</v>
      </c>
      <c r="T200">
        <v>1079</v>
      </c>
      <c r="U200">
        <v>221</v>
      </c>
      <c r="V200">
        <v>332</v>
      </c>
      <c r="W200">
        <v>119</v>
      </c>
      <c r="X200">
        <v>234</v>
      </c>
      <c r="Y200">
        <v>239</v>
      </c>
      <c r="Z200" s="10" t="s">
        <v>155</v>
      </c>
    </row>
    <row r="201" spans="1:26" x14ac:dyDescent="0.4">
      <c r="A201" s="10">
        <v>200</v>
      </c>
      <c r="B201" s="10" t="s">
        <v>748</v>
      </c>
      <c r="C201" s="10" t="s">
        <v>154</v>
      </c>
      <c r="D201" s="10" t="s">
        <v>63</v>
      </c>
      <c r="E201" s="10" t="s">
        <v>81</v>
      </c>
      <c r="F201" s="10" t="s">
        <v>4</v>
      </c>
      <c r="G201" s="10" t="s">
        <v>27</v>
      </c>
      <c r="H201">
        <v>120</v>
      </c>
      <c r="I201">
        <v>122</v>
      </c>
      <c r="J201">
        <v>116</v>
      </c>
      <c r="K201">
        <v>122</v>
      </c>
      <c r="L201">
        <v>97</v>
      </c>
      <c r="M201">
        <v>116</v>
      </c>
      <c r="N201">
        <v>119</v>
      </c>
      <c r="O201">
        <v>117</v>
      </c>
      <c r="P201">
        <v>120</v>
      </c>
      <c r="Q201">
        <v>31</v>
      </c>
      <c r="R201">
        <v>480</v>
      </c>
      <c r="S201">
        <v>472</v>
      </c>
      <c r="T201">
        <v>1080</v>
      </c>
      <c r="U201">
        <v>217</v>
      </c>
      <c r="V201">
        <v>341</v>
      </c>
      <c r="W201">
        <v>116</v>
      </c>
      <c r="X201">
        <v>239</v>
      </c>
      <c r="Y201">
        <v>233</v>
      </c>
      <c r="Z201" s="10" t="s">
        <v>155</v>
      </c>
    </row>
    <row r="202" spans="1:26" x14ac:dyDescent="0.4">
      <c r="A202" s="10">
        <v>201</v>
      </c>
      <c r="B202" s="10" t="s">
        <v>801</v>
      </c>
      <c r="C202" s="10" t="s">
        <v>154</v>
      </c>
      <c r="D202" s="10" t="s">
        <v>65</v>
      </c>
      <c r="E202" s="10" t="s">
        <v>81</v>
      </c>
      <c r="F202" s="10" t="s">
        <v>4</v>
      </c>
      <c r="G202" s="10" t="s">
        <v>27</v>
      </c>
      <c r="H202">
        <v>125</v>
      </c>
      <c r="I202">
        <v>119</v>
      </c>
      <c r="J202">
        <v>118</v>
      </c>
      <c r="K202">
        <v>120</v>
      </c>
      <c r="L202">
        <v>97</v>
      </c>
      <c r="M202">
        <v>120</v>
      </c>
      <c r="N202">
        <v>118</v>
      </c>
      <c r="O202">
        <v>121</v>
      </c>
      <c r="P202">
        <v>120</v>
      </c>
      <c r="Q202">
        <v>31</v>
      </c>
      <c r="R202">
        <v>482</v>
      </c>
      <c r="S202">
        <v>479</v>
      </c>
      <c r="T202">
        <v>1089</v>
      </c>
      <c r="U202">
        <v>222</v>
      </c>
      <c r="V202">
        <v>336</v>
      </c>
      <c r="W202">
        <v>118</v>
      </c>
      <c r="X202">
        <v>238</v>
      </c>
      <c r="Y202">
        <v>241</v>
      </c>
      <c r="Z202" s="10" t="s">
        <v>155</v>
      </c>
    </row>
    <row r="203" spans="1:26" x14ac:dyDescent="0.4">
      <c r="A203" s="10">
        <v>202</v>
      </c>
      <c r="B203" s="10" t="s">
        <v>32</v>
      </c>
      <c r="C203" s="10" t="s">
        <v>156</v>
      </c>
      <c r="D203" s="10" t="s">
        <v>63</v>
      </c>
      <c r="E203" s="10" t="s">
        <v>67</v>
      </c>
      <c r="F203" s="10" t="s">
        <v>4</v>
      </c>
      <c r="G203" s="10" t="s">
        <v>27</v>
      </c>
      <c r="H203">
        <v>118</v>
      </c>
      <c r="I203">
        <v>120</v>
      </c>
      <c r="J203">
        <v>123</v>
      </c>
      <c r="K203">
        <v>123</v>
      </c>
      <c r="L203">
        <v>101</v>
      </c>
      <c r="M203">
        <v>115</v>
      </c>
      <c r="N203">
        <v>117</v>
      </c>
      <c r="O203">
        <v>115</v>
      </c>
      <c r="P203">
        <v>117</v>
      </c>
      <c r="Q203">
        <v>36</v>
      </c>
      <c r="R203">
        <v>484</v>
      </c>
      <c r="S203">
        <v>464</v>
      </c>
      <c r="T203">
        <v>1085</v>
      </c>
      <c r="U203">
        <v>219</v>
      </c>
      <c r="V203">
        <v>344</v>
      </c>
      <c r="W203">
        <v>123</v>
      </c>
      <c r="X203">
        <v>234</v>
      </c>
      <c r="Y203">
        <v>230</v>
      </c>
      <c r="Z203" s="10" t="s">
        <v>157</v>
      </c>
    </row>
    <row r="204" spans="1:26" x14ac:dyDescent="0.4">
      <c r="A204" s="10">
        <v>203</v>
      </c>
      <c r="B204" s="10" t="s">
        <v>565</v>
      </c>
      <c r="C204" s="10" t="s">
        <v>156</v>
      </c>
      <c r="D204" s="10" t="s">
        <v>65</v>
      </c>
      <c r="E204" s="10" t="s">
        <v>67</v>
      </c>
      <c r="F204" s="10" t="s">
        <v>4</v>
      </c>
      <c r="G204" s="10" t="s">
        <v>27</v>
      </c>
      <c r="H204">
        <v>119</v>
      </c>
      <c r="I204">
        <v>123</v>
      </c>
      <c r="J204">
        <v>126</v>
      </c>
      <c r="K204">
        <v>126</v>
      </c>
      <c r="L204">
        <v>101</v>
      </c>
      <c r="M204">
        <v>116</v>
      </c>
      <c r="N204">
        <v>118</v>
      </c>
      <c r="O204">
        <v>116</v>
      </c>
      <c r="P204">
        <v>118</v>
      </c>
      <c r="Q204">
        <v>36</v>
      </c>
      <c r="R204">
        <v>494</v>
      </c>
      <c r="S204">
        <v>468</v>
      </c>
      <c r="T204">
        <v>1099</v>
      </c>
      <c r="U204">
        <v>220</v>
      </c>
      <c r="V204">
        <v>350</v>
      </c>
      <c r="W204">
        <v>126</v>
      </c>
      <c r="X204">
        <v>236</v>
      </c>
      <c r="Y204">
        <v>232</v>
      </c>
      <c r="Z204" s="10" t="s">
        <v>157</v>
      </c>
    </row>
    <row r="205" spans="1:26" x14ac:dyDescent="0.4">
      <c r="A205" s="10">
        <v>204</v>
      </c>
      <c r="B205" s="10" t="s">
        <v>32</v>
      </c>
      <c r="C205" s="10" t="s">
        <v>158</v>
      </c>
      <c r="D205" s="10" t="s">
        <v>63</v>
      </c>
      <c r="E205" s="10" t="s">
        <v>81</v>
      </c>
      <c r="F205" s="10" t="s">
        <v>1</v>
      </c>
      <c r="G205" s="10" t="s">
        <v>27</v>
      </c>
      <c r="H205">
        <v>121</v>
      </c>
      <c r="I205">
        <v>115</v>
      </c>
      <c r="J205">
        <v>114</v>
      </c>
      <c r="K205">
        <v>118</v>
      </c>
      <c r="L205">
        <v>101</v>
      </c>
      <c r="M205">
        <v>116</v>
      </c>
      <c r="N205">
        <v>114</v>
      </c>
      <c r="O205">
        <v>116</v>
      </c>
      <c r="P205">
        <v>117</v>
      </c>
      <c r="Q205">
        <v>41</v>
      </c>
      <c r="R205">
        <v>468</v>
      </c>
      <c r="S205">
        <v>463</v>
      </c>
      <c r="T205">
        <v>1073</v>
      </c>
      <c r="U205">
        <v>222</v>
      </c>
      <c r="V205">
        <v>334</v>
      </c>
      <c r="W205">
        <v>114</v>
      </c>
      <c r="X205">
        <v>231</v>
      </c>
      <c r="Y205">
        <v>232</v>
      </c>
      <c r="Z205" s="10" t="s">
        <v>159</v>
      </c>
    </row>
    <row r="206" spans="1:26" x14ac:dyDescent="0.4">
      <c r="A206" s="10">
        <v>205</v>
      </c>
      <c r="B206" s="10" t="s">
        <v>32</v>
      </c>
      <c r="C206" s="10" t="s">
        <v>160</v>
      </c>
      <c r="D206" s="10" t="s">
        <v>65</v>
      </c>
      <c r="E206" s="10" t="s">
        <v>59</v>
      </c>
      <c r="F206" s="10" t="s">
        <v>1</v>
      </c>
      <c r="G206" s="10" t="s">
        <v>27</v>
      </c>
      <c r="H206">
        <v>116</v>
      </c>
      <c r="I206">
        <v>115</v>
      </c>
      <c r="J206">
        <v>113</v>
      </c>
      <c r="K206">
        <v>118</v>
      </c>
      <c r="L206">
        <v>97</v>
      </c>
      <c r="M206">
        <v>120</v>
      </c>
      <c r="N206">
        <v>116</v>
      </c>
      <c r="O206">
        <v>115</v>
      </c>
      <c r="P206">
        <v>115</v>
      </c>
      <c r="Q206">
        <v>31</v>
      </c>
      <c r="R206">
        <v>462</v>
      </c>
      <c r="S206">
        <v>466</v>
      </c>
      <c r="T206">
        <v>1056</v>
      </c>
      <c r="U206">
        <v>213</v>
      </c>
      <c r="V206">
        <v>330</v>
      </c>
      <c r="W206">
        <v>113</v>
      </c>
      <c r="X206">
        <v>231</v>
      </c>
      <c r="Y206">
        <v>235</v>
      </c>
      <c r="Z206" s="10" t="s">
        <v>161</v>
      </c>
    </row>
    <row r="207" spans="1:26" x14ac:dyDescent="0.4">
      <c r="A207" s="10">
        <v>206</v>
      </c>
      <c r="B207" s="10" t="s">
        <v>32</v>
      </c>
      <c r="C207" s="10" t="s">
        <v>162</v>
      </c>
      <c r="D207" s="10" t="s">
        <v>65</v>
      </c>
      <c r="E207" s="10" t="s">
        <v>81</v>
      </c>
      <c r="F207" s="10" t="s">
        <v>1</v>
      </c>
      <c r="G207" s="10" t="s">
        <v>27</v>
      </c>
      <c r="H207">
        <v>117</v>
      </c>
      <c r="I207">
        <v>114</v>
      </c>
      <c r="J207">
        <v>114</v>
      </c>
      <c r="K207">
        <v>119</v>
      </c>
      <c r="L207">
        <v>97</v>
      </c>
      <c r="M207">
        <v>116</v>
      </c>
      <c r="N207">
        <v>116</v>
      </c>
      <c r="O207">
        <v>117</v>
      </c>
      <c r="P207">
        <v>117</v>
      </c>
      <c r="Q207">
        <v>31</v>
      </c>
      <c r="R207">
        <v>464</v>
      </c>
      <c r="S207">
        <v>466</v>
      </c>
      <c r="T207">
        <v>1058</v>
      </c>
      <c r="U207">
        <v>214</v>
      </c>
      <c r="V207">
        <v>330</v>
      </c>
      <c r="W207">
        <v>114</v>
      </c>
      <c r="X207">
        <v>233</v>
      </c>
      <c r="Y207">
        <v>233</v>
      </c>
      <c r="Z207" s="10" t="s">
        <v>163</v>
      </c>
    </row>
    <row r="208" spans="1:26" x14ac:dyDescent="0.4">
      <c r="A208" s="10">
        <v>207</v>
      </c>
      <c r="B208" s="10" t="s">
        <v>32</v>
      </c>
      <c r="C208" s="10" t="s">
        <v>164</v>
      </c>
      <c r="D208" s="10" t="s">
        <v>65</v>
      </c>
      <c r="E208" s="10" t="s">
        <v>78</v>
      </c>
      <c r="F208" s="10" t="s">
        <v>1</v>
      </c>
      <c r="G208" s="10" t="s">
        <v>27</v>
      </c>
      <c r="H208">
        <v>113</v>
      </c>
      <c r="I208">
        <v>110</v>
      </c>
      <c r="J208">
        <v>113</v>
      </c>
      <c r="K208">
        <v>122</v>
      </c>
      <c r="L208">
        <v>101</v>
      </c>
      <c r="M208">
        <v>110</v>
      </c>
      <c r="N208">
        <v>124</v>
      </c>
      <c r="O208">
        <v>118</v>
      </c>
      <c r="P208">
        <v>121</v>
      </c>
      <c r="Q208">
        <v>41</v>
      </c>
      <c r="R208">
        <v>458</v>
      </c>
      <c r="S208">
        <v>473</v>
      </c>
      <c r="T208">
        <v>1073</v>
      </c>
      <c r="U208">
        <v>214</v>
      </c>
      <c r="V208">
        <v>333</v>
      </c>
      <c r="W208">
        <v>113</v>
      </c>
      <c r="X208">
        <v>245</v>
      </c>
      <c r="Y208">
        <v>228</v>
      </c>
      <c r="Z208" s="10" t="s">
        <v>165</v>
      </c>
    </row>
    <row r="209" spans="1:26" x14ac:dyDescent="0.4">
      <c r="A209" s="10">
        <v>208</v>
      </c>
      <c r="B209" s="10" t="s">
        <v>32</v>
      </c>
      <c r="C209" s="10" t="s">
        <v>166</v>
      </c>
      <c r="D209" s="10" t="s">
        <v>65</v>
      </c>
      <c r="E209" s="10" t="s">
        <v>67</v>
      </c>
      <c r="F209" s="10" t="s">
        <v>1</v>
      </c>
      <c r="G209" s="10" t="s">
        <v>27</v>
      </c>
      <c r="H209">
        <v>120</v>
      </c>
      <c r="I209">
        <v>116</v>
      </c>
      <c r="J209">
        <v>121</v>
      </c>
      <c r="K209">
        <v>120</v>
      </c>
      <c r="L209">
        <v>97</v>
      </c>
      <c r="M209">
        <v>114</v>
      </c>
      <c r="N209">
        <v>114</v>
      </c>
      <c r="O209">
        <v>115</v>
      </c>
      <c r="P209">
        <v>115</v>
      </c>
      <c r="Q209">
        <v>31</v>
      </c>
      <c r="R209">
        <v>477</v>
      </c>
      <c r="S209">
        <v>458</v>
      </c>
      <c r="T209">
        <v>1063</v>
      </c>
      <c r="U209">
        <v>217</v>
      </c>
      <c r="V209">
        <v>333</v>
      </c>
      <c r="W209">
        <v>121</v>
      </c>
      <c r="X209">
        <v>229</v>
      </c>
      <c r="Y209">
        <v>229</v>
      </c>
      <c r="Z209" s="10" t="s">
        <v>167</v>
      </c>
    </row>
    <row r="210" spans="1:26" x14ac:dyDescent="0.4">
      <c r="A210" s="10">
        <v>209</v>
      </c>
      <c r="B210" s="10" t="s">
        <v>32</v>
      </c>
      <c r="C210" s="10" t="s">
        <v>168</v>
      </c>
      <c r="D210" s="10" t="s">
        <v>65</v>
      </c>
      <c r="E210" s="10" t="s">
        <v>59</v>
      </c>
      <c r="F210" s="10" t="s">
        <v>1</v>
      </c>
      <c r="G210" s="10" t="s">
        <v>27</v>
      </c>
      <c r="H210">
        <v>115</v>
      </c>
      <c r="I210">
        <v>114</v>
      </c>
      <c r="J210">
        <v>112</v>
      </c>
      <c r="K210">
        <v>119</v>
      </c>
      <c r="L210">
        <v>97</v>
      </c>
      <c r="M210">
        <v>120</v>
      </c>
      <c r="N210">
        <v>115</v>
      </c>
      <c r="O210">
        <v>115</v>
      </c>
      <c r="P210">
        <v>115</v>
      </c>
      <c r="Q210">
        <v>31</v>
      </c>
      <c r="R210">
        <v>460</v>
      </c>
      <c r="S210">
        <v>465</v>
      </c>
      <c r="T210">
        <v>1053</v>
      </c>
      <c r="U210">
        <v>212</v>
      </c>
      <c r="V210">
        <v>330</v>
      </c>
      <c r="W210">
        <v>112</v>
      </c>
      <c r="X210">
        <v>230</v>
      </c>
      <c r="Y210">
        <v>235</v>
      </c>
      <c r="Z210" s="10" t="s">
        <v>169</v>
      </c>
    </row>
    <row r="211" spans="1:26" x14ac:dyDescent="0.4">
      <c r="A211" s="10">
        <v>210</v>
      </c>
      <c r="B211" s="10" t="s">
        <v>32</v>
      </c>
      <c r="C211" s="10" t="s">
        <v>170</v>
      </c>
      <c r="D211" s="10" t="s">
        <v>65</v>
      </c>
      <c r="E211" s="10" t="s">
        <v>81</v>
      </c>
      <c r="F211" s="10" t="s">
        <v>1</v>
      </c>
      <c r="G211" s="10" t="s">
        <v>27</v>
      </c>
      <c r="H211">
        <v>117</v>
      </c>
      <c r="I211">
        <v>116</v>
      </c>
      <c r="J211">
        <v>114</v>
      </c>
      <c r="K211">
        <v>120</v>
      </c>
      <c r="L211">
        <v>97</v>
      </c>
      <c r="M211">
        <v>116</v>
      </c>
      <c r="N211">
        <v>116</v>
      </c>
      <c r="O211">
        <v>117</v>
      </c>
      <c r="P211">
        <v>116</v>
      </c>
      <c r="Q211">
        <v>31</v>
      </c>
      <c r="R211">
        <v>467</v>
      </c>
      <c r="S211">
        <v>465</v>
      </c>
      <c r="T211">
        <v>1060</v>
      </c>
      <c r="U211">
        <v>214</v>
      </c>
      <c r="V211">
        <v>333</v>
      </c>
      <c r="W211">
        <v>114</v>
      </c>
      <c r="X211">
        <v>232</v>
      </c>
      <c r="Y211">
        <v>233</v>
      </c>
      <c r="Z211" s="10" t="s">
        <v>171</v>
      </c>
    </row>
    <row r="212" spans="1:26" x14ac:dyDescent="0.4">
      <c r="A212" s="10">
        <v>211</v>
      </c>
      <c r="B212" s="10" t="s">
        <v>674</v>
      </c>
      <c r="C212" s="10" t="s">
        <v>170</v>
      </c>
      <c r="D212" s="10" t="s">
        <v>58</v>
      </c>
      <c r="E212" s="10" t="s">
        <v>81</v>
      </c>
      <c r="F212" s="10" t="s">
        <v>1</v>
      </c>
      <c r="G212" s="10" t="s">
        <v>27</v>
      </c>
      <c r="H212">
        <v>120</v>
      </c>
      <c r="I212">
        <v>119</v>
      </c>
      <c r="J212">
        <v>115</v>
      </c>
      <c r="K212">
        <v>121</v>
      </c>
      <c r="L212">
        <v>97</v>
      </c>
      <c r="M212">
        <v>117</v>
      </c>
      <c r="N212">
        <v>117</v>
      </c>
      <c r="O212">
        <v>120</v>
      </c>
      <c r="P212">
        <v>117</v>
      </c>
      <c r="Q212">
        <v>31</v>
      </c>
      <c r="R212">
        <v>475</v>
      </c>
      <c r="S212">
        <v>471</v>
      </c>
      <c r="T212">
        <v>1074</v>
      </c>
      <c r="U212">
        <v>217</v>
      </c>
      <c r="V212">
        <v>337</v>
      </c>
      <c r="W212">
        <v>115</v>
      </c>
      <c r="X212">
        <v>234</v>
      </c>
      <c r="Y212">
        <v>237</v>
      </c>
      <c r="Z212" s="10" t="s">
        <v>171</v>
      </c>
    </row>
    <row r="213" spans="1:26" x14ac:dyDescent="0.4">
      <c r="A213" s="10">
        <v>212</v>
      </c>
      <c r="B213" s="10" t="s">
        <v>741</v>
      </c>
      <c r="C213" s="10" t="s">
        <v>170</v>
      </c>
      <c r="D213" s="10" t="s">
        <v>63</v>
      </c>
      <c r="E213" s="10" t="s">
        <v>81</v>
      </c>
      <c r="F213" s="10" t="s">
        <v>1</v>
      </c>
      <c r="G213" s="10" t="s">
        <v>27</v>
      </c>
      <c r="H213">
        <v>119</v>
      </c>
      <c r="I213">
        <v>122</v>
      </c>
      <c r="J213">
        <v>114</v>
      </c>
      <c r="K213">
        <v>123</v>
      </c>
      <c r="L213">
        <v>97</v>
      </c>
      <c r="M213">
        <v>115</v>
      </c>
      <c r="N213">
        <v>119</v>
      </c>
      <c r="O213">
        <v>118</v>
      </c>
      <c r="P213">
        <v>118</v>
      </c>
      <c r="Q213">
        <v>31</v>
      </c>
      <c r="R213">
        <v>478</v>
      </c>
      <c r="S213">
        <v>470</v>
      </c>
      <c r="T213">
        <v>1076</v>
      </c>
      <c r="U213">
        <v>216</v>
      </c>
      <c r="V213">
        <v>342</v>
      </c>
      <c r="W213">
        <v>114</v>
      </c>
      <c r="X213">
        <v>237</v>
      </c>
      <c r="Y213">
        <v>233</v>
      </c>
      <c r="Z213" s="10" t="s">
        <v>171</v>
      </c>
    </row>
    <row r="214" spans="1:26" x14ac:dyDescent="0.4">
      <c r="A214" s="10">
        <v>213</v>
      </c>
      <c r="B214" s="10" t="s">
        <v>32</v>
      </c>
      <c r="C214" s="10" t="s">
        <v>172</v>
      </c>
      <c r="D214" s="10" t="s">
        <v>58</v>
      </c>
      <c r="E214" s="10" t="s">
        <v>81</v>
      </c>
      <c r="F214" s="10" t="s">
        <v>2</v>
      </c>
      <c r="G214" s="10" t="s">
        <v>27</v>
      </c>
      <c r="H214">
        <v>121</v>
      </c>
      <c r="I214">
        <v>116</v>
      </c>
      <c r="J214">
        <v>114</v>
      </c>
      <c r="K214">
        <v>121</v>
      </c>
      <c r="L214">
        <v>97</v>
      </c>
      <c r="M214">
        <v>116</v>
      </c>
      <c r="N214">
        <v>116</v>
      </c>
      <c r="O214">
        <v>117</v>
      </c>
      <c r="P214">
        <v>116</v>
      </c>
      <c r="Q214">
        <v>41</v>
      </c>
      <c r="R214">
        <v>472</v>
      </c>
      <c r="S214">
        <v>465</v>
      </c>
      <c r="T214">
        <v>1075</v>
      </c>
      <c r="U214">
        <v>218</v>
      </c>
      <c r="V214">
        <v>334</v>
      </c>
      <c r="W214">
        <v>114</v>
      </c>
      <c r="X214">
        <v>232</v>
      </c>
      <c r="Y214">
        <v>233</v>
      </c>
      <c r="Z214" s="10" t="s">
        <v>173</v>
      </c>
    </row>
    <row r="215" spans="1:26" x14ac:dyDescent="0.4">
      <c r="A215" s="10">
        <v>214</v>
      </c>
      <c r="B215" s="10" t="s">
        <v>32</v>
      </c>
      <c r="C215" s="10" t="s">
        <v>174</v>
      </c>
      <c r="D215" s="10" t="s">
        <v>58</v>
      </c>
      <c r="E215" s="10" t="s">
        <v>59</v>
      </c>
      <c r="F215" s="10" t="s">
        <v>2</v>
      </c>
      <c r="G215" s="10" t="s">
        <v>27</v>
      </c>
      <c r="H215">
        <v>116</v>
      </c>
      <c r="I215">
        <v>114</v>
      </c>
      <c r="J215">
        <v>112</v>
      </c>
      <c r="K215">
        <v>118</v>
      </c>
      <c r="L215">
        <v>97</v>
      </c>
      <c r="M215">
        <v>120</v>
      </c>
      <c r="N215">
        <v>115</v>
      </c>
      <c r="O215">
        <v>115</v>
      </c>
      <c r="P215">
        <v>115</v>
      </c>
      <c r="Q215">
        <v>31</v>
      </c>
      <c r="R215">
        <v>460</v>
      </c>
      <c r="S215">
        <v>465</v>
      </c>
      <c r="T215">
        <v>1053</v>
      </c>
      <c r="U215">
        <v>213</v>
      </c>
      <c r="V215">
        <v>329</v>
      </c>
      <c r="W215">
        <v>112</v>
      </c>
      <c r="X215">
        <v>230</v>
      </c>
      <c r="Y215">
        <v>235</v>
      </c>
      <c r="Z215" s="10" t="s">
        <v>175</v>
      </c>
    </row>
    <row r="216" spans="1:26" x14ac:dyDescent="0.4">
      <c r="A216" s="10">
        <v>215</v>
      </c>
      <c r="B216" s="10" t="s">
        <v>32</v>
      </c>
      <c r="C216" s="10" t="s">
        <v>176</v>
      </c>
      <c r="D216" s="10" t="s">
        <v>65</v>
      </c>
      <c r="E216" s="10" t="s">
        <v>81</v>
      </c>
      <c r="F216" s="10" t="s">
        <v>2</v>
      </c>
      <c r="G216" s="10" t="s">
        <v>27</v>
      </c>
      <c r="H216">
        <v>121</v>
      </c>
      <c r="I216">
        <v>117</v>
      </c>
      <c r="J216">
        <v>114</v>
      </c>
      <c r="K216">
        <v>121</v>
      </c>
      <c r="L216">
        <v>97</v>
      </c>
      <c r="M216">
        <v>117</v>
      </c>
      <c r="N216">
        <v>117</v>
      </c>
      <c r="O216">
        <v>117</v>
      </c>
      <c r="P216">
        <v>117</v>
      </c>
      <c r="Q216">
        <v>31</v>
      </c>
      <c r="R216">
        <v>473</v>
      </c>
      <c r="S216">
        <v>468</v>
      </c>
      <c r="T216">
        <v>1069</v>
      </c>
      <c r="U216">
        <v>218</v>
      </c>
      <c r="V216">
        <v>335</v>
      </c>
      <c r="W216">
        <v>114</v>
      </c>
      <c r="X216">
        <v>234</v>
      </c>
      <c r="Y216">
        <v>234</v>
      </c>
      <c r="Z216" s="10" t="s">
        <v>177</v>
      </c>
    </row>
    <row r="217" spans="1:26" x14ac:dyDescent="0.4">
      <c r="A217" s="10">
        <v>216</v>
      </c>
      <c r="B217" s="10" t="s">
        <v>32</v>
      </c>
      <c r="C217" s="10" t="s">
        <v>178</v>
      </c>
      <c r="D217" s="10" t="s">
        <v>58</v>
      </c>
      <c r="E217" s="10" t="s">
        <v>81</v>
      </c>
      <c r="F217" s="10" t="s">
        <v>2</v>
      </c>
      <c r="G217" s="10" t="s">
        <v>27</v>
      </c>
      <c r="H217">
        <v>118</v>
      </c>
      <c r="I217">
        <v>116</v>
      </c>
      <c r="J217">
        <v>114</v>
      </c>
      <c r="K217">
        <v>119</v>
      </c>
      <c r="L217">
        <v>97</v>
      </c>
      <c r="M217">
        <v>117</v>
      </c>
      <c r="N217">
        <v>116</v>
      </c>
      <c r="O217">
        <v>117</v>
      </c>
      <c r="P217">
        <v>116</v>
      </c>
      <c r="Q217">
        <v>31</v>
      </c>
      <c r="R217">
        <v>467</v>
      </c>
      <c r="S217">
        <v>466</v>
      </c>
      <c r="T217">
        <v>1061</v>
      </c>
      <c r="U217">
        <v>215</v>
      </c>
      <c r="V217">
        <v>332</v>
      </c>
      <c r="W217">
        <v>114</v>
      </c>
      <c r="X217">
        <v>232</v>
      </c>
      <c r="Y217">
        <v>234</v>
      </c>
      <c r="Z217" s="10" t="s">
        <v>179</v>
      </c>
    </row>
    <row r="218" spans="1:26" x14ac:dyDescent="0.4">
      <c r="A218" s="10">
        <v>217</v>
      </c>
      <c r="B218" s="10" t="s">
        <v>32</v>
      </c>
      <c r="C218" s="10" t="s">
        <v>180</v>
      </c>
      <c r="D218" s="10" t="s">
        <v>58</v>
      </c>
      <c r="E218" s="10" t="s">
        <v>59</v>
      </c>
      <c r="F218" s="10" t="s">
        <v>2</v>
      </c>
      <c r="G218" s="10" t="s">
        <v>27</v>
      </c>
      <c r="H218">
        <v>118</v>
      </c>
      <c r="I218">
        <v>118</v>
      </c>
      <c r="J218">
        <v>112</v>
      </c>
      <c r="K218">
        <v>120</v>
      </c>
      <c r="L218">
        <v>97</v>
      </c>
      <c r="M218">
        <v>120</v>
      </c>
      <c r="N218">
        <v>115</v>
      </c>
      <c r="O218">
        <v>115</v>
      </c>
      <c r="P218">
        <v>115</v>
      </c>
      <c r="Q218">
        <v>31</v>
      </c>
      <c r="R218">
        <v>468</v>
      </c>
      <c r="S218">
        <v>465</v>
      </c>
      <c r="T218">
        <v>1061</v>
      </c>
      <c r="U218">
        <v>215</v>
      </c>
      <c r="V218">
        <v>335</v>
      </c>
      <c r="W218">
        <v>112</v>
      </c>
      <c r="X218">
        <v>230</v>
      </c>
      <c r="Y218">
        <v>235</v>
      </c>
      <c r="Z218" s="10" t="s">
        <v>181</v>
      </c>
    </row>
    <row r="219" spans="1:26" x14ac:dyDescent="0.4">
      <c r="A219" s="10">
        <v>218</v>
      </c>
      <c r="B219" s="10" t="s">
        <v>776</v>
      </c>
      <c r="C219" s="10" t="s">
        <v>180</v>
      </c>
      <c r="D219" s="10" t="s">
        <v>63</v>
      </c>
      <c r="E219" s="10" t="s">
        <v>59</v>
      </c>
      <c r="F219" s="10" t="s">
        <v>2</v>
      </c>
      <c r="G219" s="10" t="s">
        <v>27</v>
      </c>
      <c r="H219">
        <v>121</v>
      </c>
      <c r="I219">
        <v>119</v>
      </c>
      <c r="J219">
        <v>113</v>
      </c>
      <c r="K219">
        <v>121</v>
      </c>
      <c r="L219">
        <v>97</v>
      </c>
      <c r="M219">
        <v>123</v>
      </c>
      <c r="N219">
        <v>116</v>
      </c>
      <c r="O219">
        <v>118</v>
      </c>
      <c r="P219">
        <v>116</v>
      </c>
      <c r="Q219">
        <v>31</v>
      </c>
      <c r="R219">
        <v>474</v>
      </c>
      <c r="S219">
        <v>473</v>
      </c>
      <c r="T219">
        <v>1075</v>
      </c>
      <c r="U219">
        <v>218</v>
      </c>
      <c r="V219">
        <v>337</v>
      </c>
      <c r="W219">
        <v>113</v>
      </c>
      <c r="X219">
        <v>232</v>
      </c>
      <c r="Y219">
        <v>241</v>
      </c>
      <c r="Z219" s="10" t="s">
        <v>181</v>
      </c>
    </row>
    <row r="220" spans="1:26" x14ac:dyDescent="0.4">
      <c r="A220" s="10">
        <v>219</v>
      </c>
      <c r="B220" s="10" t="s">
        <v>32</v>
      </c>
      <c r="C220" s="10" t="s">
        <v>182</v>
      </c>
      <c r="D220" s="10" t="s">
        <v>58</v>
      </c>
      <c r="E220" s="10" t="s">
        <v>78</v>
      </c>
      <c r="F220" s="10" t="s">
        <v>2</v>
      </c>
      <c r="G220" s="10" t="s">
        <v>27</v>
      </c>
      <c r="H220">
        <v>113</v>
      </c>
      <c r="I220">
        <v>110</v>
      </c>
      <c r="J220">
        <v>113</v>
      </c>
      <c r="K220">
        <v>122</v>
      </c>
      <c r="L220">
        <v>101</v>
      </c>
      <c r="M220">
        <v>110</v>
      </c>
      <c r="N220">
        <v>122</v>
      </c>
      <c r="O220">
        <v>118</v>
      </c>
      <c r="P220">
        <v>120</v>
      </c>
      <c r="Q220">
        <v>41</v>
      </c>
      <c r="R220">
        <v>458</v>
      </c>
      <c r="S220">
        <v>470</v>
      </c>
      <c r="T220">
        <v>1070</v>
      </c>
      <c r="U220">
        <v>214</v>
      </c>
      <c r="V220">
        <v>333</v>
      </c>
      <c r="W220">
        <v>113</v>
      </c>
      <c r="X220">
        <v>242</v>
      </c>
      <c r="Y220">
        <v>228</v>
      </c>
      <c r="Z220" s="10" t="s">
        <v>183</v>
      </c>
    </row>
    <row r="221" spans="1:26" x14ac:dyDescent="0.4">
      <c r="A221" s="10">
        <v>220</v>
      </c>
      <c r="B221" s="10" t="s">
        <v>32</v>
      </c>
      <c r="C221" s="10" t="s">
        <v>184</v>
      </c>
      <c r="D221" s="10" t="s">
        <v>58</v>
      </c>
      <c r="E221" s="10" t="s">
        <v>67</v>
      </c>
      <c r="F221" s="10" t="s">
        <v>2</v>
      </c>
      <c r="G221" s="10" t="s">
        <v>27</v>
      </c>
      <c r="H221">
        <v>117</v>
      </c>
      <c r="I221">
        <v>115</v>
      </c>
      <c r="J221">
        <v>120</v>
      </c>
      <c r="K221">
        <v>120</v>
      </c>
      <c r="L221">
        <v>97</v>
      </c>
      <c r="M221">
        <v>117</v>
      </c>
      <c r="N221">
        <v>114</v>
      </c>
      <c r="O221">
        <v>116</v>
      </c>
      <c r="P221">
        <v>116</v>
      </c>
      <c r="Q221">
        <v>31</v>
      </c>
      <c r="R221">
        <v>472</v>
      </c>
      <c r="S221">
        <v>463</v>
      </c>
      <c r="T221">
        <v>1063</v>
      </c>
      <c r="U221">
        <v>214</v>
      </c>
      <c r="V221">
        <v>332</v>
      </c>
      <c r="W221">
        <v>120</v>
      </c>
      <c r="X221">
        <v>230</v>
      </c>
      <c r="Y221">
        <v>233</v>
      </c>
      <c r="Z221" s="10" t="s">
        <v>185</v>
      </c>
    </row>
    <row r="222" spans="1:26" x14ac:dyDescent="0.4">
      <c r="A222" s="10">
        <v>221</v>
      </c>
      <c r="B222" s="10" t="s">
        <v>32</v>
      </c>
      <c r="C222" s="10" t="s">
        <v>338</v>
      </c>
      <c r="D222" s="10" t="s">
        <v>58</v>
      </c>
      <c r="E222" s="10" t="s">
        <v>67</v>
      </c>
      <c r="F222" s="10" t="s">
        <v>2</v>
      </c>
      <c r="G222" s="10" t="s">
        <v>27</v>
      </c>
      <c r="H222">
        <v>117</v>
      </c>
      <c r="I222">
        <v>120</v>
      </c>
      <c r="J222">
        <v>124</v>
      </c>
      <c r="K222">
        <v>123</v>
      </c>
      <c r="L222">
        <v>97</v>
      </c>
      <c r="M222">
        <v>119</v>
      </c>
      <c r="N222">
        <v>118</v>
      </c>
      <c r="O222">
        <v>116</v>
      </c>
      <c r="P222">
        <v>119</v>
      </c>
      <c r="Q222">
        <v>36</v>
      </c>
      <c r="R222">
        <v>484</v>
      </c>
      <c r="S222">
        <v>472</v>
      </c>
      <c r="T222">
        <v>1089</v>
      </c>
      <c r="U222">
        <v>214</v>
      </c>
      <c r="V222">
        <v>340</v>
      </c>
      <c r="W222">
        <v>124</v>
      </c>
      <c r="X222">
        <v>237</v>
      </c>
      <c r="Y222">
        <v>235</v>
      </c>
      <c r="Z222" s="10" t="s">
        <v>339</v>
      </c>
    </row>
    <row r="223" spans="1:26" x14ac:dyDescent="0.4">
      <c r="A223" s="10">
        <v>222</v>
      </c>
      <c r="B223" s="10" t="s">
        <v>32</v>
      </c>
      <c r="C223" s="10" t="s">
        <v>186</v>
      </c>
      <c r="D223" s="10" t="s">
        <v>63</v>
      </c>
      <c r="E223" s="10" t="s">
        <v>67</v>
      </c>
      <c r="F223" s="10" t="s">
        <v>3</v>
      </c>
      <c r="G223" s="10" t="s">
        <v>27</v>
      </c>
      <c r="H223">
        <v>121</v>
      </c>
      <c r="I223">
        <v>119</v>
      </c>
      <c r="J223">
        <v>122</v>
      </c>
      <c r="K223">
        <v>122</v>
      </c>
      <c r="L223">
        <v>101</v>
      </c>
      <c r="M223">
        <v>116</v>
      </c>
      <c r="N223">
        <v>116</v>
      </c>
      <c r="O223">
        <v>120</v>
      </c>
      <c r="P223">
        <v>120</v>
      </c>
      <c r="Q223">
        <v>41</v>
      </c>
      <c r="R223">
        <v>484</v>
      </c>
      <c r="S223">
        <v>472</v>
      </c>
      <c r="T223">
        <v>1098</v>
      </c>
      <c r="U223">
        <v>222</v>
      </c>
      <c r="V223">
        <v>342</v>
      </c>
      <c r="W223">
        <v>122</v>
      </c>
      <c r="X223">
        <v>236</v>
      </c>
      <c r="Y223">
        <v>236</v>
      </c>
      <c r="Z223" s="10" t="s">
        <v>187</v>
      </c>
    </row>
    <row r="224" spans="1:26" x14ac:dyDescent="0.4">
      <c r="A224" s="10">
        <v>223</v>
      </c>
      <c r="B224" s="10" t="s">
        <v>76</v>
      </c>
      <c r="C224" s="10" t="s">
        <v>186</v>
      </c>
      <c r="D224" s="10" t="s">
        <v>65</v>
      </c>
      <c r="E224" s="10" t="s">
        <v>67</v>
      </c>
      <c r="F224" s="10" t="s">
        <v>3</v>
      </c>
      <c r="G224" s="10" t="s">
        <v>27</v>
      </c>
      <c r="H224">
        <v>122</v>
      </c>
      <c r="I224">
        <v>122</v>
      </c>
      <c r="J224">
        <v>125</v>
      </c>
      <c r="K224">
        <v>125</v>
      </c>
      <c r="L224">
        <v>101</v>
      </c>
      <c r="M224">
        <v>117</v>
      </c>
      <c r="N224">
        <v>117</v>
      </c>
      <c r="O224">
        <v>121</v>
      </c>
      <c r="P224">
        <v>121</v>
      </c>
      <c r="Q224">
        <v>41</v>
      </c>
      <c r="R224">
        <v>494</v>
      </c>
      <c r="S224">
        <v>476</v>
      </c>
      <c r="T224">
        <v>1112</v>
      </c>
      <c r="U224">
        <v>223</v>
      </c>
      <c r="V224">
        <v>348</v>
      </c>
      <c r="W224">
        <v>125</v>
      </c>
      <c r="X224">
        <v>238</v>
      </c>
      <c r="Y224">
        <v>238</v>
      </c>
      <c r="Z224" s="10" t="s">
        <v>187</v>
      </c>
    </row>
    <row r="225" spans="1:26" x14ac:dyDescent="0.4">
      <c r="A225" s="10">
        <v>224</v>
      </c>
      <c r="B225" s="10" t="s">
        <v>32</v>
      </c>
      <c r="C225" s="10" t="s">
        <v>188</v>
      </c>
      <c r="D225" s="10" t="s">
        <v>58</v>
      </c>
      <c r="E225" s="10" t="s">
        <v>81</v>
      </c>
      <c r="F225" s="10" t="s">
        <v>3</v>
      </c>
      <c r="G225" s="10" t="s">
        <v>27</v>
      </c>
      <c r="H225">
        <v>118</v>
      </c>
      <c r="I225">
        <v>116</v>
      </c>
      <c r="J225">
        <v>114</v>
      </c>
      <c r="K225">
        <v>117</v>
      </c>
      <c r="L225">
        <v>97</v>
      </c>
      <c r="M225">
        <v>117</v>
      </c>
      <c r="N225">
        <v>115</v>
      </c>
      <c r="O225">
        <v>117</v>
      </c>
      <c r="P225">
        <v>117</v>
      </c>
      <c r="Q225">
        <v>36</v>
      </c>
      <c r="R225">
        <v>465</v>
      </c>
      <c r="S225">
        <v>466</v>
      </c>
      <c r="T225">
        <v>1064</v>
      </c>
      <c r="U225">
        <v>215</v>
      </c>
      <c r="V225">
        <v>330</v>
      </c>
      <c r="W225">
        <v>114</v>
      </c>
      <c r="X225">
        <v>232</v>
      </c>
      <c r="Y225">
        <v>234</v>
      </c>
      <c r="Z225" s="10" t="s">
        <v>189</v>
      </c>
    </row>
    <row r="226" spans="1:26" x14ac:dyDescent="0.4">
      <c r="A226" s="10">
        <v>225</v>
      </c>
      <c r="B226" s="10" t="s">
        <v>32</v>
      </c>
      <c r="C226" s="10" t="s">
        <v>190</v>
      </c>
      <c r="D226" s="10" t="s">
        <v>63</v>
      </c>
      <c r="E226" s="10" t="s">
        <v>78</v>
      </c>
      <c r="F226" s="10" t="s">
        <v>3</v>
      </c>
      <c r="G226" s="10" t="s">
        <v>27</v>
      </c>
      <c r="H226">
        <v>112</v>
      </c>
      <c r="I226">
        <v>110</v>
      </c>
      <c r="J226">
        <v>114</v>
      </c>
      <c r="K226">
        <v>121</v>
      </c>
      <c r="L226">
        <v>101</v>
      </c>
      <c r="M226">
        <v>110</v>
      </c>
      <c r="N226">
        <v>122</v>
      </c>
      <c r="O226">
        <v>118</v>
      </c>
      <c r="P226">
        <v>120</v>
      </c>
      <c r="Q226">
        <v>41</v>
      </c>
      <c r="R226">
        <v>457</v>
      </c>
      <c r="S226">
        <v>470</v>
      </c>
      <c r="T226">
        <v>1069</v>
      </c>
      <c r="U226">
        <v>213</v>
      </c>
      <c r="V226">
        <v>332</v>
      </c>
      <c r="W226">
        <v>114</v>
      </c>
      <c r="X226">
        <v>242</v>
      </c>
      <c r="Y226">
        <v>228</v>
      </c>
      <c r="Z226" s="10" t="s">
        <v>191</v>
      </c>
    </row>
    <row r="227" spans="1:26" x14ac:dyDescent="0.4">
      <c r="A227" s="10">
        <v>226</v>
      </c>
      <c r="B227" s="10" t="s">
        <v>32</v>
      </c>
      <c r="C227" s="10" t="s">
        <v>192</v>
      </c>
      <c r="D227" s="10" t="s">
        <v>63</v>
      </c>
      <c r="E227" s="10" t="s">
        <v>59</v>
      </c>
      <c r="F227" s="10" t="s">
        <v>3</v>
      </c>
      <c r="G227" s="10" t="s">
        <v>27</v>
      </c>
      <c r="H227">
        <v>116</v>
      </c>
      <c r="I227">
        <v>116</v>
      </c>
      <c r="J227">
        <v>112</v>
      </c>
      <c r="K227">
        <v>120</v>
      </c>
      <c r="L227">
        <v>97</v>
      </c>
      <c r="M227">
        <v>120</v>
      </c>
      <c r="N227">
        <v>115</v>
      </c>
      <c r="O227">
        <v>116</v>
      </c>
      <c r="P227">
        <v>116</v>
      </c>
      <c r="Q227">
        <v>31</v>
      </c>
      <c r="R227">
        <v>464</v>
      </c>
      <c r="S227">
        <v>467</v>
      </c>
      <c r="T227">
        <v>1059</v>
      </c>
      <c r="U227">
        <v>213</v>
      </c>
      <c r="V227">
        <v>333</v>
      </c>
      <c r="W227">
        <v>112</v>
      </c>
      <c r="X227">
        <v>231</v>
      </c>
      <c r="Y227">
        <v>236</v>
      </c>
      <c r="Z227" s="10" t="s">
        <v>193</v>
      </c>
    </row>
    <row r="228" spans="1:26" x14ac:dyDescent="0.4">
      <c r="A228" s="10">
        <v>227</v>
      </c>
      <c r="B228" s="10" t="s">
        <v>32</v>
      </c>
      <c r="C228" s="10" t="s">
        <v>194</v>
      </c>
      <c r="D228" s="10" t="s">
        <v>63</v>
      </c>
      <c r="E228" s="10" t="s">
        <v>81</v>
      </c>
      <c r="F228" s="10" t="s">
        <v>3</v>
      </c>
      <c r="G228" s="10" t="s">
        <v>27</v>
      </c>
      <c r="H228">
        <v>120</v>
      </c>
      <c r="I228">
        <v>117</v>
      </c>
      <c r="J228">
        <v>114</v>
      </c>
      <c r="K228">
        <v>117</v>
      </c>
      <c r="L228">
        <v>97</v>
      </c>
      <c r="M228">
        <v>115</v>
      </c>
      <c r="N228">
        <v>114</v>
      </c>
      <c r="O228">
        <v>116</v>
      </c>
      <c r="P228">
        <v>116</v>
      </c>
      <c r="Q228">
        <v>31</v>
      </c>
      <c r="R228">
        <v>468</v>
      </c>
      <c r="S228">
        <v>461</v>
      </c>
      <c r="T228">
        <v>1057</v>
      </c>
      <c r="U228">
        <v>217</v>
      </c>
      <c r="V228">
        <v>331</v>
      </c>
      <c r="W228">
        <v>114</v>
      </c>
      <c r="X228">
        <v>230</v>
      </c>
      <c r="Y228">
        <v>231</v>
      </c>
      <c r="Z228" s="10" t="s">
        <v>195</v>
      </c>
    </row>
    <row r="229" spans="1:26" x14ac:dyDescent="0.4">
      <c r="A229" s="10">
        <v>228</v>
      </c>
      <c r="B229" s="10" t="s">
        <v>32</v>
      </c>
      <c r="C229" s="10" t="s">
        <v>196</v>
      </c>
      <c r="D229" s="10" t="s">
        <v>63</v>
      </c>
      <c r="E229" s="10" t="s">
        <v>59</v>
      </c>
      <c r="F229" s="10" t="s">
        <v>3</v>
      </c>
      <c r="G229" s="10" t="s">
        <v>27</v>
      </c>
      <c r="H229">
        <v>115</v>
      </c>
      <c r="I229">
        <v>115</v>
      </c>
      <c r="J229">
        <v>112</v>
      </c>
      <c r="K229">
        <v>120</v>
      </c>
      <c r="L229">
        <v>97</v>
      </c>
      <c r="M229">
        <v>120</v>
      </c>
      <c r="N229">
        <v>115</v>
      </c>
      <c r="O229">
        <v>117</v>
      </c>
      <c r="P229">
        <v>116</v>
      </c>
      <c r="Q229">
        <v>31</v>
      </c>
      <c r="R229">
        <v>462</v>
      </c>
      <c r="S229">
        <v>468</v>
      </c>
      <c r="T229">
        <v>1058</v>
      </c>
      <c r="U229">
        <v>212</v>
      </c>
      <c r="V229">
        <v>332</v>
      </c>
      <c r="W229">
        <v>112</v>
      </c>
      <c r="X229">
        <v>231</v>
      </c>
      <c r="Y229">
        <v>237</v>
      </c>
      <c r="Z229" s="10" t="s">
        <v>197</v>
      </c>
    </row>
    <row r="230" spans="1:26" x14ac:dyDescent="0.4">
      <c r="A230" s="10">
        <v>229</v>
      </c>
      <c r="B230" s="10" t="s">
        <v>32</v>
      </c>
      <c r="C230" s="10" t="s">
        <v>198</v>
      </c>
      <c r="D230" s="10" t="s">
        <v>63</v>
      </c>
      <c r="E230" s="10" t="s">
        <v>81</v>
      </c>
      <c r="F230" s="10" t="s">
        <v>3</v>
      </c>
      <c r="G230" s="10" t="s">
        <v>27</v>
      </c>
      <c r="H230">
        <v>119</v>
      </c>
      <c r="I230">
        <v>118</v>
      </c>
      <c r="J230">
        <v>115</v>
      </c>
      <c r="K230">
        <v>117</v>
      </c>
      <c r="L230">
        <v>97</v>
      </c>
      <c r="M230">
        <v>116</v>
      </c>
      <c r="N230">
        <v>115</v>
      </c>
      <c r="O230">
        <v>116</v>
      </c>
      <c r="P230">
        <v>116</v>
      </c>
      <c r="Q230">
        <v>31</v>
      </c>
      <c r="R230">
        <v>469</v>
      </c>
      <c r="S230">
        <v>463</v>
      </c>
      <c r="T230">
        <v>1060</v>
      </c>
      <c r="U230">
        <v>216</v>
      </c>
      <c r="V230">
        <v>332</v>
      </c>
      <c r="W230">
        <v>115</v>
      </c>
      <c r="X230">
        <v>231</v>
      </c>
      <c r="Y230">
        <v>232</v>
      </c>
      <c r="Z230" s="10" t="s">
        <v>199</v>
      </c>
    </row>
    <row r="231" spans="1:26" x14ac:dyDescent="0.4">
      <c r="A231" s="10">
        <v>230</v>
      </c>
      <c r="B231" s="10" t="s">
        <v>73</v>
      </c>
      <c r="C231" s="10" t="s">
        <v>198</v>
      </c>
      <c r="D231" s="10" t="s">
        <v>65</v>
      </c>
      <c r="E231" s="10" t="s">
        <v>81</v>
      </c>
      <c r="F231" s="10" t="s">
        <v>3</v>
      </c>
      <c r="G231" s="10" t="s">
        <v>27</v>
      </c>
      <c r="H231">
        <v>122</v>
      </c>
      <c r="I231">
        <v>121</v>
      </c>
      <c r="J231">
        <v>116</v>
      </c>
      <c r="K231">
        <v>118</v>
      </c>
      <c r="L231">
        <v>97</v>
      </c>
      <c r="M231">
        <v>117</v>
      </c>
      <c r="N231">
        <v>116</v>
      </c>
      <c r="O231">
        <v>119</v>
      </c>
      <c r="P231">
        <v>117</v>
      </c>
      <c r="Q231">
        <v>31</v>
      </c>
      <c r="R231">
        <v>477</v>
      </c>
      <c r="S231">
        <v>469</v>
      </c>
      <c r="T231">
        <v>1074</v>
      </c>
      <c r="U231">
        <v>219</v>
      </c>
      <c r="V231">
        <v>336</v>
      </c>
      <c r="W231">
        <v>116</v>
      </c>
      <c r="X231">
        <v>233</v>
      </c>
      <c r="Y231">
        <v>236</v>
      </c>
      <c r="Z231" s="10" t="s">
        <v>199</v>
      </c>
    </row>
    <row r="232" spans="1:26" x14ac:dyDescent="0.4">
      <c r="A232" s="10">
        <v>231</v>
      </c>
      <c r="B232" s="10" t="s">
        <v>32</v>
      </c>
      <c r="C232" s="10" t="s">
        <v>200</v>
      </c>
      <c r="D232" s="10" t="s">
        <v>65</v>
      </c>
      <c r="E232" s="10" t="s">
        <v>81</v>
      </c>
      <c r="F232" s="10" t="s">
        <v>7</v>
      </c>
      <c r="G232" s="10" t="s">
        <v>27</v>
      </c>
      <c r="H232">
        <v>122</v>
      </c>
      <c r="I232">
        <v>121</v>
      </c>
      <c r="J232">
        <v>114</v>
      </c>
      <c r="K232">
        <v>122</v>
      </c>
      <c r="L232">
        <v>101</v>
      </c>
      <c r="M232">
        <v>114</v>
      </c>
      <c r="N232">
        <v>115</v>
      </c>
      <c r="O232">
        <v>118</v>
      </c>
      <c r="P232">
        <v>120</v>
      </c>
      <c r="Q232">
        <v>41</v>
      </c>
      <c r="R232">
        <v>479</v>
      </c>
      <c r="S232">
        <v>467</v>
      </c>
      <c r="T232">
        <v>1088</v>
      </c>
      <c r="U232">
        <v>223</v>
      </c>
      <c r="V232">
        <v>344</v>
      </c>
      <c r="W232">
        <v>114</v>
      </c>
      <c r="X232">
        <v>235</v>
      </c>
      <c r="Y232">
        <v>232</v>
      </c>
      <c r="Z232" s="10" t="s">
        <v>201</v>
      </c>
    </row>
    <row r="233" spans="1:26" x14ac:dyDescent="0.4">
      <c r="A233" s="10">
        <v>232</v>
      </c>
      <c r="B233" s="10" t="s">
        <v>61</v>
      </c>
      <c r="C233" s="10" t="s">
        <v>200</v>
      </c>
      <c r="D233" s="10" t="s">
        <v>58</v>
      </c>
      <c r="E233" s="10" t="s">
        <v>81</v>
      </c>
      <c r="F233" s="10" t="s">
        <v>7</v>
      </c>
      <c r="G233" s="10" t="s">
        <v>27</v>
      </c>
      <c r="H233">
        <v>125</v>
      </c>
      <c r="I233">
        <v>124</v>
      </c>
      <c r="J233">
        <v>115</v>
      </c>
      <c r="K233">
        <v>123</v>
      </c>
      <c r="L233">
        <v>101</v>
      </c>
      <c r="M233">
        <v>115</v>
      </c>
      <c r="N233">
        <v>116</v>
      </c>
      <c r="O233">
        <v>121</v>
      </c>
      <c r="P233">
        <v>121</v>
      </c>
      <c r="Q233">
        <v>41</v>
      </c>
      <c r="R233">
        <v>487</v>
      </c>
      <c r="S233">
        <v>473</v>
      </c>
      <c r="T233">
        <v>1102</v>
      </c>
      <c r="U233">
        <v>226</v>
      </c>
      <c r="V233">
        <v>348</v>
      </c>
      <c r="W233">
        <v>115</v>
      </c>
      <c r="X233">
        <v>237</v>
      </c>
      <c r="Y233">
        <v>236</v>
      </c>
      <c r="Z233" s="10" t="s">
        <v>201</v>
      </c>
    </row>
    <row r="234" spans="1:26" x14ac:dyDescent="0.4">
      <c r="A234" s="10">
        <v>233</v>
      </c>
      <c r="B234" s="10" t="s">
        <v>76</v>
      </c>
      <c r="C234" s="10" t="s">
        <v>200</v>
      </c>
      <c r="D234" s="10" t="s">
        <v>63</v>
      </c>
      <c r="E234" s="10" t="s">
        <v>81</v>
      </c>
      <c r="F234" s="10" t="s">
        <v>7</v>
      </c>
      <c r="G234" s="10" t="s">
        <v>27</v>
      </c>
      <c r="H234">
        <v>128</v>
      </c>
      <c r="I234">
        <v>121</v>
      </c>
      <c r="J234">
        <v>115</v>
      </c>
      <c r="K234">
        <v>120</v>
      </c>
      <c r="L234">
        <v>101</v>
      </c>
      <c r="M234">
        <v>116</v>
      </c>
      <c r="N234">
        <v>116</v>
      </c>
      <c r="O234">
        <v>123</v>
      </c>
      <c r="P234">
        <v>121</v>
      </c>
      <c r="Q234">
        <v>41</v>
      </c>
      <c r="R234">
        <v>484</v>
      </c>
      <c r="S234">
        <v>476</v>
      </c>
      <c r="T234">
        <v>1102</v>
      </c>
      <c r="U234">
        <v>229</v>
      </c>
      <c r="V234">
        <v>342</v>
      </c>
      <c r="W234">
        <v>115</v>
      </c>
      <c r="X234">
        <v>237</v>
      </c>
      <c r="Y234">
        <v>239</v>
      </c>
      <c r="Z234" s="10" t="s">
        <v>201</v>
      </c>
    </row>
    <row r="235" spans="1:26" x14ac:dyDescent="0.4">
      <c r="A235" s="10">
        <v>234</v>
      </c>
      <c r="B235" s="10" t="s">
        <v>635</v>
      </c>
      <c r="C235" s="10" t="s">
        <v>200</v>
      </c>
      <c r="D235" s="10" t="s">
        <v>65</v>
      </c>
      <c r="E235" s="10" t="s">
        <v>81</v>
      </c>
      <c r="F235" s="10" t="s">
        <v>7</v>
      </c>
      <c r="G235" s="10" t="s">
        <v>27</v>
      </c>
      <c r="H235">
        <v>126</v>
      </c>
      <c r="I235">
        <v>127</v>
      </c>
      <c r="J235">
        <v>115</v>
      </c>
      <c r="K235">
        <v>125</v>
      </c>
      <c r="L235">
        <v>101</v>
      </c>
      <c r="M235">
        <v>115</v>
      </c>
      <c r="N235">
        <v>118</v>
      </c>
      <c r="O235">
        <v>122</v>
      </c>
      <c r="P235">
        <v>122</v>
      </c>
      <c r="Q235">
        <v>41</v>
      </c>
      <c r="R235">
        <v>493</v>
      </c>
      <c r="S235">
        <v>477</v>
      </c>
      <c r="T235">
        <v>1112</v>
      </c>
      <c r="U235">
        <v>227</v>
      </c>
      <c r="V235">
        <v>353</v>
      </c>
      <c r="W235">
        <v>115</v>
      </c>
      <c r="X235">
        <v>240</v>
      </c>
      <c r="Y235">
        <v>237</v>
      </c>
      <c r="Z235" s="10" t="s">
        <v>201</v>
      </c>
    </row>
    <row r="236" spans="1:26" x14ac:dyDescent="0.4">
      <c r="A236" s="10">
        <v>235</v>
      </c>
      <c r="B236" s="10" t="s">
        <v>748</v>
      </c>
      <c r="C236" s="10" t="s">
        <v>200</v>
      </c>
      <c r="D236" s="10" t="s">
        <v>58</v>
      </c>
      <c r="E236" s="10" t="s">
        <v>81</v>
      </c>
      <c r="F236" s="10" t="s">
        <v>7</v>
      </c>
      <c r="G236" s="10" t="s">
        <v>27</v>
      </c>
      <c r="H236">
        <v>128</v>
      </c>
      <c r="I236">
        <v>125</v>
      </c>
      <c r="J236">
        <v>115</v>
      </c>
      <c r="K236">
        <v>123</v>
      </c>
      <c r="L236">
        <v>101</v>
      </c>
      <c r="M236">
        <v>117</v>
      </c>
      <c r="N236">
        <v>118</v>
      </c>
      <c r="O236">
        <v>123</v>
      </c>
      <c r="P236">
        <v>122</v>
      </c>
      <c r="Q236">
        <v>41</v>
      </c>
      <c r="R236">
        <v>491</v>
      </c>
      <c r="S236">
        <v>480</v>
      </c>
      <c r="T236">
        <v>1113</v>
      </c>
      <c r="U236">
        <v>229</v>
      </c>
      <c r="V236">
        <v>349</v>
      </c>
      <c r="W236">
        <v>115</v>
      </c>
      <c r="X236">
        <v>240</v>
      </c>
      <c r="Y236">
        <v>240</v>
      </c>
      <c r="Z236" s="10" t="s">
        <v>201</v>
      </c>
    </row>
    <row r="237" spans="1:26" x14ac:dyDescent="0.4">
      <c r="A237" s="10">
        <v>236</v>
      </c>
      <c r="B237" s="10" t="s">
        <v>903</v>
      </c>
      <c r="C237" s="10" t="s">
        <v>200</v>
      </c>
      <c r="D237" s="10" t="s">
        <v>63</v>
      </c>
      <c r="E237" s="10" t="s">
        <v>81</v>
      </c>
      <c r="F237" s="10" t="s">
        <v>7</v>
      </c>
      <c r="G237" s="10" t="s">
        <v>27</v>
      </c>
      <c r="H237">
        <v>127</v>
      </c>
      <c r="I237">
        <v>129</v>
      </c>
      <c r="J237">
        <v>116</v>
      </c>
      <c r="K237">
        <v>127</v>
      </c>
      <c r="L237">
        <v>101</v>
      </c>
      <c r="M237">
        <v>116</v>
      </c>
      <c r="N237">
        <v>120</v>
      </c>
      <c r="O237">
        <v>123</v>
      </c>
      <c r="P237">
        <v>123</v>
      </c>
      <c r="Q237">
        <v>41</v>
      </c>
      <c r="R237">
        <v>499</v>
      </c>
      <c r="S237">
        <v>482</v>
      </c>
      <c r="T237">
        <v>1123</v>
      </c>
      <c r="U237">
        <v>228</v>
      </c>
      <c r="V237">
        <v>357</v>
      </c>
      <c r="W237">
        <v>116</v>
      </c>
      <c r="X237">
        <v>243</v>
      </c>
      <c r="Y237">
        <v>239</v>
      </c>
      <c r="Z237" s="10" t="s">
        <v>201</v>
      </c>
    </row>
    <row r="238" spans="1:26" x14ac:dyDescent="0.4">
      <c r="A238" s="10">
        <v>237</v>
      </c>
      <c r="B238" s="10" t="s">
        <v>32</v>
      </c>
      <c r="C238" s="10" t="s">
        <v>202</v>
      </c>
      <c r="D238" s="10" t="s">
        <v>65</v>
      </c>
      <c r="E238" s="10" t="s">
        <v>59</v>
      </c>
      <c r="F238" s="10" t="s">
        <v>7</v>
      </c>
      <c r="G238" s="10" t="s">
        <v>27</v>
      </c>
      <c r="H238">
        <v>117</v>
      </c>
      <c r="I238">
        <v>115</v>
      </c>
      <c r="J238">
        <v>112</v>
      </c>
      <c r="K238">
        <v>120</v>
      </c>
      <c r="L238">
        <v>97</v>
      </c>
      <c r="M238">
        <v>121</v>
      </c>
      <c r="N238">
        <v>115</v>
      </c>
      <c r="O238">
        <v>117</v>
      </c>
      <c r="P238">
        <v>117</v>
      </c>
      <c r="Q238">
        <v>41</v>
      </c>
      <c r="R238">
        <v>464</v>
      </c>
      <c r="S238">
        <v>470</v>
      </c>
      <c r="T238">
        <v>1072</v>
      </c>
      <c r="U238">
        <v>214</v>
      </c>
      <c r="V238">
        <v>332</v>
      </c>
      <c r="W238">
        <v>112</v>
      </c>
      <c r="X238">
        <v>232</v>
      </c>
      <c r="Y238">
        <v>238</v>
      </c>
      <c r="Z238" s="10" t="s">
        <v>203</v>
      </c>
    </row>
    <row r="239" spans="1:26" x14ac:dyDescent="0.4">
      <c r="A239" s="10">
        <v>238</v>
      </c>
      <c r="B239" s="10" t="s">
        <v>769</v>
      </c>
      <c r="C239" s="10" t="s">
        <v>202</v>
      </c>
      <c r="D239" s="10" t="s">
        <v>58</v>
      </c>
      <c r="E239" s="10" t="s">
        <v>59</v>
      </c>
      <c r="F239" s="10" t="s">
        <v>7</v>
      </c>
      <c r="G239" s="10" t="s">
        <v>27</v>
      </c>
      <c r="H239">
        <v>120</v>
      </c>
      <c r="I239">
        <v>116</v>
      </c>
      <c r="J239">
        <v>113</v>
      </c>
      <c r="K239">
        <v>121</v>
      </c>
      <c r="L239">
        <v>97</v>
      </c>
      <c r="M239">
        <v>124</v>
      </c>
      <c r="N239">
        <v>116</v>
      </c>
      <c r="O239">
        <v>120</v>
      </c>
      <c r="P239">
        <v>118</v>
      </c>
      <c r="Q239">
        <v>41</v>
      </c>
      <c r="R239">
        <v>470</v>
      </c>
      <c r="S239">
        <v>478</v>
      </c>
      <c r="T239">
        <v>1086</v>
      </c>
      <c r="U239">
        <v>217</v>
      </c>
      <c r="V239">
        <v>334</v>
      </c>
      <c r="W239">
        <v>113</v>
      </c>
      <c r="X239">
        <v>234</v>
      </c>
      <c r="Y239">
        <v>244</v>
      </c>
      <c r="Z239" s="10" t="s">
        <v>203</v>
      </c>
    </row>
    <row r="240" spans="1:26" x14ac:dyDescent="0.4">
      <c r="A240" s="10">
        <v>239</v>
      </c>
      <c r="B240" s="10" t="s">
        <v>32</v>
      </c>
      <c r="C240" s="10" t="s">
        <v>204</v>
      </c>
      <c r="D240" s="10" t="s">
        <v>63</v>
      </c>
      <c r="E240" s="10" t="s">
        <v>67</v>
      </c>
      <c r="F240" s="10" t="s">
        <v>7</v>
      </c>
      <c r="G240" s="10" t="s">
        <v>27</v>
      </c>
      <c r="H240">
        <v>115</v>
      </c>
      <c r="I240">
        <v>114</v>
      </c>
      <c r="J240">
        <v>120</v>
      </c>
      <c r="K240">
        <v>120</v>
      </c>
      <c r="L240">
        <v>97</v>
      </c>
      <c r="M240">
        <v>117</v>
      </c>
      <c r="N240">
        <v>114</v>
      </c>
      <c r="O240">
        <v>116</v>
      </c>
      <c r="P240">
        <v>117</v>
      </c>
      <c r="Q240">
        <v>41</v>
      </c>
      <c r="R240">
        <v>469</v>
      </c>
      <c r="S240">
        <v>464</v>
      </c>
      <c r="T240">
        <v>1071</v>
      </c>
      <c r="U240">
        <v>212</v>
      </c>
      <c r="V240">
        <v>331</v>
      </c>
      <c r="W240">
        <v>120</v>
      </c>
      <c r="X240">
        <v>231</v>
      </c>
      <c r="Y240">
        <v>233</v>
      </c>
      <c r="Z240" s="10" t="s">
        <v>205</v>
      </c>
    </row>
    <row r="241" spans="1:26" x14ac:dyDescent="0.4">
      <c r="A241" s="10">
        <v>240</v>
      </c>
      <c r="B241" s="10" t="s">
        <v>61</v>
      </c>
      <c r="C241" s="10" t="s">
        <v>204</v>
      </c>
      <c r="D241" s="10" t="s">
        <v>65</v>
      </c>
      <c r="E241" s="10" t="s">
        <v>67</v>
      </c>
      <c r="F241" s="10" t="s">
        <v>7</v>
      </c>
      <c r="G241" s="10" t="s">
        <v>27</v>
      </c>
      <c r="H241">
        <v>116</v>
      </c>
      <c r="I241">
        <v>117</v>
      </c>
      <c r="J241">
        <v>123</v>
      </c>
      <c r="K241">
        <v>123</v>
      </c>
      <c r="L241">
        <v>97</v>
      </c>
      <c r="M241">
        <v>118</v>
      </c>
      <c r="N241">
        <v>115</v>
      </c>
      <c r="O241">
        <v>117</v>
      </c>
      <c r="P241">
        <v>118</v>
      </c>
      <c r="Q241">
        <v>41</v>
      </c>
      <c r="R241">
        <v>479</v>
      </c>
      <c r="S241">
        <v>468</v>
      </c>
      <c r="T241">
        <v>1085</v>
      </c>
      <c r="U241">
        <v>213</v>
      </c>
      <c r="V241">
        <v>337</v>
      </c>
      <c r="W241">
        <v>123</v>
      </c>
      <c r="X241">
        <v>233</v>
      </c>
      <c r="Y241">
        <v>235</v>
      </c>
      <c r="Z241" s="10" t="s">
        <v>205</v>
      </c>
    </row>
    <row r="242" spans="1:26" x14ac:dyDescent="0.4">
      <c r="A242" s="10">
        <v>241</v>
      </c>
      <c r="B242" s="10" t="s">
        <v>32</v>
      </c>
      <c r="C242" s="10" t="s">
        <v>206</v>
      </c>
      <c r="D242" s="10" t="s">
        <v>63</v>
      </c>
      <c r="E242" s="10" t="s">
        <v>81</v>
      </c>
      <c r="F242" s="10" t="s">
        <v>7</v>
      </c>
      <c r="G242" s="10" t="s">
        <v>27</v>
      </c>
      <c r="H242">
        <v>120</v>
      </c>
      <c r="I242">
        <v>119</v>
      </c>
      <c r="J242">
        <v>113</v>
      </c>
      <c r="K242">
        <v>118</v>
      </c>
      <c r="L242">
        <v>97</v>
      </c>
      <c r="M242">
        <v>115</v>
      </c>
      <c r="N242">
        <v>115</v>
      </c>
      <c r="O242">
        <v>116</v>
      </c>
      <c r="P242">
        <v>116</v>
      </c>
      <c r="Q242">
        <v>41</v>
      </c>
      <c r="R242">
        <v>470</v>
      </c>
      <c r="S242">
        <v>462</v>
      </c>
      <c r="T242">
        <v>1070</v>
      </c>
      <c r="U242">
        <v>217</v>
      </c>
      <c r="V242">
        <v>334</v>
      </c>
      <c r="W242">
        <v>113</v>
      </c>
      <c r="X242">
        <v>231</v>
      </c>
      <c r="Y242">
        <v>231</v>
      </c>
      <c r="Z242" s="10" t="s">
        <v>207</v>
      </c>
    </row>
    <row r="243" spans="1:26" x14ac:dyDescent="0.4">
      <c r="A243" s="10">
        <v>242</v>
      </c>
      <c r="B243" s="10" t="s">
        <v>32</v>
      </c>
      <c r="C243" s="10" t="s">
        <v>208</v>
      </c>
      <c r="D243" s="10" t="s">
        <v>65</v>
      </c>
      <c r="E243" s="10" t="s">
        <v>59</v>
      </c>
      <c r="F243" s="10" t="s">
        <v>7</v>
      </c>
      <c r="G243" s="10" t="s">
        <v>27</v>
      </c>
      <c r="H243">
        <v>116</v>
      </c>
      <c r="I243">
        <v>115</v>
      </c>
      <c r="J243">
        <v>113</v>
      </c>
      <c r="K243">
        <v>117</v>
      </c>
      <c r="L243">
        <v>97</v>
      </c>
      <c r="M243">
        <v>121</v>
      </c>
      <c r="N243">
        <v>115</v>
      </c>
      <c r="O243">
        <v>116</v>
      </c>
      <c r="P243">
        <v>117</v>
      </c>
      <c r="Q243">
        <v>41</v>
      </c>
      <c r="R243">
        <v>461</v>
      </c>
      <c r="S243">
        <v>469</v>
      </c>
      <c r="T243">
        <v>1068</v>
      </c>
      <c r="U243">
        <v>213</v>
      </c>
      <c r="V243">
        <v>329</v>
      </c>
      <c r="W243">
        <v>113</v>
      </c>
      <c r="X243">
        <v>232</v>
      </c>
      <c r="Y243">
        <v>237</v>
      </c>
      <c r="Z243" s="10" t="s">
        <v>209</v>
      </c>
    </row>
    <row r="244" spans="1:26" x14ac:dyDescent="0.4">
      <c r="A244" s="10">
        <v>243</v>
      </c>
      <c r="B244" s="10" t="s">
        <v>32</v>
      </c>
      <c r="C244" s="10" t="s">
        <v>210</v>
      </c>
      <c r="D244" s="10" t="s">
        <v>65</v>
      </c>
      <c r="E244" s="10" t="s">
        <v>81</v>
      </c>
      <c r="F244" s="10" t="s">
        <v>7</v>
      </c>
      <c r="G244" s="10" t="s">
        <v>27</v>
      </c>
      <c r="H244">
        <v>118</v>
      </c>
      <c r="I244">
        <v>118</v>
      </c>
      <c r="J244">
        <v>113</v>
      </c>
      <c r="K244">
        <v>120</v>
      </c>
      <c r="L244">
        <v>97</v>
      </c>
      <c r="M244">
        <v>115</v>
      </c>
      <c r="N244">
        <v>115</v>
      </c>
      <c r="O244">
        <v>120</v>
      </c>
      <c r="P244">
        <v>120</v>
      </c>
      <c r="Q244">
        <v>41</v>
      </c>
      <c r="R244">
        <v>469</v>
      </c>
      <c r="S244">
        <v>470</v>
      </c>
      <c r="T244">
        <v>1077</v>
      </c>
      <c r="U244">
        <v>215</v>
      </c>
      <c r="V244">
        <v>335</v>
      </c>
      <c r="W244">
        <v>113</v>
      </c>
      <c r="X244">
        <v>235</v>
      </c>
      <c r="Y244">
        <v>235</v>
      </c>
      <c r="Z244" s="10" t="s">
        <v>211</v>
      </c>
    </row>
    <row r="245" spans="1:26" x14ac:dyDescent="0.4">
      <c r="A245" s="10">
        <v>244</v>
      </c>
      <c r="B245" s="10" t="s">
        <v>32</v>
      </c>
      <c r="C245" s="10" t="s">
        <v>212</v>
      </c>
      <c r="D245" s="10" t="s">
        <v>65</v>
      </c>
      <c r="E245" s="10" t="s">
        <v>78</v>
      </c>
      <c r="F245" s="10" t="s">
        <v>7</v>
      </c>
      <c r="G245" s="10" t="s">
        <v>27</v>
      </c>
      <c r="H245">
        <v>112</v>
      </c>
      <c r="I245">
        <v>110</v>
      </c>
      <c r="J245">
        <v>114</v>
      </c>
      <c r="K245">
        <v>120</v>
      </c>
      <c r="L245">
        <v>101</v>
      </c>
      <c r="M245">
        <v>110</v>
      </c>
      <c r="N245">
        <v>120</v>
      </c>
      <c r="O245">
        <v>119</v>
      </c>
      <c r="P245">
        <v>120</v>
      </c>
      <c r="Q245">
        <v>41</v>
      </c>
      <c r="R245">
        <v>456</v>
      </c>
      <c r="S245">
        <v>469</v>
      </c>
      <c r="T245">
        <v>1067</v>
      </c>
      <c r="U245">
        <v>213</v>
      </c>
      <c r="V245">
        <v>331</v>
      </c>
      <c r="W245">
        <v>114</v>
      </c>
      <c r="X245">
        <v>240</v>
      </c>
      <c r="Y245">
        <v>229</v>
      </c>
      <c r="Z245" s="10" t="s">
        <v>213</v>
      </c>
    </row>
    <row r="246" spans="1:26" x14ac:dyDescent="0.4">
      <c r="A246" s="10">
        <v>245</v>
      </c>
      <c r="B246" s="10" t="s">
        <v>32</v>
      </c>
      <c r="C246" s="10" t="s">
        <v>214</v>
      </c>
      <c r="D246" s="10" t="s">
        <v>58</v>
      </c>
      <c r="E246" s="10" t="s">
        <v>81</v>
      </c>
      <c r="F246" s="10" t="s">
        <v>5</v>
      </c>
      <c r="G246" s="10" t="s">
        <v>27</v>
      </c>
      <c r="H246">
        <v>123</v>
      </c>
      <c r="I246">
        <v>121</v>
      </c>
      <c r="J246">
        <v>113</v>
      </c>
      <c r="K246">
        <v>121</v>
      </c>
      <c r="L246">
        <v>97</v>
      </c>
      <c r="M246">
        <v>115</v>
      </c>
      <c r="N246">
        <v>115</v>
      </c>
      <c r="O246">
        <v>120</v>
      </c>
      <c r="P246">
        <v>121</v>
      </c>
      <c r="Q246">
        <v>41</v>
      </c>
      <c r="R246">
        <v>478</v>
      </c>
      <c r="S246">
        <v>471</v>
      </c>
      <c r="T246">
        <v>1087</v>
      </c>
      <c r="U246">
        <v>220</v>
      </c>
      <c r="V246">
        <v>339</v>
      </c>
      <c r="W246">
        <v>113</v>
      </c>
      <c r="X246">
        <v>236</v>
      </c>
      <c r="Y246">
        <v>235</v>
      </c>
      <c r="Z246" s="10" t="s">
        <v>215</v>
      </c>
    </row>
    <row r="247" spans="1:26" x14ac:dyDescent="0.4">
      <c r="A247" s="10">
        <v>246</v>
      </c>
      <c r="B247" s="10" t="s">
        <v>635</v>
      </c>
      <c r="C247" s="10" t="s">
        <v>214</v>
      </c>
      <c r="D247" s="10" t="s">
        <v>63</v>
      </c>
      <c r="E247" s="10" t="s">
        <v>81</v>
      </c>
      <c r="F247" s="10" t="s">
        <v>5</v>
      </c>
      <c r="G247" s="10" t="s">
        <v>27</v>
      </c>
      <c r="H247">
        <v>126</v>
      </c>
      <c r="I247">
        <v>124</v>
      </c>
      <c r="J247">
        <v>114</v>
      </c>
      <c r="K247">
        <v>122</v>
      </c>
      <c r="L247">
        <v>97</v>
      </c>
      <c r="M247">
        <v>116</v>
      </c>
      <c r="N247">
        <v>116</v>
      </c>
      <c r="O247">
        <v>123</v>
      </c>
      <c r="P247">
        <v>122</v>
      </c>
      <c r="Q247">
        <v>41</v>
      </c>
      <c r="R247">
        <v>486</v>
      </c>
      <c r="S247">
        <v>477</v>
      </c>
      <c r="T247">
        <v>1101</v>
      </c>
      <c r="U247">
        <v>223</v>
      </c>
      <c r="V247">
        <v>343</v>
      </c>
      <c r="W247">
        <v>114</v>
      </c>
      <c r="X247">
        <v>238</v>
      </c>
      <c r="Y247">
        <v>239</v>
      </c>
      <c r="Z247" s="10" t="s">
        <v>215</v>
      </c>
    </row>
    <row r="248" spans="1:26" x14ac:dyDescent="0.4">
      <c r="A248" s="10">
        <v>247</v>
      </c>
      <c r="B248" s="10" t="s">
        <v>32</v>
      </c>
      <c r="C248" s="10" t="s">
        <v>216</v>
      </c>
      <c r="D248" s="10" t="s">
        <v>65</v>
      </c>
      <c r="E248" s="10" t="s">
        <v>81</v>
      </c>
      <c r="F248" s="10" t="s">
        <v>5</v>
      </c>
      <c r="G248" s="10" t="s">
        <v>27</v>
      </c>
      <c r="H248">
        <v>119</v>
      </c>
      <c r="I248">
        <v>116</v>
      </c>
      <c r="J248">
        <v>113</v>
      </c>
      <c r="K248">
        <v>117</v>
      </c>
      <c r="L248">
        <v>97</v>
      </c>
      <c r="M248">
        <v>113</v>
      </c>
      <c r="N248">
        <v>115</v>
      </c>
      <c r="O248">
        <v>115</v>
      </c>
      <c r="P248">
        <v>116</v>
      </c>
      <c r="Q248">
        <v>31</v>
      </c>
      <c r="R248">
        <v>465</v>
      </c>
      <c r="S248">
        <v>459</v>
      </c>
      <c r="T248">
        <v>1052</v>
      </c>
      <c r="U248">
        <v>216</v>
      </c>
      <c r="V248">
        <v>330</v>
      </c>
      <c r="W248">
        <v>113</v>
      </c>
      <c r="X248">
        <v>231</v>
      </c>
      <c r="Y248">
        <v>228</v>
      </c>
      <c r="Z248" s="10" t="s">
        <v>217</v>
      </c>
    </row>
    <row r="249" spans="1:26" x14ac:dyDescent="0.4">
      <c r="A249" s="10">
        <v>248</v>
      </c>
      <c r="B249" s="10" t="s">
        <v>32</v>
      </c>
      <c r="C249" s="10" t="s">
        <v>218</v>
      </c>
      <c r="D249" s="10" t="s">
        <v>58</v>
      </c>
      <c r="E249" s="10" t="s">
        <v>67</v>
      </c>
      <c r="F249" s="10" t="s">
        <v>5</v>
      </c>
      <c r="G249" s="10" t="s">
        <v>27</v>
      </c>
      <c r="H249">
        <v>119</v>
      </c>
      <c r="I249">
        <v>121</v>
      </c>
      <c r="J249">
        <v>122</v>
      </c>
      <c r="K249">
        <v>121</v>
      </c>
      <c r="L249">
        <v>97</v>
      </c>
      <c r="M249">
        <v>119</v>
      </c>
      <c r="N249">
        <v>119</v>
      </c>
      <c r="O249">
        <v>118</v>
      </c>
      <c r="P249">
        <v>118</v>
      </c>
      <c r="Q249">
        <v>41</v>
      </c>
      <c r="R249">
        <v>483</v>
      </c>
      <c r="S249">
        <v>474</v>
      </c>
      <c r="T249">
        <v>1095</v>
      </c>
      <c r="U249">
        <v>216</v>
      </c>
      <c r="V249">
        <v>339</v>
      </c>
      <c r="W249">
        <v>122</v>
      </c>
      <c r="X249">
        <v>237</v>
      </c>
      <c r="Y249">
        <v>237</v>
      </c>
      <c r="Z249" s="10" t="s">
        <v>219</v>
      </c>
    </row>
    <row r="250" spans="1:26" x14ac:dyDescent="0.4">
      <c r="A250" s="10">
        <v>249</v>
      </c>
      <c r="B250" s="10" t="s">
        <v>32</v>
      </c>
      <c r="C250" s="10" t="s">
        <v>220</v>
      </c>
      <c r="D250" s="10" t="s">
        <v>58</v>
      </c>
      <c r="E250" s="10" t="s">
        <v>59</v>
      </c>
      <c r="F250" s="10" t="s">
        <v>5</v>
      </c>
      <c r="G250" s="10" t="s">
        <v>27</v>
      </c>
      <c r="H250">
        <v>114</v>
      </c>
      <c r="I250">
        <v>114</v>
      </c>
      <c r="J250">
        <v>113</v>
      </c>
      <c r="K250">
        <v>117</v>
      </c>
      <c r="L250">
        <v>97</v>
      </c>
      <c r="M250">
        <v>121</v>
      </c>
      <c r="N250">
        <v>115</v>
      </c>
      <c r="O250">
        <v>116</v>
      </c>
      <c r="P250">
        <v>117</v>
      </c>
      <c r="Q250">
        <v>31</v>
      </c>
      <c r="R250">
        <v>458</v>
      </c>
      <c r="S250">
        <v>469</v>
      </c>
      <c r="T250">
        <v>1055</v>
      </c>
      <c r="U250">
        <v>211</v>
      </c>
      <c r="V250">
        <v>328</v>
      </c>
      <c r="W250">
        <v>113</v>
      </c>
      <c r="X250">
        <v>232</v>
      </c>
      <c r="Y250">
        <v>237</v>
      </c>
      <c r="Z250" s="10" t="s">
        <v>221</v>
      </c>
    </row>
    <row r="251" spans="1:26" x14ac:dyDescent="0.4">
      <c r="A251" s="10">
        <v>250</v>
      </c>
      <c r="B251" s="10" t="s">
        <v>32</v>
      </c>
      <c r="C251" s="10" t="s">
        <v>222</v>
      </c>
      <c r="D251" s="10" t="s">
        <v>58</v>
      </c>
      <c r="E251" s="10" t="s">
        <v>78</v>
      </c>
      <c r="F251" s="10" t="s">
        <v>5</v>
      </c>
      <c r="G251" s="10" t="s">
        <v>27</v>
      </c>
      <c r="H251">
        <v>112</v>
      </c>
      <c r="I251">
        <v>110</v>
      </c>
      <c r="J251">
        <v>114</v>
      </c>
      <c r="K251">
        <v>120</v>
      </c>
      <c r="L251">
        <v>101</v>
      </c>
      <c r="M251">
        <v>110</v>
      </c>
      <c r="N251">
        <v>121</v>
      </c>
      <c r="O251">
        <v>119</v>
      </c>
      <c r="P251">
        <v>120</v>
      </c>
      <c r="Q251">
        <v>41</v>
      </c>
      <c r="R251">
        <v>456</v>
      </c>
      <c r="S251">
        <v>470</v>
      </c>
      <c r="T251">
        <v>1068</v>
      </c>
      <c r="U251">
        <v>213</v>
      </c>
      <c r="V251">
        <v>331</v>
      </c>
      <c r="W251">
        <v>114</v>
      </c>
      <c r="X251">
        <v>241</v>
      </c>
      <c r="Y251">
        <v>229</v>
      </c>
      <c r="Z251" s="10" t="s">
        <v>223</v>
      </c>
    </row>
    <row r="252" spans="1:26" x14ac:dyDescent="0.4">
      <c r="A252" s="10">
        <v>251</v>
      </c>
      <c r="B252" s="10" t="s">
        <v>32</v>
      </c>
      <c r="C252" s="10" t="s">
        <v>224</v>
      </c>
      <c r="D252" s="10" t="s">
        <v>58</v>
      </c>
      <c r="E252" s="10" t="s">
        <v>59</v>
      </c>
      <c r="F252" s="10" t="s">
        <v>5</v>
      </c>
      <c r="G252" s="10" t="s">
        <v>27</v>
      </c>
      <c r="H252">
        <v>114</v>
      </c>
      <c r="I252">
        <v>115</v>
      </c>
      <c r="J252">
        <v>113</v>
      </c>
      <c r="K252">
        <v>118</v>
      </c>
      <c r="L252">
        <v>97</v>
      </c>
      <c r="M252">
        <v>121</v>
      </c>
      <c r="N252">
        <v>117</v>
      </c>
      <c r="O252">
        <v>116</v>
      </c>
      <c r="P252">
        <v>117</v>
      </c>
      <c r="Q252">
        <v>31</v>
      </c>
      <c r="R252">
        <v>460</v>
      </c>
      <c r="S252">
        <v>471</v>
      </c>
      <c r="T252">
        <v>1059</v>
      </c>
      <c r="U252">
        <v>211</v>
      </c>
      <c r="V252">
        <v>330</v>
      </c>
      <c r="W252">
        <v>113</v>
      </c>
      <c r="X252">
        <v>234</v>
      </c>
      <c r="Y252">
        <v>237</v>
      </c>
      <c r="Z252" s="10" t="s">
        <v>225</v>
      </c>
    </row>
    <row r="253" spans="1:26" x14ac:dyDescent="0.4">
      <c r="A253" s="10">
        <v>252</v>
      </c>
      <c r="B253" s="10" t="s">
        <v>748</v>
      </c>
      <c r="C253" s="10" t="s">
        <v>224</v>
      </c>
      <c r="D253" s="10" t="s">
        <v>63</v>
      </c>
      <c r="E253" s="10" t="s">
        <v>59</v>
      </c>
      <c r="F253" s="10" t="s">
        <v>5</v>
      </c>
      <c r="G253" s="10" t="s">
        <v>27</v>
      </c>
      <c r="H253">
        <v>117</v>
      </c>
      <c r="I253">
        <v>116</v>
      </c>
      <c r="J253">
        <v>114</v>
      </c>
      <c r="K253">
        <v>119</v>
      </c>
      <c r="L253">
        <v>97</v>
      </c>
      <c r="M253">
        <v>124</v>
      </c>
      <c r="N253">
        <v>118</v>
      </c>
      <c r="O253">
        <v>119</v>
      </c>
      <c r="P253">
        <v>118</v>
      </c>
      <c r="Q253">
        <v>31</v>
      </c>
      <c r="R253">
        <v>466</v>
      </c>
      <c r="S253">
        <v>479</v>
      </c>
      <c r="T253">
        <v>1073</v>
      </c>
      <c r="U253">
        <v>214</v>
      </c>
      <c r="V253">
        <v>332</v>
      </c>
      <c r="W253">
        <v>114</v>
      </c>
      <c r="X253">
        <v>236</v>
      </c>
      <c r="Y253">
        <v>243</v>
      </c>
      <c r="Z253" s="10" t="s">
        <v>225</v>
      </c>
    </row>
    <row r="254" spans="1:26" x14ac:dyDescent="0.4">
      <c r="A254" s="10">
        <v>253</v>
      </c>
      <c r="B254" s="10" t="s">
        <v>32</v>
      </c>
      <c r="C254" s="10" t="s">
        <v>226</v>
      </c>
      <c r="D254" s="10" t="s">
        <v>58</v>
      </c>
      <c r="E254" s="10" t="s">
        <v>81</v>
      </c>
      <c r="F254" s="10" t="s">
        <v>5</v>
      </c>
      <c r="G254" s="10" t="s">
        <v>27</v>
      </c>
      <c r="H254">
        <v>121</v>
      </c>
      <c r="I254">
        <v>118</v>
      </c>
      <c r="J254">
        <v>114</v>
      </c>
      <c r="K254">
        <v>120</v>
      </c>
      <c r="L254">
        <v>101</v>
      </c>
      <c r="M254">
        <v>116</v>
      </c>
      <c r="N254">
        <v>116</v>
      </c>
      <c r="O254">
        <v>118</v>
      </c>
      <c r="P254">
        <v>118</v>
      </c>
      <c r="Q254">
        <v>36</v>
      </c>
      <c r="R254">
        <v>473</v>
      </c>
      <c r="S254">
        <v>468</v>
      </c>
      <c r="T254">
        <v>1078</v>
      </c>
      <c r="U254">
        <v>222</v>
      </c>
      <c r="V254">
        <v>339</v>
      </c>
      <c r="W254">
        <v>114</v>
      </c>
      <c r="X254">
        <v>234</v>
      </c>
      <c r="Y254">
        <v>234</v>
      </c>
      <c r="Z254" s="10" t="s">
        <v>227</v>
      </c>
    </row>
    <row r="255" spans="1:26" x14ac:dyDescent="0.4">
      <c r="A255" s="10">
        <v>254</v>
      </c>
      <c r="B255" s="10" t="s">
        <v>776</v>
      </c>
      <c r="C255" s="10" t="s">
        <v>226</v>
      </c>
      <c r="D255" s="10" t="s">
        <v>63</v>
      </c>
      <c r="E255" s="10" t="s">
        <v>81</v>
      </c>
      <c r="F255" s="10" t="s">
        <v>5</v>
      </c>
      <c r="G255" s="10" t="s">
        <v>27</v>
      </c>
      <c r="H255">
        <v>125</v>
      </c>
      <c r="I255">
        <v>121</v>
      </c>
      <c r="J255">
        <v>115</v>
      </c>
      <c r="K255">
        <v>121</v>
      </c>
      <c r="L255">
        <v>101</v>
      </c>
      <c r="M255">
        <v>118</v>
      </c>
      <c r="N255">
        <v>118</v>
      </c>
      <c r="O255">
        <v>121</v>
      </c>
      <c r="P255">
        <v>120</v>
      </c>
      <c r="Q255">
        <v>36</v>
      </c>
      <c r="R255">
        <v>482</v>
      </c>
      <c r="S255">
        <v>477</v>
      </c>
      <c r="T255">
        <v>1096</v>
      </c>
      <c r="U255">
        <v>226</v>
      </c>
      <c r="V255">
        <v>343</v>
      </c>
      <c r="W255">
        <v>115</v>
      </c>
      <c r="X255">
        <v>238</v>
      </c>
      <c r="Y255">
        <v>239</v>
      </c>
      <c r="Z255" s="10" t="s">
        <v>227</v>
      </c>
    </row>
    <row r="256" spans="1:26" x14ac:dyDescent="0.4">
      <c r="A256" s="10">
        <v>255</v>
      </c>
      <c r="B256" s="10" t="s">
        <v>32</v>
      </c>
      <c r="C256" s="10" t="s">
        <v>228</v>
      </c>
      <c r="D256" s="10" t="s">
        <v>63</v>
      </c>
      <c r="E256" s="10" t="s">
        <v>81</v>
      </c>
      <c r="F256" s="10" t="s">
        <v>13</v>
      </c>
      <c r="G256" s="10" t="s">
        <v>27</v>
      </c>
      <c r="H256">
        <v>130</v>
      </c>
      <c r="I256">
        <v>130</v>
      </c>
      <c r="J256">
        <v>114</v>
      </c>
      <c r="K256">
        <v>123</v>
      </c>
      <c r="L256">
        <v>101</v>
      </c>
      <c r="M256">
        <v>116</v>
      </c>
      <c r="N256">
        <v>116</v>
      </c>
      <c r="O256">
        <v>120</v>
      </c>
      <c r="P256">
        <v>120</v>
      </c>
      <c r="Q256">
        <v>41</v>
      </c>
      <c r="R256">
        <v>497</v>
      </c>
      <c r="S256">
        <v>472</v>
      </c>
      <c r="T256">
        <v>1111</v>
      </c>
      <c r="U256">
        <v>231</v>
      </c>
      <c r="V256">
        <v>354</v>
      </c>
      <c r="W256">
        <v>114</v>
      </c>
      <c r="X256">
        <v>236</v>
      </c>
      <c r="Y256">
        <v>236</v>
      </c>
      <c r="Z256" s="10" t="s">
        <v>229</v>
      </c>
    </row>
    <row r="257" spans="1:26" x14ac:dyDescent="0.4">
      <c r="A257" s="10">
        <v>256</v>
      </c>
      <c r="B257" s="10" t="s">
        <v>72</v>
      </c>
      <c r="C257" s="10" t="s">
        <v>228</v>
      </c>
      <c r="D257" s="10" t="s">
        <v>65</v>
      </c>
      <c r="E257" s="10" t="s">
        <v>81</v>
      </c>
      <c r="F257" s="10" t="s">
        <v>13</v>
      </c>
      <c r="G257" s="10" t="s">
        <v>27</v>
      </c>
      <c r="H257">
        <v>133</v>
      </c>
      <c r="I257">
        <v>133</v>
      </c>
      <c r="J257">
        <v>115</v>
      </c>
      <c r="K257">
        <v>124</v>
      </c>
      <c r="L257">
        <v>101</v>
      </c>
      <c r="M257">
        <v>117</v>
      </c>
      <c r="N257">
        <v>117</v>
      </c>
      <c r="O257">
        <v>123</v>
      </c>
      <c r="P257">
        <v>121</v>
      </c>
      <c r="Q257">
        <v>41</v>
      </c>
      <c r="R257">
        <v>505</v>
      </c>
      <c r="S257">
        <v>478</v>
      </c>
      <c r="T257">
        <v>1125</v>
      </c>
      <c r="U257">
        <v>234</v>
      </c>
      <c r="V257">
        <v>358</v>
      </c>
      <c r="W257">
        <v>115</v>
      </c>
      <c r="X257">
        <v>238</v>
      </c>
      <c r="Y257">
        <v>240</v>
      </c>
      <c r="Z257" s="10" t="s">
        <v>229</v>
      </c>
    </row>
    <row r="258" spans="1:26" x14ac:dyDescent="0.4">
      <c r="A258" s="10">
        <v>257</v>
      </c>
      <c r="B258" s="10" t="s">
        <v>83</v>
      </c>
      <c r="C258" s="10" t="s">
        <v>228</v>
      </c>
      <c r="D258" s="10" t="s">
        <v>58</v>
      </c>
      <c r="E258" s="10" t="s">
        <v>81</v>
      </c>
      <c r="F258" s="10" t="s">
        <v>13</v>
      </c>
      <c r="G258" s="10" t="s">
        <v>27</v>
      </c>
      <c r="H258">
        <v>136</v>
      </c>
      <c r="I258">
        <v>135</v>
      </c>
      <c r="J258">
        <v>115</v>
      </c>
      <c r="K258">
        <v>125</v>
      </c>
      <c r="L258">
        <v>101</v>
      </c>
      <c r="M258">
        <v>115</v>
      </c>
      <c r="N258">
        <v>115</v>
      </c>
      <c r="O258">
        <v>122</v>
      </c>
      <c r="P258">
        <v>120</v>
      </c>
      <c r="Q258">
        <v>41</v>
      </c>
      <c r="R258">
        <v>511</v>
      </c>
      <c r="S258">
        <v>472</v>
      </c>
      <c r="T258">
        <v>1125</v>
      </c>
      <c r="U258">
        <v>237</v>
      </c>
      <c r="V258">
        <v>361</v>
      </c>
      <c r="W258">
        <v>115</v>
      </c>
      <c r="X258">
        <v>235</v>
      </c>
      <c r="Y258">
        <v>237</v>
      </c>
      <c r="Z258" s="10" t="s">
        <v>229</v>
      </c>
    </row>
    <row r="259" spans="1:26" x14ac:dyDescent="0.4">
      <c r="A259" s="10">
        <v>258</v>
      </c>
      <c r="B259" s="10" t="s">
        <v>61</v>
      </c>
      <c r="C259" s="10" t="s">
        <v>228</v>
      </c>
      <c r="D259" s="10" t="s">
        <v>63</v>
      </c>
      <c r="E259" s="10" t="s">
        <v>81</v>
      </c>
      <c r="F259" s="10" t="s">
        <v>13</v>
      </c>
      <c r="G259" s="10" t="s">
        <v>27</v>
      </c>
      <c r="H259">
        <v>135</v>
      </c>
      <c r="I259">
        <v>136</v>
      </c>
      <c r="J259">
        <v>115</v>
      </c>
      <c r="K259">
        <v>126</v>
      </c>
      <c r="L259">
        <v>101</v>
      </c>
      <c r="M259">
        <v>117</v>
      </c>
      <c r="N259">
        <v>118</v>
      </c>
      <c r="O259">
        <v>124</v>
      </c>
      <c r="P259">
        <v>122</v>
      </c>
      <c r="Q259">
        <v>41</v>
      </c>
      <c r="R259">
        <v>512</v>
      </c>
      <c r="S259">
        <v>481</v>
      </c>
      <c r="T259">
        <v>1135</v>
      </c>
      <c r="U259">
        <v>236</v>
      </c>
      <c r="V259">
        <v>363</v>
      </c>
      <c r="W259">
        <v>115</v>
      </c>
      <c r="X259">
        <v>240</v>
      </c>
      <c r="Y259">
        <v>241</v>
      </c>
      <c r="Z259" s="10" t="s">
        <v>229</v>
      </c>
    </row>
    <row r="260" spans="1:26" x14ac:dyDescent="0.4">
      <c r="A260" s="10">
        <v>259</v>
      </c>
      <c r="B260" s="10" t="s">
        <v>674</v>
      </c>
      <c r="C260" s="10" t="s">
        <v>228</v>
      </c>
      <c r="D260" s="10" t="s">
        <v>65</v>
      </c>
      <c r="E260" s="10" t="s">
        <v>81</v>
      </c>
      <c r="F260" s="10" t="s">
        <v>13</v>
      </c>
      <c r="G260" s="10" t="s">
        <v>27</v>
      </c>
      <c r="H260">
        <v>136</v>
      </c>
      <c r="I260">
        <v>134</v>
      </c>
      <c r="J260">
        <v>116</v>
      </c>
      <c r="K260">
        <v>125</v>
      </c>
      <c r="L260">
        <v>101</v>
      </c>
      <c r="M260">
        <v>119</v>
      </c>
      <c r="N260">
        <v>117</v>
      </c>
      <c r="O260">
        <v>125</v>
      </c>
      <c r="P260">
        <v>121</v>
      </c>
      <c r="Q260">
        <v>41</v>
      </c>
      <c r="R260">
        <v>511</v>
      </c>
      <c r="S260">
        <v>482</v>
      </c>
      <c r="T260">
        <v>1135</v>
      </c>
      <c r="U260">
        <v>237</v>
      </c>
      <c r="V260">
        <v>360</v>
      </c>
      <c r="W260">
        <v>116</v>
      </c>
      <c r="X260">
        <v>238</v>
      </c>
      <c r="Y260">
        <v>244</v>
      </c>
      <c r="Z260" s="10" t="s">
        <v>229</v>
      </c>
    </row>
    <row r="261" spans="1:26" x14ac:dyDescent="0.4">
      <c r="A261" s="10">
        <v>260</v>
      </c>
      <c r="B261" s="10" t="s">
        <v>748</v>
      </c>
      <c r="C261" s="10" t="s">
        <v>228</v>
      </c>
      <c r="D261" s="10" t="s">
        <v>58</v>
      </c>
      <c r="E261" s="10" t="s">
        <v>81</v>
      </c>
      <c r="F261" s="10" t="s">
        <v>13</v>
      </c>
      <c r="G261" s="10" t="s">
        <v>27</v>
      </c>
      <c r="H261">
        <v>136</v>
      </c>
      <c r="I261">
        <v>138</v>
      </c>
      <c r="J261">
        <v>116</v>
      </c>
      <c r="K261">
        <v>128</v>
      </c>
      <c r="L261">
        <v>101</v>
      </c>
      <c r="M261">
        <v>118</v>
      </c>
      <c r="N261">
        <v>120</v>
      </c>
      <c r="O261">
        <v>125</v>
      </c>
      <c r="P261">
        <v>123</v>
      </c>
      <c r="Q261">
        <v>41</v>
      </c>
      <c r="R261">
        <v>518</v>
      </c>
      <c r="S261">
        <v>486</v>
      </c>
      <c r="T261">
        <v>1146</v>
      </c>
      <c r="U261">
        <v>237</v>
      </c>
      <c r="V261">
        <v>367</v>
      </c>
      <c r="W261">
        <v>116</v>
      </c>
      <c r="X261">
        <v>243</v>
      </c>
      <c r="Y261">
        <v>243</v>
      </c>
      <c r="Z261" s="10" t="s">
        <v>229</v>
      </c>
    </row>
    <row r="262" spans="1:26" x14ac:dyDescent="0.4">
      <c r="A262" s="10">
        <v>261</v>
      </c>
      <c r="B262" s="10" t="s">
        <v>811</v>
      </c>
      <c r="C262" s="10" t="s">
        <v>228</v>
      </c>
      <c r="D262" s="10" t="s">
        <v>63</v>
      </c>
      <c r="E262" s="10" t="s">
        <v>81</v>
      </c>
      <c r="F262" s="10" t="s">
        <v>13</v>
      </c>
      <c r="G262" s="10" t="s">
        <v>27</v>
      </c>
      <c r="H262">
        <v>138</v>
      </c>
      <c r="I262">
        <v>135</v>
      </c>
      <c r="J262">
        <v>117</v>
      </c>
      <c r="K262">
        <v>126</v>
      </c>
      <c r="L262">
        <v>101</v>
      </c>
      <c r="M262">
        <v>121</v>
      </c>
      <c r="N262">
        <v>118</v>
      </c>
      <c r="O262">
        <v>127</v>
      </c>
      <c r="P262">
        <v>122</v>
      </c>
      <c r="Q262">
        <v>41</v>
      </c>
      <c r="R262">
        <v>516</v>
      </c>
      <c r="S262">
        <v>488</v>
      </c>
      <c r="T262">
        <v>1146</v>
      </c>
      <c r="U262">
        <v>239</v>
      </c>
      <c r="V262">
        <v>362</v>
      </c>
      <c r="W262">
        <v>117</v>
      </c>
      <c r="X262">
        <v>240</v>
      </c>
      <c r="Y262">
        <v>248</v>
      </c>
      <c r="Z262" s="10" t="s">
        <v>229</v>
      </c>
    </row>
    <row r="263" spans="1:26" x14ac:dyDescent="0.4">
      <c r="A263" s="10">
        <v>262</v>
      </c>
      <c r="B263" s="10" t="s">
        <v>854</v>
      </c>
      <c r="C263" s="10" t="s">
        <v>228</v>
      </c>
      <c r="D263" s="10" t="s">
        <v>65</v>
      </c>
      <c r="E263" s="10" t="s">
        <v>81</v>
      </c>
      <c r="F263" s="10" t="s">
        <v>13</v>
      </c>
      <c r="G263" s="10" t="s">
        <v>27</v>
      </c>
      <c r="H263">
        <v>137</v>
      </c>
      <c r="I263">
        <v>140</v>
      </c>
      <c r="J263">
        <v>117</v>
      </c>
      <c r="K263">
        <v>130</v>
      </c>
      <c r="L263">
        <v>101</v>
      </c>
      <c r="M263">
        <v>119</v>
      </c>
      <c r="N263">
        <v>121</v>
      </c>
      <c r="O263">
        <v>126</v>
      </c>
      <c r="P263">
        <v>124</v>
      </c>
      <c r="Q263">
        <v>41</v>
      </c>
      <c r="R263">
        <v>524</v>
      </c>
      <c r="S263">
        <v>490</v>
      </c>
      <c r="T263">
        <v>1156</v>
      </c>
      <c r="U263">
        <v>238</v>
      </c>
      <c r="V263">
        <v>371</v>
      </c>
      <c r="W263">
        <v>117</v>
      </c>
      <c r="X263">
        <v>245</v>
      </c>
      <c r="Y263">
        <v>245</v>
      </c>
      <c r="Z263" s="10" t="s">
        <v>229</v>
      </c>
    </row>
    <row r="264" spans="1:26" x14ac:dyDescent="0.4">
      <c r="A264" s="10">
        <v>263</v>
      </c>
      <c r="B264" s="10" t="s">
        <v>893</v>
      </c>
      <c r="C264" s="10" t="s">
        <v>228</v>
      </c>
      <c r="D264" s="10" t="s">
        <v>58</v>
      </c>
      <c r="E264" s="10" t="s">
        <v>81</v>
      </c>
      <c r="F264" s="10" t="s">
        <v>13</v>
      </c>
      <c r="G264" s="10" t="s">
        <v>27</v>
      </c>
      <c r="H264">
        <v>141</v>
      </c>
      <c r="I264">
        <v>136</v>
      </c>
      <c r="J264">
        <v>118</v>
      </c>
      <c r="K264">
        <v>127</v>
      </c>
      <c r="L264">
        <v>101</v>
      </c>
      <c r="M264">
        <v>122</v>
      </c>
      <c r="N264">
        <v>120</v>
      </c>
      <c r="O264">
        <v>128</v>
      </c>
      <c r="P264">
        <v>123</v>
      </c>
      <c r="Q264">
        <v>41</v>
      </c>
      <c r="R264">
        <v>522</v>
      </c>
      <c r="S264">
        <v>493</v>
      </c>
      <c r="T264">
        <v>1157</v>
      </c>
      <c r="U264">
        <v>242</v>
      </c>
      <c r="V264">
        <v>364</v>
      </c>
      <c r="W264">
        <v>118</v>
      </c>
      <c r="X264">
        <v>243</v>
      </c>
      <c r="Y264">
        <v>250</v>
      </c>
      <c r="Z264" s="10" t="s">
        <v>229</v>
      </c>
    </row>
    <row r="265" spans="1:26" x14ac:dyDescent="0.4">
      <c r="A265" s="10">
        <v>264</v>
      </c>
      <c r="B265" s="10" t="s">
        <v>32</v>
      </c>
      <c r="C265" s="10" t="s">
        <v>230</v>
      </c>
      <c r="D265" s="10" t="s">
        <v>63</v>
      </c>
      <c r="E265" s="10" t="s">
        <v>59</v>
      </c>
      <c r="F265" s="10" t="s">
        <v>13</v>
      </c>
      <c r="G265" s="10" t="s">
        <v>27</v>
      </c>
      <c r="H265">
        <v>123</v>
      </c>
      <c r="I265">
        <v>120</v>
      </c>
      <c r="J265">
        <v>113</v>
      </c>
      <c r="K265">
        <v>121</v>
      </c>
      <c r="L265">
        <v>97</v>
      </c>
      <c r="M265">
        <v>125</v>
      </c>
      <c r="N265">
        <v>115</v>
      </c>
      <c r="O265">
        <v>117</v>
      </c>
      <c r="P265">
        <v>117</v>
      </c>
      <c r="Q265">
        <v>28</v>
      </c>
      <c r="R265">
        <v>477</v>
      </c>
      <c r="S265">
        <v>474</v>
      </c>
      <c r="T265">
        <v>1076</v>
      </c>
      <c r="U265">
        <v>220</v>
      </c>
      <c r="V265">
        <v>338</v>
      </c>
      <c r="W265">
        <v>113</v>
      </c>
      <c r="X265">
        <v>232</v>
      </c>
      <c r="Y265">
        <v>242</v>
      </c>
      <c r="Z265" s="10" t="s">
        <v>231</v>
      </c>
    </row>
    <row r="266" spans="1:26" x14ac:dyDescent="0.4">
      <c r="A266" s="10">
        <v>265</v>
      </c>
      <c r="B266" s="10" t="s">
        <v>72</v>
      </c>
      <c r="C266" s="10" t="s">
        <v>230</v>
      </c>
      <c r="D266" s="10" t="s">
        <v>65</v>
      </c>
      <c r="E266" s="10" t="s">
        <v>59</v>
      </c>
      <c r="F266" s="10" t="s">
        <v>13</v>
      </c>
      <c r="G266" s="10" t="s">
        <v>27</v>
      </c>
      <c r="H266">
        <v>126</v>
      </c>
      <c r="I266">
        <v>121</v>
      </c>
      <c r="J266">
        <v>114</v>
      </c>
      <c r="K266">
        <v>122</v>
      </c>
      <c r="L266">
        <v>97</v>
      </c>
      <c r="M266">
        <v>128</v>
      </c>
      <c r="N266">
        <v>116</v>
      </c>
      <c r="O266">
        <v>120</v>
      </c>
      <c r="P266">
        <v>118</v>
      </c>
      <c r="Q266">
        <v>28</v>
      </c>
      <c r="R266">
        <v>483</v>
      </c>
      <c r="S266">
        <v>482</v>
      </c>
      <c r="T266">
        <v>1090</v>
      </c>
      <c r="U266">
        <v>223</v>
      </c>
      <c r="V266">
        <v>340</v>
      </c>
      <c r="W266">
        <v>114</v>
      </c>
      <c r="X266">
        <v>234</v>
      </c>
      <c r="Y266">
        <v>248</v>
      </c>
      <c r="Z266" s="10" t="s">
        <v>231</v>
      </c>
    </row>
    <row r="267" spans="1:26" x14ac:dyDescent="0.4">
      <c r="A267" s="10">
        <v>266</v>
      </c>
      <c r="B267" s="10" t="s">
        <v>87</v>
      </c>
      <c r="C267" s="10" t="s">
        <v>230</v>
      </c>
      <c r="D267" s="10" t="s">
        <v>58</v>
      </c>
      <c r="E267" s="10" t="s">
        <v>59</v>
      </c>
      <c r="F267" s="10" t="s">
        <v>13</v>
      </c>
      <c r="G267" s="10" t="s">
        <v>27</v>
      </c>
      <c r="H267">
        <v>127</v>
      </c>
      <c r="I267">
        <v>119</v>
      </c>
      <c r="J267">
        <v>114</v>
      </c>
      <c r="K267">
        <v>120</v>
      </c>
      <c r="L267">
        <v>97</v>
      </c>
      <c r="M267">
        <v>130</v>
      </c>
      <c r="N267">
        <v>115</v>
      </c>
      <c r="O267">
        <v>122</v>
      </c>
      <c r="P267">
        <v>118</v>
      </c>
      <c r="Q267">
        <v>28</v>
      </c>
      <c r="R267">
        <v>480</v>
      </c>
      <c r="S267">
        <v>485</v>
      </c>
      <c r="T267">
        <v>1090</v>
      </c>
      <c r="U267">
        <v>224</v>
      </c>
      <c r="V267">
        <v>336</v>
      </c>
      <c r="W267">
        <v>114</v>
      </c>
      <c r="X267">
        <v>233</v>
      </c>
      <c r="Y267">
        <v>252</v>
      </c>
      <c r="Z267" s="10" t="s">
        <v>231</v>
      </c>
    </row>
    <row r="268" spans="1:26" x14ac:dyDescent="0.4">
      <c r="A268" s="10">
        <v>267</v>
      </c>
      <c r="B268" s="10" t="s">
        <v>61</v>
      </c>
      <c r="C268" s="10" t="s">
        <v>230</v>
      </c>
      <c r="D268" s="10" t="s">
        <v>63</v>
      </c>
      <c r="E268" s="10" t="s">
        <v>59</v>
      </c>
      <c r="F268" s="10" t="s">
        <v>13</v>
      </c>
      <c r="G268" s="10" t="s">
        <v>27</v>
      </c>
      <c r="H268">
        <v>129</v>
      </c>
      <c r="I268">
        <v>119</v>
      </c>
      <c r="J268">
        <v>116</v>
      </c>
      <c r="K268">
        <v>122</v>
      </c>
      <c r="L268">
        <v>97</v>
      </c>
      <c r="M268">
        <v>128</v>
      </c>
      <c r="N268">
        <v>114</v>
      </c>
      <c r="O268">
        <v>122</v>
      </c>
      <c r="P268">
        <v>116</v>
      </c>
      <c r="Q268">
        <v>28</v>
      </c>
      <c r="R268">
        <v>486</v>
      </c>
      <c r="S268">
        <v>480</v>
      </c>
      <c r="T268">
        <v>1091</v>
      </c>
      <c r="U268">
        <v>226</v>
      </c>
      <c r="V268">
        <v>338</v>
      </c>
      <c r="W268">
        <v>116</v>
      </c>
      <c r="X268">
        <v>230</v>
      </c>
      <c r="Y268">
        <v>250</v>
      </c>
      <c r="Z268" s="10" t="s">
        <v>231</v>
      </c>
    </row>
    <row r="269" spans="1:26" x14ac:dyDescent="0.4">
      <c r="A269" s="10">
        <v>268</v>
      </c>
      <c r="B269" s="10" t="s">
        <v>651</v>
      </c>
      <c r="C269" s="10" t="s">
        <v>230</v>
      </c>
      <c r="D269" s="10" t="s">
        <v>65</v>
      </c>
      <c r="E269" s="10" t="s">
        <v>59</v>
      </c>
      <c r="F269" s="10" t="s">
        <v>13</v>
      </c>
      <c r="G269" s="10" t="s">
        <v>27</v>
      </c>
      <c r="H269">
        <v>128</v>
      </c>
      <c r="I269">
        <v>121</v>
      </c>
      <c r="J269">
        <v>115</v>
      </c>
      <c r="K269">
        <v>122</v>
      </c>
      <c r="L269">
        <v>97</v>
      </c>
      <c r="M269">
        <v>131</v>
      </c>
      <c r="N269">
        <v>117</v>
      </c>
      <c r="O269">
        <v>122</v>
      </c>
      <c r="P269">
        <v>119</v>
      </c>
      <c r="Q269">
        <v>28</v>
      </c>
      <c r="R269">
        <v>486</v>
      </c>
      <c r="S269">
        <v>489</v>
      </c>
      <c r="T269">
        <v>1100</v>
      </c>
      <c r="U269">
        <v>225</v>
      </c>
      <c r="V269">
        <v>340</v>
      </c>
      <c r="W269">
        <v>115</v>
      </c>
      <c r="X269">
        <v>236</v>
      </c>
      <c r="Y269">
        <v>253</v>
      </c>
      <c r="Z269" s="10" t="s">
        <v>231</v>
      </c>
    </row>
    <row r="270" spans="1:26" x14ac:dyDescent="0.4">
      <c r="A270" s="10">
        <v>269</v>
      </c>
      <c r="B270" s="10" t="s">
        <v>741</v>
      </c>
      <c r="C270" s="10" t="s">
        <v>230</v>
      </c>
      <c r="D270" s="10" t="s">
        <v>58</v>
      </c>
      <c r="E270" s="10" t="s">
        <v>59</v>
      </c>
      <c r="F270" s="10" t="s">
        <v>13</v>
      </c>
      <c r="G270" s="10" t="s">
        <v>27</v>
      </c>
      <c r="H270">
        <v>128</v>
      </c>
      <c r="I270">
        <v>121</v>
      </c>
      <c r="J270">
        <v>114</v>
      </c>
      <c r="K270">
        <v>123</v>
      </c>
      <c r="L270">
        <v>97</v>
      </c>
      <c r="M270">
        <v>131</v>
      </c>
      <c r="N270">
        <v>117</v>
      </c>
      <c r="O270">
        <v>123</v>
      </c>
      <c r="P270">
        <v>119</v>
      </c>
      <c r="Q270">
        <v>28</v>
      </c>
      <c r="R270">
        <v>486</v>
      </c>
      <c r="S270">
        <v>490</v>
      </c>
      <c r="T270">
        <v>1101</v>
      </c>
      <c r="U270">
        <v>225</v>
      </c>
      <c r="V270">
        <v>341</v>
      </c>
      <c r="W270">
        <v>114</v>
      </c>
      <c r="X270">
        <v>236</v>
      </c>
      <c r="Y270">
        <v>254</v>
      </c>
      <c r="Z270" s="10" t="s">
        <v>231</v>
      </c>
    </row>
    <row r="271" spans="1:26" x14ac:dyDescent="0.4">
      <c r="A271" s="10">
        <v>270</v>
      </c>
      <c r="B271" s="10" t="s">
        <v>854</v>
      </c>
      <c r="C271" s="10" t="s">
        <v>230</v>
      </c>
      <c r="D271" s="10" t="s">
        <v>63</v>
      </c>
      <c r="E271" s="10" t="s">
        <v>59</v>
      </c>
      <c r="F271" s="10" t="s">
        <v>13</v>
      </c>
      <c r="G271" s="10" t="s">
        <v>27</v>
      </c>
      <c r="H271">
        <v>130</v>
      </c>
      <c r="I271">
        <v>122</v>
      </c>
      <c r="J271">
        <v>116</v>
      </c>
      <c r="K271">
        <v>123</v>
      </c>
      <c r="L271">
        <v>97</v>
      </c>
      <c r="M271">
        <v>132</v>
      </c>
      <c r="N271">
        <v>118</v>
      </c>
      <c r="O271">
        <v>124</v>
      </c>
      <c r="P271">
        <v>120</v>
      </c>
      <c r="Q271">
        <v>28</v>
      </c>
      <c r="R271">
        <v>491</v>
      </c>
      <c r="S271">
        <v>494</v>
      </c>
      <c r="T271">
        <v>1110</v>
      </c>
      <c r="U271">
        <v>227</v>
      </c>
      <c r="V271">
        <v>342</v>
      </c>
      <c r="W271">
        <v>116</v>
      </c>
      <c r="X271">
        <v>238</v>
      </c>
      <c r="Y271">
        <v>256</v>
      </c>
      <c r="Z271" s="10" t="s">
        <v>231</v>
      </c>
    </row>
    <row r="272" spans="1:26" x14ac:dyDescent="0.4">
      <c r="A272" s="10">
        <v>271</v>
      </c>
      <c r="B272" s="10" t="s">
        <v>964</v>
      </c>
      <c r="C272" s="10" t="s">
        <v>230</v>
      </c>
      <c r="D272" s="10" t="s">
        <v>65</v>
      </c>
      <c r="E272" s="10" t="s">
        <v>59</v>
      </c>
      <c r="F272" s="10" t="s">
        <v>13</v>
      </c>
      <c r="G272" s="10" t="s">
        <v>27</v>
      </c>
      <c r="H272">
        <v>129</v>
      </c>
      <c r="I272">
        <v>122</v>
      </c>
      <c r="J272">
        <v>115</v>
      </c>
      <c r="K272">
        <v>124</v>
      </c>
      <c r="L272">
        <v>97</v>
      </c>
      <c r="M272">
        <v>133</v>
      </c>
      <c r="N272">
        <v>118</v>
      </c>
      <c r="O272">
        <v>125</v>
      </c>
      <c r="P272">
        <v>120</v>
      </c>
      <c r="Q272">
        <v>28</v>
      </c>
      <c r="R272">
        <v>490</v>
      </c>
      <c r="S272">
        <v>496</v>
      </c>
      <c r="T272">
        <v>1111</v>
      </c>
      <c r="U272">
        <v>226</v>
      </c>
      <c r="V272">
        <v>343</v>
      </c>
      <c r="W272">
        <v>115</v>
      </c>
      <c r="X272">
        <v>238</v>
      </c>
      <c r="Y272">
        <v>258</v>
      </c>
      <c r="Z272" s="10" t="s">
        <v>231</v>
      </c>
    </row>
    <row r="273" spans="1:26" x14ac:dyDescent="0.4">
      <c r="A273" s="10">
        <v>272</v>
      </c>
      <c r="B273" s="10" t="s">
        <v>32</v>
      </c>
      <c r="C273" s="10" t="s">
        <v>232</v>
      </c>
      <c r="D273" s="10" t="s">
        <v>58</v>
      </c>
      <c r="E273" s="10" t="s">
        <v>81</v>
      </c>
      <c r="F273" s="10" t="s">
        <v>13</v>
      </c>
      <c r="G273" s="10" t="s">
        <v>27</v>
      </c>
      <c r="H273">
        <v>123</v>
      </c>
      <c r="I273">
        <v>120</v>
      </c>
      <c r="J273">
        <v>118</v>
      </c>
      <c r="K273">
        <v>123</v>
      </c>
      <c r="L273">
        <v>101</v>
      </c>
      <c r="M273">
        <v>118</v>
      </c>
      <c r="N273">
        <v>118</v>
      </c>
      <c r="O273">
        <v>121</v>
      </c>
      <c r="P273">
        <v>121</v>
      </c>
      <c r="Q273">
        <v>36</v>
      </c>
      <c r="R273">
        <v>484</v>
      </c>
      <c r="S273">
        <v>478</v>
      </c>
      <c r="T273">
        <v>1099</v>
      </c>
      <c r="U273">
        <v>224</v>
      </c>
      <c r="V273">
        <v>344</v>
      </c>
      <c r="W273">
        <v>118</v>
      </c>
      <c r="X273">
        <v>239</v>
      </c>
      <c r="Y273">
        <v>239</v>
      </c>
      <c r="Z273" s="10" t="s">
        <v>233</v>
      </c>
    </row>
    <row r="274" spans="1:26" x14ac:dyDescent="0.4">
      <c r="A274" s="10">
        <v>273</v>
      </c>
      <c r="B274" s="10" t="s">
        <v>73</v>
      </c>
      <c r="C274" s="10" t="s">
        <v>232</v>
      </c>
      <c r="D274" s="10" t="s">
        <v>63</v>
      </c>
      <c r="E274" s="10" t="s">
        <v>81</v>
      </c>
      <c r="F274" s="10" t="s">
        <v>13</v>
      </c>
      <c r="G274" s="10" t="s">
        <v>27</v>
      </c>
      <c r="H274">
        <v>126</v>
      </c>
      <c r="I274">
        <v>123</v>
      </c>
      <c r="J274">
        <v>119</v>
      </c>
      <c r="K274">
        <v>124</v>
      </c>
      <c r="L274">
        <v>101</v>
      </c>
      <c r="M274">
        <v>119</v>
      </c>
      <c r="N274">
        <v>119</v>
      </c>
      <c r="O274">
        <v>124</v>
      </c>
      <c r="P274">
        <v>122</v>
      </c>
      <c r="Q274">
        <v>41</v>
      </c>
      <c r="R274">
        <v>492</v>
      </c>
      <c r="S274">
        <v>484</v>
      </c>
      <c r="T274">
        <v>1118</v>
      </c>
      <c r="U274">
        <v>227</v>
      </c>
      <c r="V274">
        <v>348</v>
      </c>
      <c r="W274">
        <v>119</v>
      </c>
      <c r="X274">
        <v>241</v>
      </c>
      <c r="Y274">
        <v>243</v>
      </c>
      <c r="Z274" s="10" t="s">
        <v>233</v>
      </c>
    </row>
    <row r="275" spans="1:26" x14ac:dyDescent="0.4">
      <c r="A275" s="10">
        <v>274</v>
      </c>
      <c r="B275" s="10" t="s">
        <v>61</v>
      </c>
      <c r="C275" s="10" t="s">
        <v>232</v>
      </c>
      <c r="D275" s="10" t="s">
        <v>65</v>
      </c>
      <c r="E275" s="10" t="s">
        <v>81</v>
      </c>
      <c r="F275" s="10" t="s">
        <v>13</v>
      </c>
      <c r="G275" s="10" t="s">
        <v>27</v>
      </c>
      <c r="H275">
        <v>128</v>
      </c>
      <c r="I275">
        <v>126</v>
      </c>
      <c r="J275">
        <v>117</v>
      </c>
      <c r="K275">
        <v>126</v>
      </c>
      <c r="L275">
        <v>101</v>
      </c>
      <c r="M275">
        <v>117</v>
      </c>
      <c r="N275">
        <v>119</v>
      </c>
      <c r="O275">
        <v>122</v>
      </c>
      <c r="P275">
        <v>122</v>
      </c>
      <c r="Q275">
        <v>41</v>
      </c>
      <c r="R275">
        <v>497</v>
      </c>
      <c r="S275">
        <v>480</v>
      </c>
      <c r="T275">
        <v>1119</v>
      </c>
      <c r="U275">
        <v>229</v>
      </c>
      <c r="V275">
        <v>353</v>
      </c>
      <c r="W275">
        <v>117</v>
      </c>
      <c r="X275">
        <v>241</v>
      </c>
      <c r="Y275">
        <v>239</v>
      </c>
      <c r="Z275" s="10" t="s">
        <v>233</v>
      </c>
    </row>
    <row r="276" spans="1:26" x14ac:dyDescent="0.4">
      <c r="A276" s="10">
        <v>275</v>
      </c>
      <c r="B276" s="10" t="s">
        <v>579</v>
      </c>
      <c r="C276" s="10" t="s">
        <v>232</v>
      </c>
      <c r="D276" s="10" t="s">
        <v>58</v>
      </c>
      <c r="E276" s="10" t="s">
        <v>81</v>
      </c>
      <c r="F276" s="10" t="s">
        <v>13</v>
      </c>
      <c r="G276" s="10" t="s">
        <v>27</v>
      </c>
      <c r="H276">
        <v>129</v>
      </c>
      <c r="I276">
        <v>121</v>
      </c>
      <c r="J276">
        <v>117</v>
      </c>
      <c r="K276">
        <v>122</v>
      </c>
      <c r="L276">
        <v>101</v>
      </c>
      <c r="M276">
        <v>121</v>
      </c>
      <c r="N276">
        <v>120</v>
      </c>
      <c r="O276">
        <v>126</v>
      </c>
      <c r="P276">
        <v>122</v>
      </c>
      <c r="Q276">
        <v>41</v>
      </c>
      <c r="R276">
        <v>489</v>
      </c>
      <c r="S276">
        <v>489</v>
      </c>
      <c r="T276">
        <v>1120</v>
      </c>
      <c r="U276">
        <v>230</v>
      </c>
      <c r="V276">
        <v>344</v>
      </c>
      <c r="W276">
        <v>117</v>
      </c>
      <c r="X276">
        <v>242</v>
      </c>
      <c r="Y276">
        <v>247</v>
      </c>
      <c r="Z276" s="10" t="s">
        <v>233</v>
      </c>
    </row>
    <row r="277" spans="1:26" x14ac:dyDescent="0.4">
      <c r="A277" s="10">
        <v>276</v>
      </c>
      <c r="B277" s="10" t="s">
        <v>693</v>
      </c>
      <c r="C277" s="10" t="s">
        <v>232</v>
      </c>
      <c r="D277" s="10" t="s">
        <v>63</v>
      </c>
      <c r="E277" s="10" t="s">
        <v>81</v>
      </c>
      <c r="F277" s="10" t="s">
        <v>13</v>
      </c>
      <c r="G277" s="10" t="s">
        <v>27</v>
      </c>
      <c r="H277">
        <v>128</v>
      </c>
      <c r="I277">
        <v>123</v>
      </c>
      <c r="J277">
        <v>120</v>
      </c>
      <c r="K277">
        <v>124</v>
      </c>
      <c r="L277">
        <v>101</v>
      </c>
      <c r="M277">
        <v>122</v>
      </c>
      <c r="N277">
        <v>120</v>
      </c>
      <c r="O277">
        <v>126</v>
      </c>
      <c r="P277">
        <v>123</v>
      </c>
      <c r="Q277">
        <v>41</v>
      </c>
      <c r="R277">
        <v>495</v>
      </c>
      <c r="S277">
        <v>491</v>
      </c>
      <c r="T277">
        <v>1128</v>
      </c>
      <c r="U277">
        <v>229</v>
      </c>
      <c r="V277">
        <v>348</v>
      </c>
      <c r="W277">
        <v>120</v>
      </c>
      <c r="X277">
        <v>243</v>
      </c>
      <c r="Y277">
        <v>248</v>
      </c>
      <c r="Z277" s="10" t="s">
        <v>233</v>
      </c>
    </row>
    <row r="278" spans="1:26" x14ac:dyDescent="0.4">
      <c r="A278" s="10">
        <v>277</v>
      </c>
      <c r="B278" s="10" t="s">
        <v>776</v>
      </c>
      <c r="C278" s="10" t="s">
        <v>232</v>
      </c>
      <c r="D278" s="10" t="s">
        <v>65</v>
      </c>
      <c r="E278" s="10" t="s">
        <v>81</v>
      </c>
      <c r="F278" s="10" t="s">
        <v>13</v>
      </c>
      <c r="G278" s="10" t="s">
        <v>27</v>
      </c>
      <c r="H278">
        <v>126</v>
      </c>
      <c r="I278">
        <v>126</v>
      </c>
      <c r="J278">
        <v>120</v>
      </c>
      <c r="K278">
        <v>125</v>
      </c>
      <c r="L278">
        <v>101</v>
      </c>
      <c r="M278">
        <v>119</v>
      </c>
      <c r="N278">
        <v>122</v>
      </c>
      <c r="O278">
        <v>125</v>
      </c>
      <c r="P278">
        <v>124</v>
      </c>
      <c r="Q278">
        <v>41</v>
      </c>
      <c r="R278">
        <v>497</v>
      </c>
      <c r="S278">
        <v>490</v>
      </c>
      <c r="T278">
        <v>1129</v>
      </c>
      <c r="U278">
        <v>227</v>
      </c>
      <c r="V278">
        <v>352</v>
      </c>
      <c r="W278">
        <v>120</v>
      </c>
      <c r="X278">
        <v>246</v>
      </c>
      <c r="Y278">
        <v>244</v>
      </c>
      <c r="Z278" s="10" t="s">
        <v>233</v>
      </c>
    </row>
    <row r="279" spans="1:26" x14ac:dyDescent="0.4">
      <c r="A279" s="10">
        <v>278</v>
      </c>
      <c r="B279" s="10" t="s">
        <v>32</v>
      </c>
      <c r="C279" s="10" t="s">
        <v>234</v>
      </c>
      <c r="D279" s="10" t="s">
        <v>63</v>
      </c>
      <c r="E279" s="10" t="s">
        <v>67</v>
      </c>
      <c r="F279" s="10" t="s">
        <v>13</v>
      </c>
      <c r="G279" s="10" t="s">
        <v>27</v>
      </c>
      <c r="H279">
        <v>119</v>
      </c>
      <c r="I279">
        <v>120</v>
      </c>
      <c r="J279">
        <v>127</v>
      </c>
      <c r="K279">
        <v>123</v>
      </c>
      <c r="L279">
        <v>101</v>
      </c>
      <c r="M279">
        <v>117</v>
      </c>
      <c r="N279">
        <v>117</v>
      </c>
      <c r="O279">
        <v>116</v>
      </c>
      <c r="P279">
        <v>118</v>
      </c>
      <c r="Q279">
        <v>36</v>
      </c>
      <c r="R279">
        <v>489</v>
      </c>
      <c r="S279">
        <v>468</v>
      </c>
      <c r="T279">
        <v>1094</v>
      </c>
      <c r="U279">
        <v>220</v>
      </c>
      <c r="V279">
        <v>344</v>
      </c>
      <c r="W279">
        <v>127</v>
      </c>
      <c r="X279">
        <v>235</v>
      </c>
      <c r="Y279">
        <v>233</v>
      </c>
      <c r="Z279" s="10" t="s">
        <v>235</v>
      </c>
    </row>
    <row r="280" spans="1:26" x14ac:dyDescent="0.4">
      <c r="A280" s="10">
        <v>279</v>
      </c>
      <c r="B280" s="10" t="s">
        <v>95</v>
      </c>
      <c r="C280" s="10" t="s">
        <v>234</v>
      </c>
      <c r="D280" s="10" t="s">
        <v>65</v>
      </c>
      <c r="E280" s="10" t="s">
        <v>67</v>
      </c>
      <c r="F280" s="10" t="s">
        <v>13</v>
      </c>
      <c r="G280" s="10" t="s">
        <v>27</v>
      </c>
      <c r="H280">
        <v>120</v>
      </c>
      <c r="I280">
        <v>123</v>
      </c>
      <c r="J280">
        <v>130</v>
      </c>
      <c r="K280">
        <v>126</v>
      </c>
      <c r="L280">
        <v>101</v>
      </c>
      <c r="M280">
        <v>118</v>
      </c>
      <c r="N280">
        <v>118</v>
      </c>
      <c r="O280">
        <v>117</v>
      </c>
      <c r="P280">
        <v>119</v>
      </c>
      <c r="Q280">
        <v>36</v>
      </c>
      <c r="R280">
        <v>499</v>
      </c>
      <c r="S280">
        <v>472</v>
      </c>
      <c r="T280">
        <v>1108</v>
      </c>
      <c r="U280">
        <v>221</v>
      </c>
      <c r="V280">
        <v>350</v>
      </c>
      <c r="W280">
        <v>130</v>
      </c>
      <c r="X280">
        <v>237</v>
      </c>
      <c r="Y280">
        <v>235</v>
      </c>
      <c r="Z280" s="10" t="s">
        <v>235</v>
      </c>
    </row>
    <row r="281" spans="1:26" x14ac:dyDescent="0.4">
      <c r="A281" s="10">
        <v>280</v>
      </c>
      <c r="B281" s="10" t="s">
        <v>61</v>
      </c>
      <c r="C281" s="10" t="s">
        <v>234</v>
      </c>
      <c r="D281" s="10" t="s">
        <v>58</v>
      </c>
      <c r="E281" s="10" t="s">
        <v>67</v>
      </c>
      <c r="F281" s="10" t="s">
        <v>13</v>
      </c>
      <c r="G281" s="10" t="s">
        <v>27</v>
      </c>
      <c r="H281">
        <v>118</v>
      </c>
      <c r="I281">
        <v>126</v>
      </c>
      <c r="J281">
        <v>132</v>
      </c>
      <c r="K281">
        <v>128</v>
      </c>
      <c r="L281">
        <v>101</v>
      </c>
      <c r="M281">
        <v>116</v>
      </c>
      <c r="N281">
        <v>118</v>
      </c>
      <c r="O281">
        <v>115</v>
      </c>
      <c r="P281">
        <v>119</v>
      </c>
      <c r="Q281">
        <v>36</v>
      </c>
      <c r="R281">
        <v>504</v>
      </c>
      <c r="S281">
        <v>468</v>
      </c>
      <c r="T281">
        <v>1109</v>
      </c>
      <c r="U281">
        <v>219</v>
      </c>
      <c r="V281">
        <v>355</v>
      </c>
      <c r="W281">
        <v>132</v>
      </c>
      <c r="X281">
        <v>237</v>
      </c>
      <c r="Y281">
        <v>231</v>
      </c>
      <c r="Z281" s="10" t="s">
        <v>235</v>
      </c>
    </row>
    <row r="282" spans="1:26" x14ac:dyDescent="0.4">
      <c r="A282" s="10">
        <v>281</v>
      </c>
      <c r="B282" s="10" t="s">
        <v>579</v>
      </c>
      <c r="C282" s="10" t="s">
        <v>234</v>
      </c>
      <c r="D282" s="10" t="s">
        <v>63</v>
      </c>
      <c r="E282" s="10" t="s">
        <v>67</v>
      </c>
      <c r="F282" s="10" t="s">
        <v>13</v>
      </c>
      <c r="G282" s="10" t="s">
        <v>27</v>
      </c>
      <c r="H282">
        <v>116</v>
      </c>
      <c r="I282">
        <v>121</v>
      </c>
      <c r="J282">
        <v>133</v>
      </c>
      <c r="K282">
        <v>124</v>
      </c>
      <c r="L282">
        <v>101</v>
      </c>
      <c r="M282">
        <v>120</v>
      </c>
      <c r="N282">
        <v>120</v>
      </c>
      <c r="O282">
        <v>117</v>
      </c>
      <c r="P282">
        <v>120</v>
      </c>
      <c r="Q282">
        <v>36</v>
      </c>
      <c r="R282">
        <v>494</v>
      </c>
      <c r="S282">
        <v>477</v>
      </c>
      <c r="T282">
        <v>1108</v>
      </c>
      <c r="U282">
        <v>217</v>
      </c>
      <c r="V282">
        <v>346</v>
      </c>
      <c r="W282">
        <v>133</v>
      </c>
      <c r="X282">
        <v>240</v>
      </c>
      <c r="Y282">
        <v>237</v>
      </c>
      <c r="Z282" s="10" t="s">
        <v>235</v>
      </c>
    </row>
    <row r="283" spans="1:26" x14ac:dyDescent="0.4">
      <c r="A283" s="10">
        <v>282</v>
      </c>
      <c r="B283" s="10" t="s">
        <v>724</v>
      </c>
      <c r="C283" s="10" t="s">
        <v>234</v>
      </c>
      <c r="D283" s="10" t="s">
        <v>65</v>
      </c>
      <c r="E283" s="10" t="s">
        <v>67</v>
      </c>
      <c r="F283" s="10" t="s">
        <v>13</v>
      </c>
      <c r="G283" s="10" t="s">
        <v>27</v>
      </c>
      <c r="H283">
        <v>121</v>
      </c>
      <c r="I283">
        <v>125</v>
      </c>
      <c r="J283">
        <v>133</v>
      </c>
      <c r="K283">
        <v>128</v>
      </c>
      <c r="L283">
        <v>101</v>
      </c>
      <c r="M283">
        <v>118</v>
      </c>
      <c r="N283">
        <v>119</v>
      </c>
      <c r="O283">
        <v>117</v>
      </c>
      <c r="P283">
        <v>120</v>
      </c>
      <c r="Q283">
        <v>36</v>
      </c>
      <c r="R283">
        <v>507</v>
      </c>
      <c r="S283">
        <v>474</v>
      </c>
      <c r="T283">
        <v>1118</v>
      </c>
      <c r="U283">
        <v>222</v>
      </c>
      <c r="V283">
        <v>354</v>
      </c>
      <c r="W283">
        <v>133</v>
      </c>
      <c r="X283">
        <v>239</v>
      </c>
      <c r="Y283">
        <v>235</v>
      </c>
      <c r="Z283" s="10" t="s">
        <v>235</v>
      </c>
    </row>
    <row r="284" spans="1:26" x14ac:dyDescent="0.4">
      <c r="A284" s="10">
        <v>283</v>
      </c>
      <c r="B284" s="10" t="s">
        <v>845</v>
      </c>
      <c r="C284" s="10" t="s">
        <v>234</v>
      </c>
      <c r="D284" s="10" t="s">
        <v>58</v>
      </c>
      <c r="E284" s="10" t="s">
        <v>67</v>
      </c>
      <c r="F284" s="10" t="s">
        <v>13</v>
      </c>
      <c r="G284" s="10" t="s">
        <v>27</v>
      </c>
      <c r="H284">
        <v>121</v>
      </c>
      <c r="I284">
        <v>126</v>
      </c>
      <c r="J284">
        <v>130</v>
      </c>
      <c r="K284">
        <v>129</v>
      </c>
      <c r="L284">
        <v>101</v>
      </c>
      <c r="M284">
        <v>118</v>
      </c>
      <c r="N284">
        <v>120</v>
      </c>
      <c r="O284">
        <v>118</v>
      </c>
      <c r="P284">
        <v>121</v>
      </c>
      <c r="Q284">
        <v>36</v>
      </c>
      <c r="R284">
        <v>506</v>
      </c>
      <c r="S284">
        <v>477</v>
      </c>
      <c r="T284">
        <v>1120</v>
      </c>
      <c r="U284">
        <v>222</v>
      </c>
      <c r="V284">
        <v>356</v>
      </c>
      <c r="W284">
        <v>130</v>
      </c>
      <c r="X284">
        <v>241</v>
      </c>
      <c r="Y284">
        <v>236</v>
      </c>
      <c r="Z284" s="10" t="s">
        <v>235</v>
      </c>
    </row>
    <row r="285" spans="1:26" x14ac:dyDescent="0.4">
      <c r="A285" s="10">
        <v>284</v>
      </c>
      <c r="B285" s="10" t="s">
        <v>893</v>
      </c>
      <c r="C285" s="10" t="s">
        <v>234</v>
      </c>
      <c r="D285" s="10" t="s">
        <v>63</v>
      </c>
      <c r="E285" s="10" t="s">
        <v>67</v>
      </c>
      <c r="F285" s="10" t="s">
        <v>13</v>
      </c>
      <c r="G285" s="10" t="s">
        <v>27</v>
      </c>
      <c r="H285">
        <v>122</v>
      </c>
      <c r="I285">
        <v>127</v>
      </c>
      <c r="J285">
        <v>135</v>
      </c>
      <c r="K285">
        <v>129</v>
      </c>
      <c r="L285">
        <v>101</v>
      </c>
      <c r="M285">
        <v>119</v>
      </c>
      <c r="N285">
        <v>120</v>
      </c>
      <c r="O285">
        <v>118</v>
      </c>
      <c r="P285">
        <v>121</v>
      </c>
      <c r="Q285">
        <v>36</v>
      </c>
      <c r="R285">
        <v>513</v>
      </c>
      <c r="S285">
        <v>478</v>
      </c>
      <c r="T285">
        <v>1128</v>
      </c>
      <c r="U285">
        <v>223</v>
      </c>
      <c r="V285">
        <v>357</v>
      </c>
      <c r="W285">
        <v>135</v>
      </c>
      <c r="X285">
        <v>241</v>
      </c>
      <c r="Y285">
        <v>237</v>
      </c>
      <c r="Z285" s="10" t="s">
        <v>235</v>
      </c>
    </row>
    <row r="286" spans="1:26" x14ac:dyDescent="0.4">
      <c r="A286" s="10">
        <v>285</v>
      </c>
      <c r="B286" s="10" t="s">
        <v>32</v>
      </c>
      <c r="C286" s="10" t="s">
        <v>236</v>
      </c>
      <c r="D286" s="10" t="s">
        <v>63</v>
      </c>
      <c r="E286" s="10" t="s">
        <v>81</v>
      </c>
      <c r="F286" s="10" t="s">
        <v>13</v>
      </c>
      <c r="G286" s="10" t="s">
        <v>27</v>
      </c>
      <c r="H286">
        <v>123</v>
      </c>
      <c r="I286">
        <v>120</v>
      </c>
      <c r="J286">
        <v>118</v>
      </c>
      <c r="K286">
        <v>123</v>
      </c>
      <c r="L286">
        <v>97</v>
      </c>
      <c r="M286">
        <v>118</v>
      </c>
      <c r="N286">
        <v>118</v>
      </c>
      <c r="O286">
        <v>121</v>
      </c>
      <c r="P286">
        <v>121</v>
      </c>
      <c r="Q286">
        <v>31</v>
      </c>
      <c r="R286">
        <v>484</v>
      </c>
      <c r="S286">
        <v>478</v>
      </c>
      <c r="T286">
        <v>1090</v>
      </c>
      <c r="U286">
        <v>220</v>
      </c>
      <c r="V286">
        <v>340</v>
      </c>
      <c r="W286">
        <v>118</v>
      </c>
      <c r="X286">
        <v>239</v>
      </c>
      <c r="Y286">
        <v>239</v>
      </c>
      <c r="Z286" s="10" t="s">
        <v>237</v>
      </c>
    </row>
    <row r="287" spans="1:26" x14ac:dyDescent="0.4">
      <c r="A287" s="10">
        <v>286</v>
      </c>
      <c r="B287" s="10" t="s">
        <v>903</v>
      </c>
      <c r="C287" s="10" t="s">
        <v>236</v>
      </c>
      <c r="D287" s="10" t="s">
        <v>65</v>
      </c>
      <c r="E287" s="10" t="s">
        <v>81</v>
      </c>
      <c r="F287" s="10" t="s">
        <v>13</v>
      </c>
      <c r="G287" s="10" t="s">
        <v>27</v>
      </c>
      <c r="H287">
        <v>128</v>
      </c>
      <c r="I287">
        <v>121</v>
      </c>
      <c r="J287">
        <v>117</v>
      </c>
      <c r="K287">
        <v>122</v>
      </c>
      <c r="L287">
        <v>97</v>
      </c>
      <c r="M287">
        <v>121</v>
      </c>
      <c r="N287">
        <v>119</v>
      </c>
      <c r="O287">
        <v>126</v>
      </c>
      <c r="P287">
        <v>122</v>
      </c>
      <c r="Q287">
        <v>31</v>
      </c>
      <c r="R287">
        <v>488</v>
      </c>
      <c r="S287">
        <v>488</v>
      </c>
      <c r="T287">
        <v>1104</v>
      </c>
      <c r="U287">
        <v>225</v>
      </c>
      <c r="V287">
        <v>340</v>
      </c>
      <c r="W287">
        <v>117</v>
      </c>
      <c r="X287">
        <v>241</v>
      </c>
      <c r="Y287">
        <v>247</v>
      </c>
      <c r="Z287" s="10" t="s">
        <v>237</v>
      </c>
    </row>
    <row r="288" spans="1:26" x14ac:dyDescent="0.4">
      <c r="A288" s="10">
        <v>287</v>
      </c>
      <c r="B288" s="10" t="s">
        <v>32</v>
      </c>
      <c r="C288" s="10" t="s">
        <v>238</v>
      </c>
      <c r="D288" s="10" t="s">
        <v>63</v>
      </c>
      <c r="E288" s="10" t="s">
        <v>59</v>
      </c>
      <c r="F288" s="10" t="s">
        <v>13</v>
      </c>
      <c r="G288" s="10" t="s">
        <v>27</v>
      </c>
      <c r="H288">
        <v>123</v>
      </c>
      <c r="I288">
        <v>120</v>
      </c>
      <c r="J288">
        <v>113</v>
      </c>
      <c r="K288">
        <v>121</v>
      </c>
      <c r="L288">
        <v>101</v>
      </c>
      <c r="M288">
        <v>121</v>
      </c>
      <c r="N288">
        <v>115</v>
      </c>
      <c r="O288">
        <v>117</v>
      </c>
      <c r="P288">
        <v>117</v>
      </c>
      <c r="Q288">
        <v>31</v>
      </c>
      <c r="R288">
        <v>477</v>
      </c>
      <c r="S288">
        <v>470</v>
      </c>
      <c r="T288">
        <v>1079</v>
      </c>
      <c r="U288">
        <v>224</v>
      </c>
      <c r="V288">
        <v>342</v>
      </c>
      <c r="W288">
        <v>113</v>
      </c>
      <c r="X288">
        <v>232</v>
      </c>
      <c r="Y288">
        <v>238</v>
      </c>
      <c r="Z288" s="10" t="s">
        <v>239</v>
      </c>
    </row>
    <row r="289" spans="1:26" x14ac:dyDescent="0.4">
      <c r="A289" s="10">
        <v>288</v>
      </c>
      <c r="B289" s="10" t="s">
        <v>329</v>
      </c>
      <c r="C289" s="10" t="s">
        <v>238</v>
      </c>
      <c r="D289" s="10" t="s">
        <v>65</v>
      </c>
      <c r="E289" s="10" t="s">
        <v>59</v>
      </c>
      <c r="F289" s="10" t="s">
        <v>13</v>
      </c>
      <c r="G289" s="10" t="s">
        <v>27</v>
      </c>
      <c r="H289">
        <v>126</v>
      </c>
      <c r="I289">
        <v>121</v>
      </c>
      <c r="J289">
        <v>114</v>
      </c>
      <c r="K289">
        <v>122</v>
      </c>
      <c r="L289">
        <v>101</v>
      </c>
      <c r="M289">
        <v>124</v>
      </c>
      <c r="N289">
        <v>116</v>
      </c>
      <c r="O289">
        <v>120</v>
      </c>
      <c r="P289">
        <v>118</v>
      </c>
      <c r="Q289">
        <v>31</v>
      </c>
      <c r="R289">
        <v>483</v>
      </c>
      <c r="S289">
        <v>478</v>
      </c>
      <c r="T289">
        <v>1093</v>
      </c>
      <c r="U289">
        <v>227</v>
      </c>
      <c r="V289">
        <v>344</v>
      </c>
      <c r="W289">
        <v>114</v>
      </c>
      <c r="X289">
        <v>234</v>
      </c>
      <c r="Y289">
        <v>244</v>
      </c>
      <c r="Z289" s="10" t="s">
        <v>239</v>
      </c>
    </row>
    <row r="290" spans="1:26" x14ac:dyDescent="0.4">
      <c r="A290" s="10">
        <v>289</v>
      </c>
      <c r="B290" s="10" t="s">
        <v>865</v>
      </c>
      <c r="C290" s="10" t="s">
        <v>238</v>
      </c>
      <c r="D290" s="10" t="s">
        <v>58</v>
      </c>
      <c r="E290" s="10" t="s">
        <v>59</v>
      </c>
      <c r="F290" s="10" t="s">
        <v>13</v>
      </c>
      <c r="G290" s="10" t="s">
        <v>27</v>
      </c>
      <c r="H290">
        <v>127</v>
      </c>
      <c r="I290">
        <v>119</v>
      </c>
      <c r="J290">
        <v>114</v>
      </c>
      <c r="K290">
        <v>120</v>
      </c>
      <c r="L290">
        <v>101</v>
      </c>
      <c r="M290">
        <v>127</v>
      </c>
      <c r="N290">
        <v>115</v>
      </c>
      <c r="O290">
        <v>122</v>
      </c>
      <c r="P290">
        <v>118</v>
      </c>
      <c r="Q290">
        <v>31</v>
      </c>
      <c r="R290">
        <v>480</v>
      </c>
      <c r="S290">
        <v>482</v>
      </c>
      <c r="T290">
        <v>1094</v>
      </c>
      <c r="U290">
        <v>228</v>
      </c>
      <c r="V290">
        <v>340</v>
      </c>
      <c r="W290">
        <v>114</v>
      </c>
      <c r="X290">
        <v>233</v>
      </c>
      <c r="Y290">
        <v>249</v>
      </c>
      <c r="Z290" s="10" t="s">
        <v>239</v>
      </c>
    </row>
    <row r="291" spans="1:26" x14ac:dyDescent="0.4">
      <c r="A291" s="10">
        <v>290</v>
      </c>
      <c r="B291" s="10" t="s">
        <v>32</v>
      </c>
      <c r="C291" s="10" t="s">
        <v>240</v>
      </c>
      <c r="D291" s="10" t="s">
        <v>63</v>
      </c>
      <c r="E291" s="10" t="s">
        <v>67</v>
      </c>
      <c r="F291" s="10" t="s">
        <v>13</v>
      </c>
      <c r="G291" s="10" t="s">
        <v>27</v>
      </c>
      <c r="H291">
        <v>117</v>
      </c>
      <c r="I291">
        <v>120</v>
      </c>
      <c r="J291">
        <v>121</v>
      </c>
      <c r="K291">
        <v>121</v>
      </c>
      <c r="L291">
        <v>101</v>
      </c>
      <c r="M291">
        <v>117</v>
      </c>
      <c r="N291">
        <v>117</v>
      </c>
      <c r="O291">
        <v>117</v>
      </c>
      <c r="P291">
        <v>118</v>
      </c>
      <c r="Q291">
        <v>36</v>
      </c>
      <c r="R291">
        <v>479</v>
      </c>
      <c r="S291">
        <v>469</v>
      </c>
      <c r="T291">
        <v>1085</v>
      </c>
      <c r="U291">
        <v>218</v>
      </c>
      <c r="V291">
        <v>342</v>
      </c>
      <c r="W291">
        <v>121</v>
      </c>
      <c r="X291">
        <v>235</v>
      </c>
      <c r="Y291">
        <v>234</v>
      </c>
      <c r="Z291" s="10" t="s">
        <v>241</v>
      </c>
    </row>
    <row r="292" spans="1:26" x14ac:dyDescent="0.4">
      <c r="A292" s="10">
        <v>291</v>
      </c>
      <c r="B292" s="10" t="s">
        <v>76</v>
      </c>
      <c r="C292" s="10" t="s">
        <v>240</v>
      </c>
      <c r="D292" s="10" t="s">
        <v>65</v>
      </c>
      <c r="E292" s="10" t="s">
        <v>67</v>
      </c>
      <c r="F292" s="10" t="s">
        <v>13</v>
      </c>
      <c r="G292" s="10" t="s">
        <v>27</v>
      </c>
      <c r="H292">
        <v>118</v>
      </c>
      <c r="I292">
        <v>123</v>
      </c>
      <c r="J292">
        <v>124</v>
      </c>
      <c r="K292">
        <v>124</v>
      </c>
      <c r="L292">
        <v>101</v>
      </c>
      <c r="M292">
        <v>118</v>
      </c>
      <c r="N292">
        <v>118</v>
      </c>
      <c r="O292">
        <v>118</v>
      </c>
      <c r="P292">
        <v>119</v>
      </c>
      <c r="Q292">
        <v>36</v>
      </c>
      <c r="R292">
        <v>489</v>
      </c>
      <c r="S292">
        <v>473</v>
      </c>
      <c r="T292">
        <v>1099</v>
      </c>
      <c r="U292">
        <v>219</v>
      </c>
      <c r="V292">
        <v>348</v>
      </c>
      <c r="W292">
        <v>124</v>
      </c>
      <c r="X292">
        <v>237</v>
      </c>
      <c r="Y292">
        <v>236</v>
      </c>
      <c r="Z292" s="10" t="s">
        <v>241</v>
      </c>
    </row>
    <row r="293" spans="1:26" x14ac:dyDescent="0.4">
      <c r="A293" s="10">
        <v>292</v>
      </c>
      <c r="B293" s="10" t="s">
        <v>579</v>
      </c>
      <c r="C293" s="10" t="s">
        <v>240</v>
      </c>
      <c r="D293" s="10" t="s">
        <v>58</v>
      </c>
      <c r="E293" s="10" t="s">
        <v>67</v>
      </c>
      <c r="F293" s="10" t="s">
        <v>13</v>
      </c>
      <c r="G293" s="10" t="s">
        <v>27</v>
      </c>
      <c r="H293">
        <v>116</v>
      </c>
      <c r="I293">
        <v>126</v>
      </c>
      <c r="J293">
        <v>124</v>
      </c>
      <c r="K293">
        <v>126</v>
      </c>
      <c r="L293">
        <v>101</v>
      </c>
      <c r="M293">
        <v>116</v>
      </c>
      <c r="N293">
        <v>120</v>
      </c>
      <c r="O293">
        <v>116</v>
      </c>
      <c r="P293">
        <v>119</v>
      </c>
      <c r="Q293">
        <v>36</v>
      </c>
      <c r="R293">
        <v>492</v>
      </c>
      <c r="S293">
        <v>471</v>
      </c>
      <c r="T293">
        <v>1100</v>
      </c>
      <c r="U293">
        <v>217</v>
      </c>
      <c r="V293">
        <v>353</v>
      </c>
      <c r="W293">
        <v>124</v>
      </c>
      <c r="X293">
        <v>239</v>
      </c>
      <c r="Y293">
        <v>232</v>
      </c>
      <c r="Z293" s="10" t="s">
        <v>241</v>
      </c>
    </row>
    <row r="294" spans="1:26" x14ac:dyDescent="0.4">
      <c r="A294" s="10">
        <v>293</v>
      </c>
      <c r="B294" s="10" t="s">
        <v>769</v>
      </c>
      <c r="C294" s="10" t="s">
        <v>240</v>
      </c>
      <c r="D294" s="10" t="s">
        <v>63</v>
      </c>
      <c r="E294" s="10" t="s">
        <v>67</v>
      </c>
      <c r="F294" s="10" t="s">
        <v>13</v>
      </c>
      <c r="G294" s="10" t="s">
        <v>27</v>
      </c>
      <c r="H294">
        <v>119</v>
      </c>
      <c r="I294">
        <v>121</v>
      </c>
      <c r="J294">
        <v>127</v>
      </c>
      <c r="K294">
        <v>122</v>
      </c>
      <c r="L294">
        <v>101</v>
      </c>
      <c r="M294">
        <v>116</v>
      </c>
      <c r="N294">
        <v>120</v>
      </c>
      <c r="O294">
        <v>118</v>
      </c>
      <c r="P294">
        <v>121</v>
      </c>
      <c r="Q294">
        <v>36</v>
      </c>
      <c r="R294">
        <v>489</v>
      </c>
      <c r="S294">
        <v>475</v>
      </c>
      <c r="T294">
        <v>1101</v>
      </c>
      <c r="U294">
        <v>220</v>
      </c>
      <c r="V294">
        <v>344</v>
      </c>
      <c r="W294">
        <v>127</v>
      </c>
      <c r="X294">
        <v>241</v>
      </c>
      <c r="Y294">
        <v>234</v>
      </c>
      <c r="Z294" s="10" t="s">
        <v>241</v>
      </c>
    </row>
    <row r="295" spans="1:26" x14ac:dyDescent="0.4">
      <c r="A295" s="10">
        <v>294</v>
      </c>
      <c r="B295" s="10" t="s">
        <v>845</v>
      </c>
      <c r="C295" s="10" t="s">
        <v>240</v>
      </c>
      <c r="D295" s="10" t="s">
        <v>65</v>
      </c>
      <c r="E295" s="10" t="s">
        <v>67</v>
      </c>
      <c r="F295" s="10" t="s">
        <v>13</v>
      </c>
      <c r="G295" s="10" t="s">
        <v>27</v>
      </c>
      <c r="H295">
        <v>119</v>
      </c>
      <c r="I295">
        <v>126</v>
      </c>
      <c r="J295">
        <v>126</v>
      </c>
      <c r="K295">
        <v>126</v>
      </c>
      <c r="L295">
        <v>101</v>
      </c>
      <c r="M295">
        <v>118</v>
      </c>
      <c r="N295">
        <v>119</v>
      </c>
      <c r="O295">
        <v>118</v>
      </c>
      <c r="P295">
        <v>120</v>
      </c>
      <c r="Q295">
        <v>36</v>
      </c>
      <c r="R295">
        <v>497</v>
      </c>
      <c r="S295">
        <v>475</v>
      </c>
      <c r="T295">
        <v>1109</v>
      </c>
      <c r="U295">
        <v>220</v>
      </c>
      <c r="V295">
        <v>353</v>
      </c>
      <c r="W295">
        <v>126</v>
      </c>
      <c r="X295">
        <v>239</v>
      </c>
      <c r="Y295">
        <v>236</v>
      </c>
      <c r="Z295" s="10" t="s">
        <v>241</v>
      </c>
    </row>
    <row r="296" spans="1:26" x14ac:dyDescent="0.4">
      <c r="A296" s="10">
        <v>295</v>
      </c>
      <c r="B296" s="10" t="s">
        <v>893</v>
      </c>
      <c r="C296" s="10" t="s">
        <v>240</v>
      </c>
      <c r="D296" s="10" t="s">
        <v>58</v>
      </c>
      <c r="E296" s="10" t="s">
        <v>67</v>
      </c>
      <c r="F296" s="10" t="s">
        <v>13</v>
      </c>
      <c r="G296" s="10" t="s">
        <v>27</v>
      </c>
      <c r="H296">
        <v>120</v>
      </c>
      <c r="I296">
        <v>128</v>
      </c>
      <c r="J296">
        <v>127</v>
      </c>
      <c r="K296">
        <v>128</v>
      </c>
      <c r="L296">
        <v>101</v>
      </c>
      <c r="M296">
        <v>119</v>
      </c>
      <c r="N296">
        <v>120</v>
      </c>
      <c r="O296">
        <v>119</v>
      </c>
      <c r="P296">
        <v>121</v>
      </c>
      <c r="Q296">
        <v>36</v>
      </c>
      <c r="R296">
        <v>503</v>
      </c>
      <c r="S296">
        <v>479</v>
      </c>
      <c r="T296">
        <v>1119</v>
      </c>
      <c r="U296">
        <v>221</v>
      </c>
      <c r="V296">
        <v>357</v>
      </c>
      <c r="W296">
        <v>127</v>
      </c>
      <c r="X296">
        <v>241</v>
      </c>
      <c r="Y296">
        <v>238</v>
      </c>
      <c r="Z296" s="10" t="s">
        <v>241</v>
      </c>
    </row>
    <row r="297" spans="1:26" x14ac:dyDescent="0.4">
      <c r="A297" s="10">
        <v>296</v>
      </c>
      <c r="B297" s="10" t="s">
        <v>32</v>
      </c>
      <c r="C297" s="10" t="s">
        <v>242</v>
      </c>
      <c r="D297" s="10" t="s">
        <v>63</v>
      </c>
      <c r="E297" s="10" t="s">
        <v>78</v>
      </c>
      <c r="F297" s="10" t="s">
        <v>13</v>
      </c>
      <c r="G297" s="10" t="s">
        <v>27</v>
      </c>
      <c r="H297">
        <v>112</v>
      </c>
      <c r="I297">
        <v>110</v>
      </c>
      <c r="J297">
        <v>114</v>
      </c>
      <c r="K297">
        <v>120</v>
      </c>
      <c r="L297">
        <v>101</v>
      </c>
      <c r="M297">
        <v>110</v>
      </c>
      <c r="N297">
        <v>121</v>
      </c>
      <c r="O297">
        <v>119</v>
      </c>
      <c r="P297">
        <v>120</v>
      </c>
      <c r="Q297">
        <v>41</v>
      </c>
      <c r="R297">
        <v>456</v>
      </c>
      <c r="S297">
        <v>470</v>
      </c>
      <c r="T297">
        <v>1068</v>
      </c>
      <c r="U297">
        <v>213</v>
      </c>
      <c r="V297">
        <v>331</v>
      </c>
      <c r="W297">
        <v>114</v>
      </c>
      <c r="X297">
        <v>241</v>
      </c>
      <c r="Y297">
        <v>229</v>
      </c>
      <c r="Z297" s="10" t="s">
        <v>243</v>
      </c>
    </row>
    <row r="298" spans="1:26" x14ac:dyDescent="0.4">
      <c r="A298" s="10">
        <v>297</v>
      </c>
      <c r="B298" s="10" t="s">
        <v>32</v>
      </c>
      <c r="C298" s="10" t="s">
        <v>597</v>
      </c>
      <c r="D298" s="10" t="s">
        <v>63</v>
      </c>
      <c r="E298" s="10" t="s">
        <v>81</v>
      </c>
      <c r="F298" s="10" t="s">
        <v>598</v>
      </c>
      <c r="G298" s="10" t="s">
        <v>27</v>
      </c>
      <c r="H298">
        <v>119</v>
      </c>
      <c r="I298">
        <v>123</v>
      </c>
      <c r="J298">
        <v>116</v>
      </c>
      <c r="K298">
        <v>121</v>
      </c>
      <c r="L298">
        <v>101</v>
      </c>
      <c r="M298">
        <v>121</v>
      </c>
      <c r="N298">
        <v>119</v>
      </c>
      <c r="O298">
        <v>118</v>
      </c>
      <c r="P298">
        <v>118</v>
      </c>
      <c r="Q298">
        <v>41</v>
      </c>
      <c r="R298">
        <v>479</v>
      </c>
      <c r="S298">
        <v>476</v>
      </c>
      <c r="T298">
        <v>1097</v>
      </c>
      <c r="U298">
        <v>220</v>
      </c>
      <c r="V298">
        <v>345</v>
      </c>
      <c r="W298">
        <v>116</v>
      </c>
      <c r="X298">
        <v>237</v>
      </c>
      <c r="Y298">
        <v>239</v>
      </c>
      <c r="Z298" s="10" t="s">
        <v>599</v>
      </c>
    </row>
    <row r="299" spans="1:26" x14ac:dyDescent="0.4">
      <c r="A299" s="10">
        <v>298</v>
      </c>
      <c r="B299" s="10" t="s">
        <v>32</v>
      </c>
      <c r="C299" s="10" t="s">
        <v>602</v>
      </c>
      <c r="D299" s="10" t="s">
        <v>58</v>
      </c>
      <c r="E299" s="10" t="s">
        <v>81</v>
      </c>
      <c r="F299" s="10" t="s">
        <v>598</v>
      </c>
      <c r="G299" s="10" t="s">
        <v>27</v>
      </c>
      <c r="H299">
        <v>119</v>
      </c>
      <c r="I299">
        <v>116</v>
      </c>
      <c r="J299">
        <v>119</v>
      </c>
      <c r="K299">
        <v>119</v>
      </c>
      <c r="L299">
        <v>101</v>
      </c>
      <c r="M299">
        <v>114</v>
      </c>
      <c r="N299">
        <v>113</v>
      </c>
      <c r="O299">
        <v>118</v>
      </c>
      <c r="P299">
        <v>117</v>
      </c>
      <c r="Q299">
        <v>41</v>
      </c>
      <c r="R299">
        <v>473</v>
      </c>
      <c r="S299">
        <v>462</v>
      </c>
      <c r="T299">
        <v>1077</v>
      </c>
      <c r="U299">
        <v>220</v>
      </c>
      <c r="V299">
        <v>336</v>
      </c>
      <c r="W299">
        <v>119</v>
      </c>
      <c r="X299">
        <v>230</v>
      </c>
      <c r="Y299">
        <v>232</v>
      </c>
      <c r="Z299" s="10" t="s">
        <v>603</v>
      </c>
    </row>
    <row r="300" spans="1:26" x14ac:dyDescent="0.4">
      <c r="A300" s="10">
        <v>299</v>
      </c>
      <c r="B300" s="10" t="s">
        <v>32</v>
      </c>
      <c r="C300" s="10" t="s">
        <v>607</v>
      </c>
      <c r="D300" s="10" t="s">
        <v>63</v>
      </c>
      <c r="E300" s="10" t="s">
        <v>59</v>
      </c>
      <c r="F300" s="10" t="s">
        <v>598</v>
      </c>
      <c r="G300" s="10" t="s">
        <v>27</v>
      </c>
      <c r="H300">
        <v>118</v>
      </c>
      <c r="I300">
        <v>118</v>
      </c>
      <c r="J300">
        <v>112</v>
      </c>
      <c r="K300">
        <v>120</v>
      </c>
      <c r="L300">
        <v>97</v>
      </c>
      <c r="M300">
        <v>120</v>
      </c>
      <c r="N300">
        <v>115</v>
      </c>
      <c r="O300">
        <v>115</v>
      </c>
      <c r="P300">
        <v>115</v>
      </c>
      <c r="Q300">
        <v>31</v>
      </c>
      <c r="R300">
        <v>468</v>
      </c>
      <c r="S300">
        <v>465</v>
      </c>
      <c r="T300">
        <v>1061</v>
      </c>
      <c r="U300">
        <v>215</v>
      </c>
      <c r="V300">
        <v>335</v>
      </c>
      <c r="W300">
        <v>112</v>
      </c>
      <c r="X300">
        <v>230</v>
      </c>
      <c r="Y300">
        <v>235</v>
      </c>
      <c r="Z300" s="10" t="s">
        <v>608</v>
      </c>
    </row>
    <row r="301" spans="1:26" x14ac:dyDescent="0.4">
      <c r="A301" s="10">
        <v>300</v>
      </c>
      <c r="B301" s="10" t="s">
        <v>32</v>
      </c>
      <c r="C301" s="10" t="s">
        <v>654</v>
      </c>
      <c r="D301" s="10" t="s">
        <v>63</v>
      </c>
      <c r="E301" s="10" t="s">
        <v>78</v>
      </c>
      <c r="F301" s="10" t="s">
        <v>598</v>
      </c>
      <c r="G301" s="10" t="s">
        <v>27</v>
      </c>
      <c r="H301">
        <v>111</v>
      </c>
      <c r="I301">
        <v>112</v>
      </c>
      <c r="J301">
        <v>115</v>
      </c>
      <c r="K301">
        <v>119</v>
      </c>
      <c r="L301">
        <v>101</v>
      </c>
      <c r="M301">
        <v>111</v>
      </c>
      <c r="N301">
        <v>121</v>
      </c>
      <c r="O301">
        <v>118</v>
      </c>
      <c r="P301">
        <v>120</v>
      </c>
      <c r="Q301">
        <v>41</v>
      </c>
      <c r="R301">
        <v>457</v>
      </c>
      <c r="S301">
        <v>470</v>
      </c>
      <c r="T301">
        <v>1069</v>
      </c>
      <c r="U301">
        <v>212</v>
      </c>
      <c r="V301">
        <v>332</v>
      </c>
      <c r="W301">
        <v>115</v>
      </c>
      <c r="X301">
        <v>241</v>
      </c>
      <c r="Y301">
        <v>229</v>
      </c>
      <c r="Z301" s="10" t="s">
        <v>655</v>
      </c>
    </row>
    <row r="302" spans="1:26" x14ac:dyDescent="0.4">
      <c r="A302" s="10">
        <v>301</v>
      </c>
      <c r="B302" s="10" t="s">
        <v>32</v>
      </c>
      <c r="C302" s="10" t="s">
        <v>657</v>
      </c>
      <c r="D302" s="10" t="s">
        <v>63</v>
      </c>
      <c r="E302" s="10" t="s">
        <v>67</v>
      </c>
      <c r="F302" s="10" t="s">
        <v>598</v>
      </c>
      <c r="G302" s="10" t="s">
        <v>27</v>
      </c>
      <c r="H302">
        <v>112</v>
      </c>
      <c r="I302">
        <v>117</v>
      </c>
      <c r="J302">
        <v>119</v>
      </c>
      <c r="K302">
        <v>119</v>
      </c>
      <c r="L302">
        <v>97</v>
      </c>
      <c r="M302">
        <v>114</v>
      </c>
      <c r="N302">
        <v>113</v>
      </c>
      <c r="O302">
        <v>115</v>
      </c>
      <c r="P302">
        <v>116</v>
      </c>
      <c r="Q302">
        <v>41</v>
      </c>
      <c r="R302">
        <v>467</v>
      </c>
      <c r="S302">
        <v>458</v>
      </c>
      <c r="T302">
        <v>1063</v>
      </c>
      <c r="U302">
        <v>209</v>
      </c>
      <c r="V302">
        <v>333</v>
      </c>
      <c r="W302">
        <v>119</v>
      </c>
      <c r="X302">
        <v>229</v>
      </c>
      <c r="Y302">
        <v>229</v>
      </c>
      <c r="Z302" s="10" t="s">
        <v>658</v>
      </c>
    </row>
    <row r="303" spans="1:26" x14ac:dyDescent="0.4">
      <c r="A303" s="10">
        <v>302</v>
      </c>
      <c r="B303" s="10" t="s">
        <v>32</v>
      </c>
      <c r="C303" s="10" t="s">
        <v>663</v>
      </c>
      <c r="D303" s="10" t="s">
        <v>63</v>
      </c>
      <c r="E303" s="10" t="s">
        <v>59</v>
      </c>
      <c r="F303" s="10" t="s">
        <v>598</v>
      </c>
      <c r="G303" s="10" t="s">
        <v>27</v>
      </c>
      <c r="H303">
        <v>117</v>
      </c>
      <c r="I303">
        <v>114</v>
      </c>
      <c r="J303">
        <v>112</v>
      </c>
      <c r="K303">
        <v>117</v>
      </c>
      <c r="L303">
        <v>97</v>
      </c>
      <c r="M303">
        <v>120</v>
      </c>
      <c r="N303">
        <v>115</v>
      </c>
      <c r="O303">
        <v>115</v>
      </c>
      <c r="P303">
        <v>115</v>
      </c>
      <c r="Q303">
        <v>31</v>
      </c>
      <c r="R303">
        <v>460</v>
      </c>
      <c r="S303">
        <v>465</v>
      </c>
      <c r="T303">
        <v>1053</v>
      </c>
      <c r="U303">
        <v>214</v>
      </c>
      <c r="V303">
        <v>328</v>
      </c>
      <c r="W303">
        <v>112</v>
      </c>
      <c r="X303">
        <v>230</v>
      </c>
      <c r="Y303">
        <v>235</v>
      </c>
      <c r="Z303" s="10" t="s">
        <v>664</v>
      </c>
    </row>
    <row r="304" spans="1:26" x14ac:dyDescent="0.4">
      <c r="A304" s="10">
        <v>303</v>
      </c>
      <c r="B304" s="10" t="s">
        <v>32</v>
      </c>
      <c r="C304" s="10" t="s">
        <v>666</v>
      </c>
      <c r="D304" s="10" t="s">
        <v>63</v>
      </c>
      <c r="E304" s="10" t="s">
        <v>81</v>
      </c>
      <c r="F304" s="10" t="s">
        <v>598</v>
      </c>
      <c r="G304" s="10" t="s">
        <v>27</v>
      </c>
      <c r="H304">
        <v>120</v>
      </c>
      <c r="I304">
        <v>119</v>
      </c>
      <c r="J304">
        <v>116</v>
      </c>
      <c r="K304">
        <v>120</v>
      </c>
      <c r="L304">
        <v>101</v>
      </c>
      <c r="M304">
        <v>119</v>
      </c>
      <c r="N304">
        <v>117</v>
      </c>
      <c r="O304">
        <v>120</v>
      </c>
      <c r="P304">
        <v>117</v>
      </c>
      <c r="Q304">
        <v>36</v>
      </c>
      <c r="R304">
        <v>475</v>
      </c>
      <c r="S304">
        <v>473</v>
      </c>
      <c r="T304">
        <v>1085</v>
      </c>
      <c r="U304">
        <v>221</v>
      </c>
      <c r="V304">
        <v>340</v>
      </c>
      <c r="W304">
        <v>116</v>
      </c>
      <c r="X304">
        <v>234</v>
      </c>
      <c r="Y304">
        <v>239</v>
      </c>
      <c r="Z304" s="10" t="s">
        <v>667</v>
      </c>
    </row>
    <row r="305" spans="1:26" x14ac:dyDescent="0.4">
      <c r="A305" s="10">
        <v>304</v>
      </c>
      <c r="B305" s="10" t="s">
        <v>32</v>
      </c>
      <c r="C305" s="10" t="s">
        <v>683</v>
      </c>
      <c r="D305" s="10" t="s">
        <v>58</v>
      </c>
      <c r="E305" s="10" t="s">
        <v>59</v>
      </c>
      <c r="F305" s="10" t="s">
        <v>684</v>
      </c>
      <c r="G305" s="10" t="s">
        <v>27</v>
      </c>
      <c r="H305">
        <v>125</v>
      </c>
      <c r="I305">
        <v>120</v>
      </c>
      <c r="J305">
        <v>115</v>
      </c>
      <c r="K305">
        <v>120</v>
      </c>
      <c r="L305">
        <v>101</v>
      </c>
      <c r="M305">
        <v>123</v>
      </c>
      <c r="N305">
        <v>117</v>
      </c>
      <c r="O305">
        <v>120</v>
      </c>
      <c r="P305">
        <v>115</v>
      </c>
      <c r="Q305">
        <v>41</v>
      </c>
      <c r="R305">
        <v>480</v>
      </c>
      <c r="S305">
        <v>475</v>
      </c>
      <c r="T305">
        <v>1097</v>
      </c>
      <c r="U305">
        <v>226</v>
      </c>
      <c r="V305">
        <v>341</v>
      </c>
      <c r="W305">
        <v>115</v>
      </c>
      <c r="X305">
        <v>232</v>
      </c>
      <c r="Y305">
        <v>243</v>
      </c>
      <c r="Z305" s="10" t="s">
        <v>685</v>
      </c>
    </row>
    <row r="306" spans="1:26" x14ac:dyDescent="0.4">
      <c r="A306" s="10">
        <v>305</v>
      </c>
      <c r="B306" s="10" t="s">
        <v>32</v>
      </c>
      <c r="C306" s="10" t="s">
        <v>689</v>
      </c>
      <c r="D306" s="10" t="s">
        <v>65</v>
      </c>
      <c r="E306" s="10" t="s">
        <v>81</v>
      </c>
      <c r="F306" s="10" t="s">
        <v>684</v>
      </c>
      <c r="G306" s="10" t="s">
        <v>27</v>
      </c>
      <c r="H306">
        <v>123</v>
      </c>
      <c r="I306">
        <v>119</v>
      </c>
      <c r="J306">
        <v>118</v>
      </c>
      <c r="K306">
        <v>119</v>
      </c>
      <c r="L306">
        <v>101</v>
      </c>
      <c r="M306">
        <v>117</v>
      </c>
      <c r="N306">
        <v>116</v>
      </c>
      <c r="O306">
        <v>118</v>
      </c>
      <c r="P306">
        <v>118</v>
      </c>
      <c r="Q306">
        <v>36</v>
      </c>
      <c r="R306">
        <v>479</v>
      </c>
      <c r="S306">
        <v>469</v>
      </c>
      <c r="T306">
        <v>1085</v>
      </c>
      <c r="U306">
        <v>224</v>
      </c>
      <c r="V306">
        <v>339</v>
      </c>
      <c r="W306">
        <v>118</v>
      </c>
      <c r="X306">
        <v>234</v>
      </c>
      <c r="Y306">
        <v>235</v>
      </c>
      <c r="Z306" s="10" t="s">
        <v>690</v>
      </c>
    </row>
    <row r="307" spans="1:26" x14ac:dyDescent="0.4">
      <c r="A307" s="10">
        <v>306</v>
      </c>
      <c r="B307" s="10" t="s">
        <v>32</v>
      </c>
      <c r="C307" s="10" t="s">
        <v>699</v>
      </c>
      <c r="D307" s="10" t="s">
        <v>58</v>
      </c>
      <c r="E307" s="10" t="s">
        <v>78</v>
      </c>
      <c r="F307" s="10" t="s">
        <v>684</v>
      </c>
      <c r="G307" s="10" t="s">
        <v>27</v>
      </c>
      <c r="H307">
        <v>111</v>
      </c>
      <c r="I307">
        <v>110</v>
      </c>
      <c r="J307">
        <v>117</v>
      </c>
      <c r="K307">
        <v>119</v>
      </c>
      <c r="L307">
        <v>101</v>
      </c>
      <c r="M307">
        <v>110</v>
      </c>
      <c r="N307">
        <v>121</v>
      </c>
      <c r="O307">
        <v>118</v>
      </c>
      <c r="P307">
        <v>121</v>
      </c>
      <c r="Q307">
        <v>41</v>
      </c>
      <c r="R307">
        <v>457</v>
      </c>
      <c r="S307">
        <v>470</v>
      </c>
      <c r="T307">
        <v>1069</v>
      </c>
      <c r="U307">
        <v>212</v>
      </c>
      <c r="V307">
        <v>330</v>
      </c>
      <c r="W307">
        <v>117</v>
      </c>
      <c r="X307">
        <v>242</v>
      </c>
      <c r="Y307">
        <v>228</v>
      </c>
      <c r="Z307" s="10" t="s">
        <v>700</v>
      </c>
    </row>
    <row r="308" spans="1:26" x14ac:dyDescent="0.4">
      <c r="A308" s="10">
        <v>307</v>
      </c>
      <c r="B308" s="10" t="s">
        <v>32</v>
      </c>
      <c r="C308" s="10" t="s">
        <v>704</v>
      </c>
      <c r="D308" s="10" t="s">
        <v>58</v>
      </c>
      <c r="E308" s="10" t="s">
        <v>81</v>
      </c>
      <c r="F308" s="10" t="s">
        <v>684</v>
      </c>
      <c r="G308" s="10" t="s">
        <v>27</v>
      </c>
      <c r="H308">
        <v>119</v>
      </c>
      <c r="I308">
        <v>118</v>
      </c>
      <c r="J308">
        <v>112</v>
      </c>
      <c r="K308">
        <v>117</v>
      </c>
      <c r="L308">
        <v>97</v>
      </c>
      <c r="M308">
        <v>116</v>
      </c>
      <c r="N308">
        <v>118</v>
      </c>
      <c r="O308">
        <v>116</v>
      </c>
      <c r="P308">
        <v>117</v>
      </c>
      <c r="Q308">
        <v>31</v>
      </c>
      <c r="R308">
        <v>466</v>
      </c>
      <c r="S308">
        <v>467</v>
      </c>
      <c r="T308">
        <v>1061</v>
      </c>
      <c r="U308">
        <v>216</v>
      </c>
      <c r="V308">
        <v>332</v>
      </c>
      <c r="W308">
        <v>112</v>
      </c>
      <c r="X308">
        <v>235</v>
      </c>
      <c r="Y308">
        <v>232</v>
      </c>
      <c r="Z308" s="10" t="s">
        <v>705</v>
      </c>
    </row>
    <row r="309" spans="1:26" x14ac:dyDescent="0.4">
      <c r="A309" s="10">
        <v>308</v>
      </c>
      <c r="B309" s="10" t="s">
        <v>32</v>
      </c>
      <c r="C309" s="10" t="s">
        <v>708</v>
      </c>
      <c r="D309" s="10" t="s">
        <v>58</v>
      </c>
      <c r="E309" s="10" t="s">
        <v>67</v>
      </c>
      <c r="F309" s="10" t="s">
        <v>684</v>
      </c>
      <c r="G309" s="10" t="s">
        <v>27</v>
      </c>
      <c r="H309">
        <v>115</v>
      </c>
      <c r="I309">
        <v>118</v>
      </c>
      <c r="J309">
        <v>120</v>
      </c>
      <c r="K309">
        <v>118</v>
      </c>
      <c r="L309">
        <v>97</v>
      </c>
      <c r="M309">
        <v>115</v>
      </c>
      <c r="N309">
        <v>117</v>
      </c>
      <c r="O309">
        <v>115</v>
      </c>
      <c r="P309">
        <v>117</v>
      </c>
      <c r="Q309">
        <v>41</v>
      </c>
      <c r="R309">
        <v>471</v>
      </c>
      <c r="S309">
        <v>464</v>
      </c>
      <c r="T309">
        <v>1073</v>
      </c>
      <c r="U309">
        <v>212</v>
      </c>
      <c r="V309">
        <v>333</v>
      </c>
      <c r="W309">
        <v>120</v>
      </c>
      <c r="X309">
        <v>234</v>
      </c>
      <c r="Y309">
        <v>230</v>
      </c>
      <c r="Z309" s="10" t="s">
        <v>709</v>
      </c>
    </row>
    <row r="310" spans="1:26" x14ac:dyDescent="0.4">
      <c r="A310" s="10">
        <v>309</v>
      </c>
      <c r="B310" s="10" t="s">
        <v>32</v>
      </c>
      <c r="C310" s="10" t="s">
        <v>711</v>
      </c>
      <c r="D310" s="10" t="s">
        <v>58</v>
      </c>
      <c r="E310" s="10" t="s">
        <v>81</v>
      </c>
      <c r="F310" s="10" t="s">
        <v>684</v>
      </c>
      <c r="G310" s="10" t="s">
        <v>27</v>
      </c>
      <c r="H310">
        <v>117</v>
      </c>
      <c r="I310">
        <v>114</v>
      </c>
      <c r="J310">
        <v>117</v>
      </c>
      <c r="K310">
        <v>115</v>
      </c>
      <c r="L310">
        <v>97</v>
      </c>
      <c r="M310">
        <v>116</v>
      </c>
      <c r="N310">
        <v>114</v>
      </c>
      <c r="O310">
        <v>116</v>
      </c>
      <c r="P310">
        <v>115</v>
      </c>
      <c r="Q310">
        <v>36</v>
      </c>
      <c r="R310">
        <v>463</v>
      </c>
      <c r="S310">
        <v>461</v>
      </c>
      <c r="T310">
        <v>1057</v>
      </c>
      <c r="U310">
        <v>214</v>
      </c>
      <c r="V310">
        <v>326</v>
      </c>
      <c r="W310">
        <v>117</v>
      </c>
      <c r="X310">
        <v>229</v>
      </c>
      <c r="Y310">
        <v>232</v>
      </c>
      <c r="Z310" s="10" t="s">
        <v>712</v>
      </c>
    </row>
    <row r="311" spans="1:26" x14ac:dyDescent="0.4">
      <c r="A311" s="10">
        <v>310</v>
      </c>
      <c r="B311" s="10" t="s">
        <v>32</v>
      </c>
      <c r="C311" s="10" t="s">
        <v>717</v>
      </c>
      <c r="D311" s="10" t="s">
        <v>58</v>
      </c>
      <c r="E311" s="10" t="s">
        <v>59</v>
      </c>
      <c r="F311" s="10" t="s">
        <v>684</v>
      </c>
      <c r="G311" s="10" t="s">
        <v>27</v>
      </c>
      <c r="H311">
        <v>115</v>
      </c>
      <c r="I311">
        <v>114</v>
      </c>
      <c r="J311">
        <v>113</v>
      </c>
      <c r="K311">
        <v>117</v>
      </c>
      <c r="L311">
        <v>97</v>
      </c>
      <c r="M311">
        <v>119</v>
      </c>
      <c r="N311">
        <v>115</v>
      </c>
      <c r="O311">
        <v>114</v>
      </c>
      <c r="P311">
        <v>114</v>
      </c>
      <c r="Q311">
        <v>31</v>
      </c>
      <c r="R311">
        <v>459</v>
      </c>
      <c r="S311">
        <v>462</v>
      </c>
      <c r="T311">
        <v>1049</v>
      </c>
      <c r="U311">
        <v>212</v>
      </c>
      <c r="V311">
        <v>328</v>
      </c>
      <c r="W311">
        <v>113</v>
      </c>
      <c r="X311">
        <v>229</v>
      </c>
      <c r="Y311">
        <v>233</v>
      </c>
      <c r="Z311" s="10" t="s">
        <v>718</v>
      </c>
    </row>
    <row r="312" spans="1:26" x14ac:dyDescent="0.4">
      <c r="A312" s="10">
        <v>311</v>
      </c>
      <c r="B312" s="10" t="s">
        <v>32</v>
      </c>
      <c r="C312" s="10" t="s">
        <v>244</v>
      </c>
      <c r="D312" s="10" t="s">
        <v>58</v>
      </c>
      <c r="E312" s="10" t="s">
        <v>67</v>
      </c>
      <c r="F312" s="10" t="s">
        <v>11</v>
      </c>
      <c r="G312" s="10" t="s">
        <v>27</v>
      </c>
      <c r="H312">
        <v>120</v>
      </c>
      <c r="I312">
        <v>129</v>
      </c>
      <c r="J312">
        <v>130</v>
      </c>
      <c r="K312">
        <v>127</v>
      </c>
      <c r="L312">
        <v>101</v>
      </c>
      <c r="M312">
        <v>114</v>
      </c>
      <c r="N312">
        <v>119</v>
      </c>
      <c r="O312">
        <v>114</v>
      </c>
      <c r="P312">
        <v>118</v>
      </c>
      <c r="Q312">
        <v>36</v>
      </c>
      <c r="R312">
        <v>506</v>
      </c>
      <c r="S312">
        <v>465</v>
      </c>
      <c r="T312">
        <v>1108</v>
      </c>
      <c r="U312">
        <v>221</v>
      </c>
      <c r="V312">
        <v>357</v>
      </c>
      <c r="W312">
        <v>130</v>
      </c>
      <c r="X312">
        <v>237</v>
      </c>
      <c r="Y312">
        <v>228</v>
      </c>
      <c r="Z312" s="10" t="s">
        <v>245</v>
      </c>
    </row>
    <row r="313" spans="1:26" x14ac:dyDescent="0.4">
      <c r="A313" s="10">
        <v>312</v>
      </c>
      <c r="B313" s="10" t="s">
        <v>87</v>
      </c>
      <c r="C313" s="10" t="s">
        <v>244</v>
      </c>
      <c r="D313" s="10" t="s">
        <v>63</v>
      </c>
      <c r="E313" s="10" t="s">
        <v>67</v>
      </c>
      <c r="F313" s="10" t="s">
        <v>11</v>
      </c>
      <c r="G313" s="10" t="s">
        <v>27</v>
      </c>
      <c r="H313">
        <v>121</v>
      </c>
      <c r="I313">
        <v>132</v>
      </c>
      <c r="J313">
        <v>133</v>
      </c>
      <c r="K313">
        <v>130</v>
      </c>
      <c r="L313">
        <v>101</v>
      </c>
      <c r="M313">
        <v>115</v>
      </c>
      <c r="N313">
        <v>120</v>
      </c>
      <c r="O313">
        <v>115</v>
      </c>
      <c r="P313">
        <v>119</v>
      </c>
      <c r="Q313">
        <v>36</v>
      </c>
      <c r="R313">
        <v>516</v>
      </c>
      <c r="S313">
        <v>469</v>
      </c>
      <c r="T313">
        <v>1122</v>
      </c>
      <c r="U313">
        <v>222</v>
      </c>
      <c r="V313">
        <v>363</v>
      </c>
      <c r="W313">
        <v>133</v>
      </c>
      <c r="X313">
        <v>239</v>
      </c>
      <c r="Y313">
        <v>230</v>
      </c>
      <c r="Z313" s="10" t="s">
        <v>245</v>
      </c>
    </row>
    <row r="314" spans="1:26" x14ac:dyDescent="0.4">
      <c r="A314" s="10">
        <v>313</v>
      </c>
      <c r="B314" s="10" t="s">
        <v>298</v>
      </c>
      <c r="C314" s="10" t="s">
        <v>244</v>
      </c>
      <c r="D314" s="10" t="s">
        <v>65</v>
      </c>
      <c r="E314" s="10" t="s">
        <v>67</v>
      </c>
      <c r="F314" s="10" t="s">
        <v>11</v>
      </c>
      <c r="G314" s="10" t="s">
        <v>27</v>
      </c>
      <c r="H314">
        <v>119</v>
      </c>
      <c r="I314">
        <v>134</v>
      </c>
      <c r="J314">
        <v>132</v>
      </c>
      <c r="K314">
        <v>131</v>
      </c>
      <c r="L314">
        <v>101</v>
      </c>
      <c r="M314">
        <v>113</v>
      </c>
      <c r="N314">
        <v>122</v>
      </c>
      <c r="O314">
        <v>114</v>
      </c>
      <c r="P314">
        <v>120</v>
      </c>
      <c r="Q314">
        <v>36</v>
      </c>
      <c r="R314">
        <v>516</v>
      </c>
      <c r="S314">
        <v>469</v>
      </c>
      <c r="T314">
        <v>1122</v>
      </c>
      <c r="U314">
        <v>220</v>
      </c>
      <c r="V314">
        <v>366</v>
      </c>
      <c r="W314">
        <v>132</v>
      </c>
      <c r="X314">
        <v>242</v>
      </c>
      <c r="Y314">
        <v>227</v>
      </c>
      <c r="Z314" s="10" t="s">
        <v>245</v>
      </c>
    </row>
    <row r="315" spans="1:26" x14ac:dyDescent="0.4">
      <c r="A315" s="10">
        <v>314</v>
      </c>
      <c r="B315" s="10" t="s">
        <v>643</v>
      </c>
      <c r="C315" s="10" t="s">
        <v>244</v>
      </c>
      <c r="D315" s="10" t="s">
        <v>58</v>
      </c>
      <c r="E315" s="10" t="s">
        <v>67</v>
      </c>
      <c r="F315" s="10" t="s">
        <v>11</v>
      </c>
      <c r="G315" s="10" t="s">
        <v>27</v>
      </c>
      <c r="H315">
        <v>123</v>
      </c>
      <c r="I315">
        <v>130</v>
      </c>
      <c r="J315">
        <v>131</v>
      </c>
      <c r="K315">
        <v>128</v>
      </c>
      <c r="L315">
        <v>101</v>
      </c>
      <c r="M315">
        <v>118</v>
      </c>
      <c r="N315">
        <v>121</v>
      </c>
      <c r="O315">
        <v>117</v>
      </c>
      <c r="P315">
        <v>119</v>
      </c>
      <c r="Q315">
        <v>36</v>
      </c>
      <c r="R315">
        <v>512</v>
      </c>
      <c r="S315">
        <v>475</v>
      </c>
      <c r="T315">
        <v>1124</v>
      </c>
      <c r="U315">
        <v>224</v>
      </c>
      <c r="V315">
        <v>359</v>
      </c>
      <c r="W315">
        <v>131</v>
      </c>
      <c r="X315">
        <v>240</v>
      </c>
      <c r="Y315">
        <v>235</v>
      </c>
      <c r="Z315" s="10" t="s">
        <v>245</v>
      </c>
    </row>
    <row r="316" spans="1:26" x14ac:dyDescent="0.4">
      <c r="A316" s="10">
        <v>315</v>
      </c>
      <c r="B316" s="10" t="s">
        <v>714</v>
      </c>
      <c r="C316" s="10" t="s">
        <v>244</v>
      </c>
      <c r="D316" s="10" t="s">
        <v>63</v>
      </c>
      <c r="E316" s="10" t="s">
        <v>67</v>
      </c>
      <c r="F316" s="10" t="s">
        <v>11</v>
      </c>
      <c r="G316" s="10" t="s">
        <v>27</v>
      </c>
      <c r="H316">
        <v>122</v>
      </c>
      <c r="I316">
        <v>134</v>
      </c>
      <c r="J316">
        <v>136</v>
      </c>
      <c r="K316">
        <v>132</v>
      </c>
      <c r="L316">
        <v>101</v>
      </c>
      <c r="M316">
        <v>115</v>
      </c>
      <c r="N316">
        <v>121</v>
      </c>
      <c r="O316">
        <v>115</v>
      </c>
      <c r="P316">
        <v>120</v>
      </c>
      <c r="Q316">
        <v>36</v>
      </c>
      <c r="R316">
        <v>524</v>
      </c>
      <c r="S316">
        <v>471</v>
      </c>
      <c r="T316">
        <v>1132</v>
      </c>
      <c r="U316">
        <v>223</v>
      </c>
      <c r="V316">
        <v>367</v>
      </c>
      <c r="W316">
        <v>136</v>
      </c>
      <c r="X316">
        <v>241</v>
      </c>
      <c r="Y316">
        <v>230</v>
      </c>
      <c r="Z316" s="10" t="s">
        <v>245</v>
      </c>
    </row>
    <row r="317" spans="1:26" x14ac:dyDescent="0.4">
      <c r="A317" s="10">
        <v>316</v>
      </c>
      <c r="B317" s="10" t="s">
        <v>776</v>
      </c>
      <c r="C317" s="10" t="s">
        <v>244</v>
      </c>
      <c r="D317" s="10" t="s">
        <v>65</v>
      </c>
      <c r="E317" s="10" t="s">
        <v>67</v>
      </c>
      <c r="F317" s="10" t="s">
        <v>11</v>
      </c>
      <c r="G317" s="10" t="s">
        <v>27</v>
      </c>
      <c r="H317">
        <v>122</v>
      </c>
      <c r="I317">
        <v>135</v>
      </c>
      <c r="J317">
        <v>133</v>
      </c>
      <c r="K317">
        <v>133</v>
      </c>
      <c r="L317">
        <v>101</v>
      </c>
      <c r="M317">
        <v>115</v>
      </c>
      <c r="N317">
        <v>122</v>
      </c>
      <c r="O317">
        <v>116</v>
      </c>
      <c r="P317">
        <v>120</v>
      </c>
      <c r="Q317">
        <v>36</v>
      </c>
      <c r="R317">
        <v>523</v>
      </c>
      <c r="S317">
        <v>473</v>
      </c>
      <c r="T317">
        <v>1133</v>
      </c>
      <c r="U317">
        <v>223</v>
      </c>
      <c r="V317">
        <v>369</v>
      </c>
      <c r="W317">
        <v>133</v>
      </c>
      <c r="X317">
        <v>242</v>
      </c>
      <c r="Y317">
        <v>231</v>
      </c>
      <c r="Z317" s="10" t="s">
        <v>245</v>
      </c>
    </row>
    <row r="318" spans="1:26" x14ac:dyDescent="0.4">
      <c r="A318" s="10">
        <v>317</v>
      </c>
      <c r="B318" s="10" t="s">
        <v>61</v>
      </c>
      <c r="C318" s="10" t="s">
        <v>244</v>
      </c>
      <c r="D318" s="10" t="s">
        <v>58</v>
      </c>
      <c r="E318" s="10" t="s">
        <v>67</v>
      </c>
      <c r="F318" s="10" t="s">
        <v>11</v>
      </c>
      <c r="G318" s="10" t="s">
        <v>27</v>
      </c>
      <c r="H318">
        <v>123</v>
      </c>
      <c r="I318">
        <v>136</v>
      </c>
      <c r="J318">
        <v>138</v>
      </c>
      <c r="K318">
        <v>133</v>
      </c>
      <c r="L318">
        <v>101</v>
      </c>
      <c r="M318">
        <v>116</v>
      </c>
      <c r="N318">
        <v>122</v>
      </c>
      <c r="O318">
        <v>116</v>
      </c>
      <c r="P318">
        <v>121</v>
      </c>
      <c r="Q318">
        <v>36</v>
      </c>
      <c r="R318">
        <v>530</v>
      </c>
      <c r="S318">
        <v>475</v>
      </c>
      <c r="T318">
        <v>1142</v>
      </c>
      <c r="U318">
        <v>224</v>
      </c>
      <c r="V318">
        <v>370</v>
      </c>
      <c r="W318">
        <v>138</v>
      </c>
      <c r="X318">
        <v>243</v>
      </c>
      <c r="Y318">
        <v>232</v>
      </c>
      <c r="Z318" s="10" t="s">
        <v>245</v>
      </c>
    </row>
    <row r="319" spans="1:26" x14ac:dyDescent="0.4">
      <c r="A319" s="10">
        <v>318</v>
      </c>
      <c r="B319" s="10" t="s">
        <v>893</v>
      </c>
      <c r="C319" s="10" t="s">
        <v>244</v>
      </c>
      <c r="D319" s="10" t="s">
        <v>63</v>
      </c>
      <c r="E319" s="10" t="s">
        <v>67</v>
      </c>
      <c r="F319" s="10" t="s">
        <v>11</v>
      </c>
      <c r="G319" s="10" t="s">
        <v>27</v>
      </c>
      <c r="H319">
        <v>124</v>
      </c>
      <c r="I319">
        <v>137</v>
      </c>
      <c r="J319">
        <v>140</v>
      </c>
      <c r="K319">
        <v>135</v>
      </c>
      <c r="L319">
        <v>101</v>
      </c>
      <c r="M319">
        <v>117</v>
      </c>
      <c r="N319">
        <v>123</v>
      </c>
      <c r="O319">
        <v>117</v>
      </c>
      <c r="P319">
        <v>122</v>
      </c>
      <c r="Q319">
        <v>36</v>
      </c>
      <c r="R319">
        <v>536</v>
      </c>
      <c r="S319">
        <v>479</v>
      </c>
      <c r="T319">
        <v>1152</v>
      </c>
      <c r="U319">
        <v>225</v>
      </c>
      <c r="V319">
        <v>373</v>
      </c>
      <c r="W319">
        <v>140</v>
      </c>
      <c r="X319">
        <v>245</v>
      </c>
      <c r="Y319">
        <v>234</v>
      </c>
      <c r="Z319" s="10" t="s">
        <v>245</v>
      </c>
    </row>
    <row r="320" spans="1:26" x14ac:dyDescent="0.4">
      <c r="A320" s="10">
        <v>319</v>
      </c>
      <c r="B320" s="10" t="s">
        <v>964</v>
      </c>
      <c r="C320" s="10" t="s">
        <v>244</v>
      </c>
      <c r="D320" s="10" t="s">
        <v>65</v>
      </c>
      <c r="E320" s="10" t="s">
        <v>67</v>
      </c>
      <c r="F320" s="10" t="s">
        <v>11</v>
      </c>
      <c r="G320" s="10" t="s">
        <v>27</v>
      </c>
      <c r="H320">
        <v>125</v>
      </c>
      <c r="I320">
        <v>137</v>
      </c>
      <c r="J320">
        <v>139</v>
      </c>
      <c r="K320">
        <v>134</v>
      </c>
      <c r="L320">
        <v>101</v>
      </c>
      <c r="M320">
        <v>118</v>
      </c>
      <c r="N320">
        <v>123</v>
      </c>
      <c r="O320">
        <v>118</v>
      </c>
      <c r="P320">
        <v>122</v>
      </c>
      <c r="Q320">
        <v>36</v>
      </c>
      <c r="R320">
        <v>535</v>
      </c>
      <c r="S320">
        <v>481</v>
      </c>
      <c r="T320">
        <v>1153</v>
      </c>
      <c r="U320">
        <v>226</v>
      </c>
      <c r="V320">
        <v>372</v>
      </c>
      <c r="W320">
        <v>139</v>
      </c>
      <c r="X320">
        <v>245</v>
      </c>
      <c r="Y320">
        <v>236</v>
      </c>
      <c r="Z320" s="10" t="s">
        <v>245</v>
      </c>
    </row>
    <row r="321" spans="1:26" x14ac:dyDescent="0.4">
      <c r="A321" s="10">
        <v>320</v>
      </c>
      <c r="B321" s="10" t="s">
        <v>32</v>
      </c>
      <c r="C321" s="10" t="s">
        <v>246</v>
      </c>
      <c r="D321" s="10" t="s">
        <v>65</v>
      </c>
      <c r="E321" s="10" t="s">
        <v>81</v>
      </c>
      <c r="F321" s="10" t="s">
        <v>11</v>
      </c>
      <c r="G321" s="10" t="s">
        <v>27</v>
      </c>
      <c r="H321">
        <v>127</v>
      </c>
      <c r="I321">
        <v>120</v>
      </c>
      <c r="J321">
        <v>116</v>
      </c>
      <c r="K321">
        <v>121</v>
      </c>
      <c r="L321">
        <v>101</v>
      </c>
      <c r="M321">
        <v>123</v>
      </c>
      <c r="N321">
        <v>119</v>
      </c>
      <c r="O321">
        <v>122</v>
      </c>
      <c r="P321">
        <v>119</v>
      </c>
      <c r="Q321">
        <v>31</v>
      </c>
      <c r="R321">
        <v>484</v>
      </c>
      <c r="S321">
        <v>483</v>
      </c>
      <c r="T321">
        <v>1099</v>
      </c>
      <c r="U321">
        <v>228</v>
      </c>
      <c r="V321">
        <v>342</v>
      </c>
      <c r="W321">
        <v>116</v>
      </c>
      <c r="X321">
        <v>238</v>
      </c>
      <c r="Y321">
        <v>245</v>
      </c>
      <c r="Z321" s="10" t="s">
        <v>247</v>
      </c>
    </row>
    <row r="322" spans="1:26" x14ac:dyDescent="0.4">
      <c r="A322" s="10">
        <v>321</v>
      </c>
      <c r="B322" s="10" t="s">
        <v>298</v>
      </c>
      <c r="C322" s="10" t="s">
        <v>246</v>
      </c>
      <c r="D322" s="10" t="s">
        <v>65</v>
      </c>
      <c r="E322" s="10" t="s">
        <v>81</v>
      </c>
      <c r="F322" s="10" t="s">
        <v>11</v>
      </c>
      <c r="G322" s="10" t="s">
        <v>27</v>
      </c>
      <c r="H322">
        <v>130</v>
      </c>
      <c r="I322">
        <v>123</v>
      </c>
      <c r="J322">
        <v>117</v>
      </c>
      <c r="K322">
        <v>122</v>
      </c>
      <c r="L322">
        <v>101</v>
      </c>
      <c r="M322">
        <v>124</v>
      </c>
      <c r="N322">
        <v>120</v>
      </c>
      <c r="O322">
        <v>125</v>
      </c>
      <c r="P322">
        <v>120</v>
      </c>
      <c r="Q322">
        <v>31</v>
      </c>
      <c r="R322">
        <v>492</v>
      </c>
      <c r="S322">
        <v>489</v>
      </c>
      <c r="T322">
        <v>1113</v>
      </c>
      <c r="U322">
        <v>231</v>
      </c>
      <c r="V322">
        <v>346</v>
      </c>
      <c r="W322">
        <v>117</v>
      </c>
      <c r="X322">
        <v>240</v>
      </c>
      <c r="Y322">
        <v>249</v>
      </c>
      <c r="Z322" s="10" t="s">
        <v>247</v>
      </c>
    </row>
    <row r="323" spans="1:26" x14ac:dyDescent="0.4">
      <c r="A323" s="10">
        <v>322</v>
      </c>
      <c r="B323" s="10" t="s">
        <v>643</v>
      </c>
      <c r="C323" s="10" t="s">
        <v>246</v>
      </c>
      <c r="D323" s="10" t="s">
        <v>63</v>
      </c>
      <c r="E323" s="10" t="s">
        <v>81</v>
      </c>
      <c r="F323" s="10" t="s">
        <v>11</v>
      </c>
      <c r="G323" s="10" t="s">
        <v>27</v>
      </c>
      <c r="H323">
        <v>131</v>
      </c>
      <c r="I323">
        <v>121</v>
      </c>
      <c r="J323">
        <v>120</v>
      </c>
      <c r="K323">
        <v>120</v>
      </c>
      <c r="L323">
        <v>101</v>
      </c>
      <c r="M323">
        <v>122</v>
      </c>
      <c r="N323">
        <v>122</v>
      </c>
      <c r="O323">
        <v>125</v>
      </c>
      <c r="P323">
        <v>122</v>
      </c>
      <c r="Q323">
        <v>31</v>
      </c>
      <c r="R323">
        <v>492</v>
      </c>
      <c r="S323">
        <v>491</v>
      </c>
      <c r="T323">
        <v>1115</v>
      </c>
      <c r="U323">
        <v>232</v>
      </c>
      <c r="V323">
        <v>342</v>
      </c>
      <c r="W323">
        <v>120</v>
      </c>
      <c r="X323">
        <v>244</v>
      </c>
      <c r="Y323">
        <v>247</v>
      </c>
      <c r="Z323" s="10" t="s">
        <v>247</v>
      </c>
    </row>
    <row r="324" spans="1:26" x14ac:dyDescent="0.4">
      <c r="A324" s="10">
        <v>323</v>
      </c>
      <c r="B324" s="10" t="s">
        <v>741</v>
      </c>
      <c r="C324" s="10" t="s">
        <v>246</v>
      </c>
      <c r="D324" s="10" t="s">
        <v>65</v>
      </c>
      <c r="E324" s="10" t="s">
        <v>81</v>
      </c>
      <c r="F324" s="10" t="s">
        <v>11</v>
      </c>
      <c r="G324" s="10" t="s">
        <v>27</v>
      </c>
      <c r="H324">
        <v>133</v>
      </c>
      <c r="I324">
        <v>121</v>
      </c>
      <c r="J324">
        <v>116</v>
      </c>
      <c r="K324">
        <v>120</v>
      </c>
      <c r="L324">
        <v>101</v>
      </c>
      <c r="M324">
        <v>126</v>
      </c>
      <c r="N324">
        <v>121</v>
      </c>
      <c r="O324">
        <v>127</v>
      </c>
      <c r="P324">
        <v>120</v>
      </c>
      <c r="Q324">
        <v>31</v>
      </c>
      <c r="R324">
        <v>490</v>
      </c>
      <c r="S324">
        <v>494</v>
      </c>
      <c r="T324">
        <v>1116</v>
      </c>
      <c r="U324">
        <v>234</v>
      </c>
      <c r="V324">
        <v>342</v>
      </c>
      <c r="W324">
        <v>116</v>
      </c>
      <c r="X324">
        <v>241</v>
      </c>
      <c r="Y324">
        <v>253</v>
      </c>
      <c r="Z324" s="10" t="s">
        <v>247</v>
      </c>
    </row>
    <row r="325" spans="1:26" x14ac:dyDescent="0.4">
      <c r="A325" s="10">
        <v>324</v>
      </c>
      <c r="B325" s="10" t="s">
        <v>793</v>
      </c>
      <c r="C325" s="10" t="s">
        <v>246</v>
      </c>
      <c r="D325" s="10" t="s">
        <v>58</v>
      </c>
      <c r="E325" s="10" t="s">
        <v>81</v>
      </c>
      <c r="F325" s="10" t="s">
        <v>11</v>
      </c>
      <c r="G325" s="10" t="s">
        <v>27</v>
      </c>
      <c r="H325">
        <v>134</v>
      </c>
      <c r="I325">
        <v>124</v>
      </c>
      <c r="J325">
        <v>117</v>
      </c>
      <c r="K325">
        <v>122</v>
      </c>
      <c r="L325">
        <v>101</v>
      </c>
      <c r="M325">
        <v>125</v>
      </c>
      <c r="N325">
        <v>122</v>
      </c>
      <c r="O325">
        <v>127</v>
      </c>
      <c r="P325">
        <v>122</v>
      </c>
      <c r="Q325">
        <v>31</v>
      </c>
      <c r="R325">
        <v>497</v>
      </c>
      <c r="S325">
        <v>496</v>
      </c>
      <c r="T325">
        <v>1125</v>
      </c>
      <c r="U325">
        <v>235</v>
      </c>
      <c r="V325">
        <v>347</v>
      </c>
      <c r="W325">
        <v>117</v>
      </c>
      <c r="X325">
        <v>244</v>
      </c>
      <c r="Y325">
        <v>252</v>
      </c>
      <c r="Z325" s="10" t="s">
        <v>247</v>
      </c>
    </row>
    <row r="326" spans="1:26" x14ac:dyDescent="0.4">
      <c r="A326" s="10">
        <v>325</v>
      </c>
      <c r="B326" s="10" t="s">
        <v>61</v>
      </c>
      <c r="C326" s="10" t="s">
        <v>246</v>
      </c>
      <c r="D326" s="10" t="s">
        <v>63</v>
      </c>
      <c r="E326" s="10" t="s">
        <v>81</v>
      </c>
      <c r="F326" s="10" t="s">
        <v>11</v>
      </c>
      <c r="G326" s="10" t="s">
        <v>27</v>
      </c>
      <c r="H326">
        <v>131</v>
      </c>
      <c r="I326">
        <v>127</v>
      </c>
      <c r="J326">
        <v>117</v>
      </c>
      <c r="K326">
        <v>125</v>
      </c>
      <c r="L326">
        <v>101</v>
      </c>
      <c r="M326">
        <v>124</v>
      </c>
      <c r="N326">
        <v>122</v>
      </c>
      <c r="O326">
        <v>126</v>
      </c>
      <c r="P326">
        <v>123</v>
      </c>
      <c r="Q326">
        <v>31</v>
      </c>
      <c r="R326">
        <v>500</v>
      </c>
      <c r="S326">
        <v>495</v>
      </c>
      <c r="T326">
        <v>1127</v>
      </c>
      <c r="U326">
        <v>232</v>
      </c>
      <c r="V326">
        <v>353</v>
      </c>
      <c r="W326">
        <v>117</v>
      </c>
      <c r="X326">
        <v>245</v>
      </c>
      <c r="Y326">
        <v>250</v>
      </c>
      <c r="Z326" s="10" t="s">
        <v>247</v>
      </c>
    </row>
    <row r="327" spans="1:26" x14ac:dyDescent="0.4">
      <c r="A327" s="10">
        <v>326</v>
      </c>
      <c r="B327" s="10" t="s">
        <v>893</v>
      </c>
      <c r="C327" s="10" t="s">
        <v>246</v>
      </c>
      <c r="D327" s="10" t="s">
        <v>65</v>
      </c>
      <c r="E327" s="10" t="s">
        <v>81</v>
      </c>
      <c r="F327" s="10" t="s">
        <v>11</v>
      </c>
      <c r="G327" s="10" t="s">
        <v>27</v>
      </c>
      <c r="H327">
        <v>136</v>
      </c>
      <c r="I327">
        <v>125</v>
      </c>
      <c r="J327">
        <v>118</v>
      </c>
      <c r="K327">
        <v>123</v>
      </c>
      <c r="L327">
        <v>101</v>
      </c>
      <c r="M327">
        <v>126</v>
      </c>
      <c r="N327">
        <v>123</v>
      </c>
      <c r="O327">
        <v>129</v>
      </c>
      <c r="P327">
        <v>123</v>
      </c>
      <c r="Q327">
        <v>31</v>
      </c>
      <c r="R327">
        <v>502</v>
      </c>
      <c r="S327">
        <v>501</v>
      </c>
      <c r="T327">
        <v>1135</v>
      </c>
      <c r="U327">
        <v>237</v>
      </c>
      <c r="V327">
        <v>349</v>
      </c>
      <c r="W327">
        <v>118</v>
      </c>
      <c r="X327">
        <v>246</v>
      </c>
      <c r="Y327">
        <v>255</v>
      </c>
      <c r="Z327" s="10" t="s">
        <v>247</v>
      </c>
    </row>
    <row r="328" spans="1:26" x14ac:dyDescent="0.4">
      <c r="A328" s="10">
        <v>327</v>
      </c>
      <c r="B328" s="10" t="s">
        <v>964</v>
      </c>
      <c r="C328" s="10" t="s">
        <v>246</v>
      </c>
      <c r="D328" s="10" t="s">
        <v>58</v>
      </c>
      <c r="E328" s="10" t="s">
        <v>81</v>
      </c>
      <c r="F328" s="10" t="s">
        <v>11</v>
      </c>
      <c r="G328" s="10" t="s">
        <v>27</v>
      </c>
      <c r="H328">
        <v>132</v>
      </c>
      <c r="I328">
        <v>129</v>
      </c>
      <c r="J328">
        <v>119</v>
      </c>
      <c r="K328">
        <v>126</v>
      </c>
      <c r="L328">
        <v>101</v>
      </c>
      <c r="M328">
        <v>125</v>
      </c>
      <c r="N328">
        <v>123</v>
      </c>
      <c r="O328">
        <v>127</v>
      </c>
      <c r="P328">
        <v>124</v>
      </c>
      <c r="Q328">
        <v>31</v>
      </c>
      <c r="R328">
        <v>506</v>
      </c>
      <c r="S328">
        <v>499</v>
      </c>
      <c r="T328">
        <v>1137</v>
      </c>
      <c r="U328">
        <v>233</v>
      </c>
      <c r="V328">
        <v>356</v>
      </c>
      <c r="W328">
        <v>119</v>
      </c>
      <c r="X328">
        <v>247</v>
      </c>
      <c r="Y328">
        <v>252</v>
      </c>
      <c r="Z328" s="10" t="s">
        <v>247</v>
      </c>
    </row>
    <row r="329" spans="1:26" x14ac:dyDescent="0.4">
      <c r="A329" s="10">
        <v>328</v>
      </c>
      <c r="B329" s="10" t="s">
        <v>32</v>
      </c>
      <c r="C329" s="10" t="s">
        <v>248</v>
      </c>
      <c r="D329" s="10" t="s">
        <v>58</v>
      </c>
      <c r="E329" s="10" t="s">
        <v>59</v>
      </c>
      <c r="F329" s="10" t="s">
        <v>11</v>
      </c>
      <c r="G329" s="10" t="s">
        <v>27</v>
      </c>
      <c r="H329">
        <v>126</v>
      </c>
      <c r="I329">
        <v>118</v>
      </c>
      <c r="J329">
        <v>112</v>
      </c>
      <c r="K329">
        <v>121</v>
      </c>
      <c r="L329">
        <v>101</v>
      </c>
      <c r="M329">
        <v>128</v>
      </c>
      <c r="N329">
        <v>114</v>
      </c>
      <c r="O329">
        <v>117</v>
      </c>
      <c r="P329">
        <v>117</v>
      </c>
      <c r="Q329">
        <v>36</v>
      </c>
      <c r="R329">
        <v>477</v>
      </c>
      <c r="S329">
        <v>476</v>
      </c>
      <c r="T329">
        <v>1090</v>
      </c>
      <c r="U329">
        <v>227</v>
      </c>
      <c r="V329">
        <v>340</v>
      </c>
      <c r="W329">
        <v>112</v>
      </c>
      <c r="X329">
        <v>231</v>
      </c>
      <c r="Y329">
        <v>245</v>
      </c>
      <c r="Z329" s="10" t="s">
        <v>249</v>
      </c>
    </row>
    <row r="330" spans="1:26" x14ac:dyDescent="0.4">
      <c r="A330" s="10">
        <v>329</v>
      </c>
      <c r="B330" s="10" t="s">
        <v>142</v>
      </c>
      <c r="C330" s="10" t="s">
        <v>248</v>
      </c>
      <c r="D330" s="10" t="s">
        <v>63</v>
      </c>
      <c r="E330" s="10" t="s">
        <v>59</v>
      </c>
      <c r="F330" s="10" t="s">
        <v>11</v>
      </c>
      <c r="G330" s="10" t="s">
        <v>27</v>
      </c>
      <c r="H330">
        <v>129</v>
      </c>
      <c r="I330">
        <v>119</v>
      </c>
      <c r="J330">
        <v>113</v>
      </c>
      <c r="K330">
        <v>122</v>
      </c>
      <c r="L330">
        <v>101</v>
      </c>
      <c r="M330">
        <v>131</v>
      </c>
      <c r="N330">
        <v>115</v>
      </c>
      <c r="O330">
        <v>120</v>
      </c>
      <c r="P330">
        <v>118</v>
      </c>
      <c r="Q330">
        <v>36</v>
      </c>
      <c r="R330">
        <v>483</v>
      </c>
      <c r="S330">
        <v>484</v>
      </c>
      <c r="T330">
        <v>1104</v>
      </c>
      <c r="U330">
        <v>230</v>
      </c>
      <c r="V330">
        <v>342</v>
      </c>
      <c r="W330">
        <v>113</v>
      </c>
      <c r="X330">
        <v>233</v>
      </c>
      <c r="Y330">
        <v>251</v>
      </c>
      <c r="Z330" s="10" t="s">
        <v>249</v>
      </c>
    </row>
    <row r="331" spans="1:26" x14ac:dyDescent="0.4">
      <c r="A331" s="10">
        <v>330</v>
      </c>
      <c r="B331" s="10" t="s">
        <v>574</v>
      </c>
      <c r="C331" s="10" t="s">
        <v>248</v>
      </c>
      <c r="D331" s="10" t="s">
        <v>65</v>
      </c>
      <c r="E331" s="10" t="s">
        <v>59</v>
      </c>
      <c r="F331" s="10" t="s">
        <v>11</v>
      </c>
      <c r="G331" s="10" t="s">
        <v>27</v>
      </c>
      <c r="H331">
        <v>131</v>
      </c>
      <c r="I331">
        <v>117</v>
      </c>
      <c r="J331">
        <v>111</v>
      </c>
      <c r="K331">
        <v>120</v>
      </c>
      <c r="L331">
        <v>101</v>
      </c>
      <c r="M331">
        <v>134</v>
      </c>
      <c r="N331">
        <v>115</v>
      </c>
      <c r="O331">
        <v>122</v>
      </c>
      <c r="P331">
        <v>118</v>
      </c>
      <c r="Q331">
        <v>36</v>
      </c>
      <c r="R331">
        <v>479</v>
      </c>
      <c r="S331">
        <v>489</v>
      </c>
      <c r="T331">
        <v>1105</v>
      </c>
      <c r="U331">
        <v>232</v>
      </c>
      <c r="V331">
        <v>338</v>
      </c>
      <c r="W331">
        <v>111</v>
      </c>
      <c r="X331">
        <v>233</v>
      </c>
      <c r="Y331">
        <v>256</v>
      </c>
      <c r="Z331" s="10" t="s">
        <v>249</v>
      </c>
    </row>
    <row r="332" spans="1:26" x14ac:dyDescent="0.4">
      <c r="A332" s="10">
        <v>331</v>
      </c>
      <c r="B332" s="10" t="s">
        <v>724</v>
      </c>
      <c r="C332" s="10" t="s">
        <v>248</v>
      </c>
      <c r="D332" s="10" t="s">
        <v>58</v>
      </c>
      <c r="E332" s="10" t="s">
        <v>59</v>
      </c>
      <c r="F332" s="10" t="s">
        <v>11</v>
      </c>
      <c r="G332" s="10" t="s">
        <v>27</v>
      </c>
      <c r="H332">
        <v>132</v>
      </c>
      <c r="I332">
        <v>122</v>
      </c>
      <c r="J332">
        <v>113</v>
      </c>
      <c r="K332">
        <v>124</v>
      </c>
      <c r="L332">
        <v>101</v>
      </c>
      <c r="M332">
        <v>129</v>
      </c>
      <c r="N332">
        <v>113</v>
      </c>
      <c r="O332">
        <v>120</v>
      </c>
      <c r="P332">
        <v>116</v>
      </c>
      <c r="Q332">
        <v>36</v>
      </c>
      <c r="R332">
        <v>491</v>
      </c>
      <c r="S332">
        <v>478</v>
      </c>
      <c r="T332">
        <v>1106</v>
      </c>
      <c r="U332">
        <v>233</v>
      </c>
      <c r="V332">
        <v>347</v>
      </c>
      <c r="W332">
        <v>113</v>
      </c>
      <c r="X332">
        <v>229</v>
      </c>
      <c r="Y332">
        <v>249</v>
      </c>
      <c r="Z332" s="10" t="s">
        <v>249</v>
      </c>
    </row>
    <row r="333" spans="1:26" x14ac:dyDescent="0.4">
      <c r="A333" s="10">
        <v>332</v>
      </c>
      <c r="B333" s="10" t="s">
        <v>785</v>
      </c>
      <c r="C333" s="10" t="s">
        <v>248</v>
      </c>
      <c r="D333" s="10" t="s">
        <v>63</v>
      </c>
      <c r="E333" s="10" t="s">
        <v>59</v>
      </c>
      <c r="F333" s="10" t="s">
        <v>11</v>
      </c>
      <c r="G333" s="10" t="s">
        <v>27</v>
      </c>
      <c r="H333">
        <v>131</v>
      </c>
      <c r="I333">
        <v>119</v>
      </c>
      <c r="J333">
        <v>114</v>
      </c>
      <c r="K333">
        <v>122</v>
      </c>
      <c r="L333">
        <v>101</v>
      </c>
      <c r="M333">
        <v>134</v>
      </c>
      <c r="N333">
        <v>116</v>
      </c>
      <c r="O333">
        <v>122</v>
      </c>
      <c r="P333">
        <v>119</v>
      </c>
      <c r="Q333">
        <v>36</v>
      </c>
      <c r="R333">
        <v>486</v>
      </c>
      <c r="S333">
        <v>491</v>
      </c>
      <c r="T333">
        <v>1114</v>
      </c>
      <c r="U333">
        <v>232</v>
      </c>
      <c r="V333">
        <v>342</v>
      </c>
      <c r="W333">
        <v>114</v>
      </c>
      <c r="X333">
        <v>235</v>
      </c>
      <c r="Y333">
        <v>256</v>
      </c>
      <c r="Z333" s="10" t="s">
        <v>249</v>
      </c>
    </row>
    <row r="334" spans="1:26" x14ac:dyDescent="0.4">
      <c r="A334" s="10">
        <v>333</v>
      </c>
      <c r="B334" s="10" t="s">
        <v>61</v>
      </c>
      <c r="C334" s="10" t="s">
        <v>248</v>
      </c>
      <c r="D334" s="10" t="s">
        <v>65</v>
      </c>
      <c r="E334" s="10" t="s">
        <v>59</v>
      </c>
      <c r="F334" s="10" t="s">
        <v>11</v>
      </c>
      <c r="G334" s="10" t="s">
        <v>27</v>
      </c>
      <c r="H334">
        <v>130</v>
      </c>
      <c r="I334">
        <v>122</v>
      </c>
      <c r="J334">
        <v>113</v>
      </c>
      <c r="K334">
        <v>125</v>
      </c>
      <c r="L334">
        <v>101</v>
      </c>
      <c r="M334">
        <v>131</v>
      </c>
      <c r="N334">
        <v>117</v>
      </c>
      <c r="O334">
        <v>121</v>
      </c>
      <c r="P334">
        <v>120</v>
      </c>
      <c r="Q334">
        <v>36</v>
      </c>
      <c r="R334">
        <v>490</v>
      </c>
      <c r="S334">
        <v>489</v>
      </c>
      <c r="T334">
        <v>1116</v>
      </c>
      <c r="U334">
        <v>231</v>
      </c>
      <c r="V334">
        <v>348</v>
      </c>
      <c r="W334">
        <v>113</v>
      </c>
      <c r="X334">
        <v>237</v>
      </c>
      <c r="Y334">
        <v>252</v>
      </c>
      <c r="Z334" s="10" t="s">
        <v>249</v>
      </c>
    </row>
    <row r="335" spans="1:26" x14ac:dyDescent="0.4">
      <c r="A335" s="10">
        <v>334</v>
      </c>
      <c r="B335" s="10" t="s">
        <v>865</v>
      </c>
      <c r="C335" s="10" t="s">
        <v>248</v>
      </c>
      <c r="D335" s="10" t="s">
        <v>58</v>
      </c>
      <c r="E335" s="10" t="s">
        <v>59</v>
      </c>
      <c r="F335" s="10" t="s">
        <v>11</v>
      </c>
      <c r="G335" s="10" t="s">
        <v>27</v>
      </c>
      <c r="H335">
        <v>132</v>
      </c>
      <c r="I335">
        <v>120</v>
      </c>
      <c r="J335">
        <v>115</v>
      </c>
      <c r="K335">
        <v>123</v>
      </c>
      <c r="L335">
        <v>101</v>
      </c>
      <c r="M335">
        <v>136</v>
      </c>
      <c r="N335">
        <v>117</v>
      </c>
      <c r="O335">
        <v>124</v>
      </c>
      <c r="P335">
        <v>120</v>
      </c>
      <c r="Q335">
        <v>36</v>
      </c>
      <c r="R335">
        <v>490</v>
      </c>
      <c r="S335">
        <v>497</v>
      </c>
      <c r="T335">
        <v>1124</v>
      </c>
      <c r="U335">
        <v>233</v>
      </c>
      <c r="V335">
        <v>344</v>
      </c>
      <c r="W335">
        <v>115</v>
      </c>
      <c r="X335">
        <v>237</v>
      </c>
      <c r="Y335">
        <v>260</v>
      </c>
      <c r="Z335" s="10" t="s">
        <v>249</v>
      </c>
    </row>
    <row r="336" spans="1:26" x14ac:dyDescent="0.4">
      <c r="A336" s="10">
        <v>335</v>
      </c>
      <c r="B336" s="10" t="s">
        <v>893</v>
      </c>
      <c r="C336" s="10" t="s">
        <v>248</v>
      </c>
      <c r="D336" s="10" t="s">
        <v>63</v>
      </c>
      <c r="E336" s="10" t="s">
        <v>59</v>
      </c>
      <c r="F336" s="10" t="s">
        <v>11</v>
      </c>
      <c r="G336" s="10" t="s">
        <v>27</v>
      </c>
      <c r="H336">
        <v>134</v>
      </c>
      <c r="I336">
        <v>120</v>
      </c>
      <c r="J336">
        <v>115</v>
      </c>
      <c r="K336">
        <v>123</v>
      </c>
      <c r="L336">
        <v>101</v>
      </c>
      <c r="M336">
        <v>135</v>
      </c>
      <c r="N336">
        <v>117</v>
      </c>
      <c r="O336">
        <v>124</v>
      </c>
      <c r="P336">
        <v>120</v>
      </c>
      <c r="Q336">
        <v>36</v>
      </c>
      <c r="R336">
        <v>492</v>
      </c>
      <c r="S336">
        <v>496</v>
      </c>
      <c r="T336">
        <v>1125</v>
      </c>
      <c r="U336">
        <v>235</v>
      </c>
      <c r="V336">
        <v>344</v>
      </c>
      <c r="W336">
        <v>115</v>
      </c>
      <c r="X336">
        <v>237</v>
      </c>
      <c r="Y336">
        <v>259</v>
      </c>
      <c r="Z336" s="10" t="s">
        <v>249</v>
      </c>
    </row>
    <row r="337" spans="1:26" x14ac:dyDescent="0.4">
      <c r="A337" s="10">
        <v>336</v>
      </c>
      <c r="B337" s="10" t="s">
        <v>32</v>
      </c>
      <c r="C337" s="10" t="s">
        <v>250</v>
      </c>
      <c r="D337" s="10" t="s">
        <v>58</v>
      </c>
      <c r="E337" s="10" t="s">
        <v>81</v>
      </c>
      <c r="F337" s="10" t="s">
        <v>11</v>
      </c>
      <c r="G337" s="10" t="s">
        <v>27</v>
      </c>
      <c r="H337">
        <v>125</v>
      </c>
      <c r="I337">
        <v>119</v>
      </c>
      <c r="J337">
        <v>115</v>
      </c>
      <c r="K337">
        <v>119</v>
      </c>
      <c r="L337">
        <v>97</v>
      </c>
      <c r="M337">
        <v>118</v>
      </c>
      <c r="N337">
        <v>121</v>
      </c>
      <c r="O337">
        <v>120</v>
      </c>
      <c r="P337">
        <v>121</v>
      </c>
      <c r="Q337">
        <v>36</v>
      </c>
      <c r="R337">
        <v>478</v>
      </c>
      <c r="S337">
        <v>480</v>
      </c>
      <c r="T337">
        <v>1091</v>
      </c>
      <c r="U337">
        <v>222</v>
      </c>
      <c r="V337">
        <v>335</v>
      </c>
      <c r="W337">
        <v>115</v>
      </c>
      <c r="X337">
        <v>242</v>
      </c>
      <c r="Y337">
        <v>238</v>
      </c>
      <c r="Z337" s="10" t="s">
        <v>251</v>
      </c>
    </row>
    <row r="338" spans="1:26" x14ac:dyDescent="0.4">
      <c r="A338" s="10">
        <v>337</v>
      </c>
      <c r="B338" s="10" t="s">
        <v>69</v>
      </c>
      <c r="C338" s="10" t="s">
        <v>250</v>
      </c>
      <c r="D338" s="10" t="s">
        <v>63</v>
      </c>
      <c r="E338" s="10" t="s">
        <v>81</v>
      </c>
      <c r="F338" s="10" t="s">
        <v>11</v>
      </c>
      <c r="G338" s="10" t="s">
        <v>27</v>
      </c>
      <c r="H338">
        <v>128</v>
      </c>
      <c r="I338">
        <v>122</v>
      </c>
      <c r="J338">
        <v>116</v>
      </c>
      <c r="K338">
        <v>120</v>
      </c>
      <c r="L338">
        <v>97</v>
      </c>
      <c r="M338">
        <v>119</v>
      </c>
      <c r="N338">
        <v>122</v>
      </c>
      <c r="O338">
        <v>123</v>
      </c>
      <c r="P338">
        <v>122</v>
      </c>
      <c r="Q338">
        <v>36</v>
      </c>
      <c r="R338">
        <v>486</v>
      </c>
      <c r="S338">
        <v>486</v>
      </c>
      <c r="T338">
        <v>1105</v>
      </c>
      <c r="U338">
        <v>225</v>
      </c>
      <c r="V338">
        <v>339</v>
      </c>
      <c r="W338">
        <v>116</v>
      </c>
      <c r="X338">
        <v>244</v>
      </c>
      <c r="Y338">
        <v>242</v>
      </c>
      <c r="Z338" s="10" t="s">
        <v>251</v>
      </c>
    </row>
    <row r="339" spans="1:26" x14ac:dyDescent="0.4">
      <c r="A339" s="10">
        <v>338</v>
      </c>
      <c r="B339" s="10" t="s">
        <v>635</v>
      </c>
      <c r="C339" s="10" t="s">
        <v>250</v>
      </c>
      <c r="D339" s="10" t="s">
        <v>65</v>
      </c>
      <c r="E339" s="10" t="s">
        <v>81</v>
      </c>
      <c r="F339" s="10" t="s">
        <v>11</v>
      </c>
      <c r="G339" s="10" t="s">
        <v>27</v>
      </c>
      <c r="H339">
        <v>128</v>
      </c>
      <c r="I339">
        <v>125</v>
      </c>
      <c r="J339">
        <v>114</v>
      </c>
      <c r="K339">
        <v>122</v>
      </c>
      <c r="L339">
        <v>97</v>
      </c>
      <c r="M339">
        <v>117</v>
      </c>
      <c r="N339">
        <v>124</v>
      </c>
      <c r="O339">
        <v>121</v>
      </c>
      <c r="P339">
        <v>122</v>
      </c>
      <c r="Q339">
        <v>36</v>
      </c>
      <c r="R339">
        <v>489</v>
      </c>
      <c r="S339">
        <v>484</v>
      </c>
      <c r="T339">
        <v>1106</v>
      </c>
      <c r="U339">
        <v>225</v>
      </c>
      <c r="V339">
        <v>344</v>
      </c>
      <c r="W339">
        <v>114</v>
      </c>
      <c r="X339">
        <v>246</v>
      </c>
      <c r="Y339">
        <v>238</v>
      </c>
      <c r="Z339" s="10" t="s">
        <v>251</v>
      </c>
    </row>
    <row r="340" spans="1:26" x14ac:dyDescent="0.4">
      <c r="A340" s="10">
        <v>339</v>
      </c>
      <c r="B340" s="10" t="s">
        <v>714</v>
      </c>
      <c r="C340" s="10" t="s">
        <v>250</v>
      </c>
      <c r="D340" s="10" t="s">
        <v>58</v>
      </c>
      <c r="E340" s="10" t="s">
        <v>81</v>
      </c>
      <c r="F340" s="10" t="s">
        <v>11</v>
      </c>
      <c r="G340" s="10" t="s">
        <v>27</v>
      </c>
      <c r="H340">
        <v>131</v>
      </c>
      <c r="I340">
        <v>120</v>
      </c>
      <c r="J340">
        <v>115</v>
      </c>
      <c r="K340">
        <v>118</v>
      </c>
      <c r="L340">
        <v>97</v>
      </c>
      <c r="M340">
        <v>119</v>
      </c>
      <c r="N340">
        <v>124</v>
      </c>
      <c r="O340">
        <v>123</v>
      </c>
      <c r="P340">
        <v>124</v>
      </c>
      <c r="Q340">
        <v>36</v>
      </c>
      <c r="R340">
        <v>484</v>
      </c>
      <c r="S340">
        <v>490</v>
      </c>
      <c r="T340">
        <v>1107</v>
      </c>
      <c r="U340">
        <v>228</v>
      </c>
      <c r="V340">
        <v>335</v>
      </c>
      <c r="W340">
        <v>115</v>
      </c>
      <c r="X340">
        <v>248</v>
      </c>
      <c r="Y340">
        <v>242</v>
      </c>
      <c r="Z340" s="10" t="s">
        <v>251</v>
      </c>
    </row>
    <row r="341" spans="1:26" x14ac:dyDescent="0.4">
      <c r="A341" s="10">
        <v>340</v>
      </c>
      <c r="B341" s="10" t="s">
        <v>763</v>
      </c>
      <c r="C341" s="10" t="s">
        <v>250</v>
      </c>
      <c r="D341" s="10" t="s">
        <v>63</v>
      </c>
      <c r="E341" s="10" t="s">
        <v>81</v>
      </c>
      <c r="F341" s="10" t="s">
        <v>11</v>
      </c>
      <c r="G341" s="10" t="s">
        <v>27</v>
      </c>
      <c r="H341">
        <v>131</v>
      </c>
      <c r="I341">
        <v>122</v>
      </c>
      <c r="J341">
        <v>117</v>
      </c>
      <c r="K341">
        <v>120</v>
      </c>
      <c r="L341">
        <v>97</v>
      </c>
      <c r="M341">
        <v>121</v>
      </c>
      <c r="N341">
        <v>123</v>
      </c>
      <c r="O341">
        <v>125</v>
      </c>
      <c r="P341">
        <v>123</v>
      </c>
      <c r="Q341">
        <v>36</v>
      </c>
      <c r="R341">
        <v>490</v>
      </c>
      <c r="S341">
        <v>492</v>
      </c>
      <c r="T341">
        <v>1115</v>
      </c>
      <c r="U341">
        <v>228</v>
      </c>
      <c r="V341">
        <v>339</v>
      </c>
      <c r="W341">
        <v>117</v>
      </c>
      <c r="X341">
        <v>246</v>
      </c>
      <c r="Y341">
        <v>246</v>
      </c>
      <c r="Z341" s="10" t="s">
        <v>251</v>
      </c>
    </row>
    <row r="342" spans="1:26" x14ac:dyDescent="0.4">
      <c r="A342" s="10">
        <v>341</v>
      </c>
      <c r="B342" s="10" t="s">
        <v>61</v>
      </c>
      <c r="C342" s="10" t="s">
        <v>250</v>
      </c>
      <c r="D342" s="10" t="s">
        <v>65</v>
      </c>
      <c r="E342" s="10" t="s">
        <v>81</v>
      </c>
      <c r="F342" s="10" t="s">
        <v>11</v>
      </c>
      <c r="G342" s="10" t="s">
        <v>27</v>
      </c>
      <c r="H342">
        <v>129</v>
      </c>
      <c r="I342">
        <v>125</v>
      </c>
      <c r="J342">
        <v>116</v>
      </c>
      <c r="K342">
        <v>123</v>
      </c>
      <c r="L342">
        <v>97</v>
      </c>
      <c r="M342">
        <v>119</v>
      </c>
      <c r="N342">
        <v>124</v>
      </c>
      <c r="O342">
        <v>124</v>
      </c>
      <c r="P342">
        <v>124</v>
      </c>
      <c r="Q342">
        <v>36</v>
      </c>
      <c r="R342">
        <v>493</v>
      </c>
      <c r="S342">
        <v>491</v>
      </c>
      <c r="T342">
        <v>1117</v>
      </c>
      <c r="U342">
        <v>226</v>
      </c>
      <c r="V342">
        <v>345</v>
      </c>
      <c r="W342">
        <v>116</v>
      </c>
      <c r="X342">
        <v>248</v>
      </c>
      <c r="Y342">
        <v>243</v>
      </c>
      <c r="Z342" s="10" t="s">
        <v>251</v>
      </c>
    </row>
    <row r="343" spans="1:26" x14ac:dyDescent="0.4">
      <c r="A343" s="10">
        <v>342</v>
      </c>
      <c r="B343" s="10" t="s">
        <v>875</v>
      </c>
      <c r="C343" s="10" t="s">
        <v>250</v>
      </c>
      <c r="D343" s="10" t="s">
        <v>58</v>
      </c>
      <c r="E343" s="10" t="s">
        <v>81</v>
      </c>
      <c r="F343" s="10" t="s">
        <v>11</v>
      </c>
      <c r="G343" s="10" t="s">
        <v>27</v>
      </c>
      <c r="H343">
        <v>133</v>
      </c>
      <c r="I343">
        <v>123</v>
      </c>
      <c r="J343">
        <v>118</v>
      </c>
      <c r="K343">
        <v>121</v>
      </c>
      <c r="L343">
        <v>97</v>
      </c>
      <c r="M343">
        <v>122</v>
      </c>
      <c r="N343">
        <v>124</v>
      </c>
      <c r="O343">
        <v>127</v>
      </c>
      <c r="P343">
        <v>124</v>
      </c>
      <c r="Q343">
        <v>36</v>
      </c>
      <c r="R343">
        <v>495</v>
      </c>
      <c r="S343">
        <v>497</v>
      </c>
      <c r="T343">
        <v>1125</v>
      </c>
      <c r="U343">
        <v>230</v>
      </c>
      <c r="V343">
        <v>341</v>
      </c>
      <c r="W343">
        <v>118</v>
      </c>
      <c r="X343">
        <v>248</v>
      </c>
      <c r="Y343">
        <v>249</v>
      </c>
      <c r="Z343" s="10" t="s">
        <v>251</v>
      </c>
    </row>
    <row r="344" spans="1:26" x14ac:dyDescent="0.4">
      <c r="A344" s="10">
        <v>343</v>
      </c>
      <c r="B344" s="10" t="s">
        <v>964</v>
      </c>
      <c r="C344" s="10" t="s">
        <v>250</v>
      </c>
      <c r="D344" s="10" t="s">
        <v>63</v>
      </c>
      <c r="E344" s="10" t="s">
        <v>81</v>
      </c>
      <c r="F344" s="10" t="s">
        <v>11</v>
      </c>
      <c r="G344" s="10" t="s">
        <v>27</v>
      </c>
      <c r="H344">
        <v>130</v>
      </c>
      <c r="I344">
        <v>127</v>
      </c>
      <c r="J344">
        <v>117</v>
      </c>
      <c r="K344">
        <v>125</v>
      </c>
      <c r="L344">
        <v>97</v>
      </c>
      <c r="M344">
        <v>120</v>
      </c>
      <c r="N344">
        <v>125</v>
      </c>
      <c r="O344">
        <v>125</v>
      </c>
      <c r="P344">
        <v>125</v>
      </c>
      <c r="Q344">
        <v>36</v>
      </c>
      <c r="R344">
        <v>499</v>
      </c>
      <c r="S344">
        <v>495</v>
      </c>
      <c r="T344">
        <v>1127</v>
      </c>
      <c r="U344">
        <v>227</v>
      </c>
      <c r="V344">
        <v>349</v>
      </c>
      <c r="W344">
        <v>117</v>
      </c>
      <c r="X344">
        <v>250</v>
      </c>
      <c r="Y344">
        <v>245</v>
      </c>
      <c r="Z344" s="10" t="s">
        <v>251</v>
      </c>
    </row>
    <row r="345" spans="1:26" x14ac:dyDescent="0.4">
      <c r="A345" s="10">
        <v>344</v>
      </c>
      <c r="B345" s="10" t="s">
        <v>32</v>
      </c>
      <c r="C345" s="10" t="s">
        <v>252</v>
      </c>
      <c r="D345" s="10" t="s">
        <v>58</v>
      </c>
      <c r="E345" s="10" t="s">
        <v>81</v>
      </c>
      <c r="F345" s="10" t="s">
        <v>11</v>
      </c>
      <c r="G345" s="10" t="s">
        <v>27</v>
      </c>
      <c r="H345">
        <v>127</v>
      </c>
      <c r="I345">
        <v>122</v>
      </c>
      <c r="J345">
        <v>113</v>
      </c>
      <c r="K345">
        <v>117</v>
      </c>
      <c r="L345">
        <v>101</v>
      </c>
      <c r="M345">
        <v>117</v>
      </c>
      <c r="N345">
        <v>115</v>
      </c>
      <c r="O345">
        <v>120</v>
      </c>
      <c r="P345">
        <v>115</v>
      </c>
      <c r="Q345">
        <v>31</v>
      </c>
      <c r="R345">
        <v>479</v>
      </c>
      <c r="S345">
        <v>467</v>
      </c>
      <c r="T345">
        <v>1078</v>
      </c>
      <c r="U345">
        <v>228</v>
      </c>
      <c r="V345">
        <v>340</v>
      </c>
      <c r="W345">
        <v>113</v>
      </c>
      <c r="X345">
        <v>230</v>
      </c>
      <c r="Y345">
        <v>237</v>
      </c>
      <c r="Z345" s="10" t="s">
        <v>253</v>
      </c>
    </row>
    <row r="346" spans="1:26" x14ac:dyDescent="0.4">
      <c r="A346" s="10">
        <v>345</v>
      </c>
      <c r="B346" s="10" t="s">
        <v>76</v>
      </c>
      <c r="C346" s="10" t="s">
        <v>252</v>
      </c>
      <c r="D346" s="10" t="s">
        <v>58</v>
      </c>
      <c r="E346" s="10" t="s">
        <v>81</v>
      </c>
      <c r="F346" s="10" t="s">
        <v>11</v>
      </c>
      <c r="G346" s="10" t="s">
        <v>27</v>
      </c>
      <c r="H346">
        <v>130</v>
      </c>
      <c r="I346">
        <v>125</v>
      </c>
      <c r="J346">
        <v>114</v>
      </c>
      <c r="K346">
        <v>118</v>
      </c>
      <c r="L346">
        <v>101</v>
      </c>
      <c r="M346">
        <v>118</v>
      </c>
      <c r="N346">
        <v>116</v>
      </c>
      <c r="O346">
        <v>123</v>
      </c>
      <c r="P346">
        <v>116</v>
      </c>
      <c r="Q346">
        <v>31</v>
      </c>
      <c r="R346">
        <v>487</v>
      </c>
      <c r="S346">
        <v>473</v>
      </c>
      <c r="T346">
        <v>1092</v>
      </c>
      <c r="U346">
        <v>231</v>
      </c>
      <c r="V346">
        <v>344</v>
      </c>
      <c r="W346">
        <v>114</v>
      </c>
      <c r="X346">
        <v>232</v>
      </c>
      <c r="Y346">
        <v>241</v>
      </c>
      <c r="Z346" s="10" t="s">
        <v>253</v>
      </c>
    </row>
    <row r="347" spans="1:26" x14ac:dyDescent="0.4">
      <c r="A347" s="10">
        <v>346</v>
      </c>
      <c r="B347" s="10" t="s">
        <v>793</v>
      </c>
      <c r="C347" s="10" t="s">
        <v>252</v>
      </c>
      <c r="D347" s="10" t="s">
        <v>63</v>
      </c>
      <c r="E347" s="10" t="s">
        <v>81</v>
      </c>
      <c r="F347" s="10" t="s">
        <v>11</v>
      </c>
      <c r="G347" s="10" t="s">
        <v>27</v>
      </c>
      <c r="H347">
        <v>130</v>
      </c>
      <c r="I347">
        <v>128</v>
      </c>
      <c r="J347">
        <v>112</v>
      </c>
      <c r="K347">
        <v>120</v>
      </c>
      <c r="L347">
        <v>101</v>
      </c>
      <c r="M347">
        <v>116</v>
      </c>
      <c r="N347">
        <v>118</v>
      </c>
      <c r="O347">
        <v>121</v>
      </c>
      <c r="P347">
        <v>116</v>
      </c>
      <c r="Q347">
        <v>31</v>
      </c>
      <c r="R347">
        <v>490</v>
      </c>
      <c r="S347">
        <v>471</v>
      </c>
      <c r="T347">
        <v>1093</v>
      </c>
      <c r="U347">
        <v>231</v>
      </c>
      <c r="V347">
        <v>349</v>
      </c>
      <c r="W347">
        <v>112</v>
      </c>
      <c r="X347">
        <v>234</v>
      </c>
      <c r="Y347">
        <v>237</v>
      </c>
      <c r="Z347" s="10" t="s">
        <v>253</v>
      </c>
    </row>
    <row r="348" spans="1:26" x14ac:dyDescent="0.4">
      <c r="A348" s="10">
        <v>347</v>
      </c>
      <c r="B348" s="10" t="s">
        <v>32</v>
      </c>
      <c r="C348" s="10" t="s">
        <v>254</v>
      </c>
      <c r="D348" s="10" t="s">
        <v>58</v>
      </c>
      <c r="E348" s="10" t="s">
        <v>78</v>
      </c>
      <c r="F348" s="10" t="s">
        <v>11</v>
      </c>
      <c r="G348" s="10" t="s">
        <v>27</v>
      </c>
      <c r="H348">
        <v>116</v>
      </c>
      <c r="I348">
        <v>110</v>
      </c>
      <c r="J348">
        <v>116</v>
      </c>
      <c r="K348">
        <v>122</v>
      </c>
      <c r="L348">
        <v>101</v>
      </c>
      <c r="M348">
        <v>110</v>
      </c>
      <c r="N348">
        <v>124</v>
      </c>
      <c r="O348">
        <v>118</v>
      </c>
      <c r="P348">
        <v>122</v>
      </c>
      <c r="Q348">
        <v>41</v>
      </c>
      <c r="R348">
        <v>464</v>
      </c>
      <c r="S348">
        <v>474</v>
      </c>
      <c r="T348">
        <v>1080</v>
      </c>
      <c r="U348">
        <v>217</v>
      </c>
      <c r="V348">
        <v>333</v>
      </c>
      <c r="W348">
        <v>116</v>
      </c>
      <c r="X348">
        <v>246</v>
      </c>
      <c r="Y348">
        <v>228</v>
      </c>
      <c r="Z348" s="10" t="s">
        <v>255</v>
      </c>
    </row>
    <row r="349" spans="1:26" x14ac:dyDescent="0.4">
      <c r="A349" s="10">
        <v>348</v>
      </c>
      <c r="B349" s="10" t="s">
        <v>693</v>
      </c>
      <c r="C349" s="10" t="s">
        <v>254</v>
      </c>
      <c r="D349" s="10" t="s">
        <v>63</v>
      </c>
      <c r="E349" s="10" t="s">
        <v>78</v>
      </c>
      <c r="F349" s="10" t="s">
        <v>11</v>
      </c>
      <c r="G349" s="10" t="s">
        <v>27</v>
      </c>
      <c r="H349">
        <v>117</v>
      </c>
      <c r="I349">
        <v>111</v>
      </c>
      <c r="J349">
        <v>119</v>
      </c>
      <c r="K349">
        <v>123</v>
      </c>
      <c r="L349">
        <v>101</v>
      </c>
      <c r="M349">
        <v>111</v>
      </c>
      <c r="N349">
        <v>127</v>
      </c>
      <c r="O349">
        <v>119</v>
      </c>
      <c r="P349">
        <v>125</v>
      </c>
      <c r="Q349">
        <v>41</v>
      </c>
      <c r="R349">
        <v>470</v>
      </c>
      <c r="S349">
        <v>482</v>
      </c>
      <c r="T349">
        <v>1094</v>
      </c>
      <c r="U349">
        <v>218</v>
      </c>
      <c r="V349">
        <v>335</v>
      </c>
      <c r="W349">
        <v>119</v>
      </c>
      <c r="X349">
        <v>252</v>
      </c>
      <c r="Y349">
        <v>230</v>
      </c>
      <c r="Z349" s="10" t="s">
        <v>255</v>
      </c>
    </row>
    <row r="350" spans="1:26" x14ac:dyDescent="0.4">
      <c r="A350" s="10">
        <v>349</v>
      </c>
      <c r="B350" s="10" t="s">
        <v>32</v>
      </c>
      <c r="C350" s="10" t="s">
        <v>256</v>
      </c>
      <c r="D350" s="10" t="s">
        <v>58</v>
      </c>
      <c r="E350" s="10" t="s">
        <v>59</v>
      </c>
      <c r="F350" s="10" t="s">
        <v>11</v>
      </c>
      <c r="G350" s="10" t="s">
        <v>27</v>
      </c>
      <c r="H350">
        <v>118</v>
      </c>
      <c r="I350">
        <v>114</v>
      </c>
      <c r="J350">
        <v>114</v>
      </c>
      <c r="K350">
        <v>120</v>
      </c>
      <c r="L350">
        <v>97</v>
      </c>
      <c r="M350">
        <v>129</v>
      </c>
      <c r="N350">
        <v>115</v>
      </c>
      <c r="O350">
        <v>115</v>
      </c>
      <c r="P350">
        <v>117</v>
      </c>
      <c r="Q350">
        <v>31</v>
      </c>
      <c r="R350">
        <v>466</v>
      </c>
      <c r="S350">
        <v>476</v>
      </c>
      <c r="T350">
        <v>1070</v>
      </c>
      <c r="U350">
        <v>215</v>
      </c>
      <c r="V350">
        <v>331</v>
      </c>
      <c r="W350">
        <v>114</v>
      </c>
      <c r="X350">
        <v>232</v>
      </c>
      <c r="Y350">
        <v>244</v>
      </c>
      <c r="Z350" s="10" t="s">
        <v>257</v>
      </c>
    </row>
    <row r="351" spans="1:26" x14ac:dyDescent="0.4">
      <c r="A351" s="10">
        <v>350</v>
      </c>
      <c r="B351" s="10" t="s">
        <v>875</v>
      </c>
      <c r="C351" s="10" t="s">
        <v>256</v>
      </c>
      <c r="D351" s="10" t="s">
        <v>63</v>
      </c>
      <c r="E351" s="10" t="s">
        <v>59</v>
      </c>
      <c r="F351" s="10" t="s">
        <v>11</v>
      </c>
      <c r="G351" s="10" t="s">
        <v>27</v>
      </c>
      <c r="H351">
        <v>121</v>
      </c>
      <c r="I351">
        <v>115</v>
      </c>
      <c r="J351">
        <v>115</v>
      </c>
      <c r="K351">
        <v>121</v>
      </c>
      <c r="L351">
        <v>97</v>
      </c>
      <c r="M351">
        <v>132</v>
      </c>
      <c r="N351">
        <v>116</v>
      </c>
      <c r="O351">
        <v>118</v>
      </c>
      <c r="P351">
        <v>118</v>
      </c>
      <c r="Q351">
        <v>31</v>
      </c>
      <c r="R351">
        <v>472</v>
      </c>
      <c r="S351">
        <v>484</v>
      </c>
      <c r="T351">
        <v>1084</v>
      </c>
      <c r="U351">
        <v>218</v>
      </c>
      <c r="V351">
        <v>333</v>
      </c>
      <c r="W351">
        <v>115</v>
      </c>
      <c r="X351">
        <v>234</v>
      </c>
      <c r="Y351">
        <v>250</v>
      </c>
      <c r="Z351" s="10" t="s">
        <v>257</v>
      </c>
    </row>
    <row r="352" spans="1:26" x14ac:dyDescent="0.4">
      <c r="A352" s="10">
        <v>351</v>
      </c>
      <c r="B352" s="10" t="s">
        <v>32</v>
      </c>
      <c r="C352" s="10" t="s">
        <v>258</v>
      </c>
      <c r="D352" s="10" t="s">
        <v>58</v>
      </c>
      <c r="E352" s="10" t="s">
        <v>81</v>
      </c>
      <c r="F352" s="10" t="s">
        <v>11</v>
      </c>
      <c r="G352" s="10" t="s">
        <v>27</v>
      </c>
      <c r="H352">
        <v>121</v>
      </c>
      <c r="I352">
        <v>126</v>
      </c>
      <c r="J352">
        <v>112</v>
      </c>
      <c r="K352">
        <v>115</v>
      </c>
      <c r="L352">
        <v>97</v>
      </c>
      <c r="M352">
        <v>115</v>
      </c>
      <c r="N352">
        <v>115</v>
      </c>
      <c r="O352">
        <v>118</v>
      </c>
      <c r="P352">
        <v>117</v>
      </c>
      <c r="Q352">
        <v>31</v>
      </c>
      <c r="R352">
        <v>474</v>
      </c>
      <c r="S352">
        <v>465</v>
      </c>
      <c r="T352">
        <v>1067</v>
      </c>
      <c r="U352">
        <v>218</v>
      </c>
      <c r="V352">
        <v>338</v>
      </c>
      <c r="W352">
        <v>112</v>
      </c>
      <c r="X352">
        <v>232</v>
      </c>
      <c r="Y352">
        <v>233</v>
      </c>
      <c r="Z352" s="10" t="s">
        <v>259</v>
      </c>
    </row>
    <row r="353" spans="1:26" x14ac:dyDescent="0.4">
      <c r="A353" s="10">
        <v>352</v>
      </c>
      <c r="B353" s="10" t="s">
        <v>32</v>
      </c>
      <c r="C353" s="10" t="s">
        <v>344</v>
      </c>
      <c r="D353" s="10" t="s">
        <v>58</v>
      </c>
      <c r="E353" s="10" t="s">
        <v>81</v>
      </c>
      <c r="F353" s="10" t="s">
        <v>11</v>
      </c>
      <c r="G353" s="10" t="s">
        <v>27</v>
      </c>
      <c r="H353">
        <v>122</v>
      </c>
      <c r="I353">
        <v>117</v>
      </c>
      <c r="J353">
        <v>113</v>
      </c>
      <c r="K353">
        <v>118</v>
      </c>
      <c r="L353">
        <v>101</v>
      </c>
      <c r="M353">
        <v>117</v>
      </c>
      <c r="N353">
        <v>117</v>
      </c>
      <c r="O353">
        <v>117</v>
      </c>
      <c r="P353">
        <v>118</v>
      </c>
      <c r="Q353">
        <v>36</v>
      </c>
      <c r="R353">
        <v>470</v>
      </c>
      <c r="S353">
        <v>469</v>
      </c>
      <c r="T353">
        <v>1076</v>
      </c>
      <c r="U353">
        <v>223</v>
      </c>
      <c r="V353">
        <v>336</v>
      </c>
      <c r="W353">
        <v>113</v>
      </c>
      <c r="X353">
        <v>235</v>
      </c>
      <c r="Y353">
        <v>234</v>
      </c>
      <c r="Z353" s="10" t="s">
        <v>345</v>
      </c>
    </row>
    <row r="354" spans="1:26" x14ac:dyDescent="0.4">
      <c r="A354" s="10">
        <v>353</v>
      </c>
      <c r="B354" s="10" t="s">
        <v>693</v>
      </c>
      <c r="C354" s="10" t="s">
        <v>344</v>
      </c>
      <c r="D354" s="10" t="s">
        <v>63</v>
      </c>
      <c r="E354" s="10" t="s">
        <v>81</v>
      </c>
      <c r="F354" s="10" t="s">
        <v>11</v>
      </c>
      <c r="G354" s="10" t="s">
        <v>27</v>
      </c>
      <c r="H354">
        <v>125</v>
      </c>
      <c r="I354">
        <v>120</v>
      </c>
      <c r="J354">
        <v>114</v>
      </c>
      <c r="K354">
        <v>119</v>
      </c>
      <c r="L354">
        <v>101</v>
      </c>
      <c r="M354">
        <v>118</v>
      </c>
      <c r="N354">
        <v>118</v>
      </c>
      <c r="O354">
        <v>120</v>
      </c>
      <c r="P354">
        <v>119</v>
      </c>
      <c r="Q354">
        <v>36</v>
      </c>
      <c r="R354">
        <v>478</v>
      </c>
      <c r="S354">
        <v>475</v>
      </c>
      <c r="T354">
        <v>1090</v>
      </c>
      <c r="U354">
        <v>226</v>
      </c>
      <c r="V354">
        <v>340</v>
      </c>
      <c r="W354">
        <v>114</v>
      </c>
      <c r="X354">
        <v>237</v>
      </c>
      <c r="Y354">
        <v>238</v>
      </c>
      <c r="Z354" s="10" t="s">
        <v>345</v>
      </c>
    </row>
    <row r="355" spans="1:26" x14ac:dyDescent="0.4">
      <c r="A355" s="10">
        <v>354</v>
      </c>
      <c r="B355" s="10" t="s">
        <v>32</v>
      </c>
      <c r="C355" s="10" t="s">
        <v>260</v>
      </c>
      <c r="D355" s="10" t="s">
        <v>65</v>
      </c>
      <c r="E355" s="10" t="s">
        <v>81</v>
      </c>
      <c r="F355" s="10" t="s">
        <v>12</v>
      </c>
      <c r="G355" s="10" t="s">
        <v>27</v>
      </c>
      <c r="H355">
        <v>128</v>
      </c>
      <c r="I355">
        <v>127</v>
      </c>
      <c r="J355">
        <v>114</v>
      </c>
      <c r="K355">
        <v>119</v>
      </c>
      <c r="L355">
        <v>101</v>
      </c>
      <c r="M355">
        <v>118</v>
      </c>
      <c r="N355">
        <v>121</v>
      </c>
      <c r="O355">
        <v>121</v>
      </c>
      <c r="P355">
        <v>121</v>
      </c>
      <c r="Q355">
        <v>26</v>
      </c>
      <c r="R355">
        <v>488</v>
      </c>
      <c r="S355">
        <v>481</v>
      </c>
      <c r="T355">
        <v>1096</v>
      </c>
      <c r="U355">
        <v>229</v>
      </c>
      <c r="V355">
        <v>347</v>
      </c>
      <c r="W355">
        <v>114</v>
      </c>
      <c r="X355">
        <v>242</v>
      </c>
      <c r="Y355">
        <v>239</v>
      </c>
      <c r="Z355" s="10" t="s">
        <v>261</v>
      </c>
    </row>
    <row r="356" spans="1:26" x14ac:dyDescent="0.4">
      <c r="A356" s="10">
        <v>355</v>
      </c>
      <c r="B356" s="10" t="s">
        <v>62</v>
      </c>
      <c r="C356" s="10" t="s">
        <v>260</v>
      </c>
      <c r="D356" s="10" t="s">
        <v>58</v>
      </c>
      <c r="E356" s="10" t="s">
        <v>81</v>
      </c>
      <c r="F356" s="10" t="s">
        <v>12</v>
      </c>
      <c r="G356" s="10" t="s">
        <v>27</v>
      </c>
      <c r="H356">
        <v>131</v>
      </c>
      <c r="I356">
        <v>130</v>
      </c>
      <c r="J356">
        <v>115</v>
      </c>
      <c r="K356">
        <v>120</v>
      </c>
      <c r="L356">
        <v>101</v>
      </c>
      <c r="M356">
        <v>119</v>
      </c>
      <c r="N356">
        <v>122</v>
      </c>
      <c r="O356">
        <v>124</v>
      </c>
      <c r="P356">
        <v>122</v>
      </c>
      <c r="Q356">
        <v>26</v>
      </c>
      <c r="R356">
        <v>496</v>
      </c>
      <c r="S356">
        <v>487</v>
      </c>
      <c r="T356">
        <v>1110</v>
      </c>
      <c r="U356">
        <v>232</v>
      </c>
      <c r="V356">
        <v>351</v>
      </c>
      <c r="W356">
        <v>115</v>
      </c>
      <c r="X356">
        <v>244</v>
      </c>
      <c r="Y356">
        <v>243</v>
      </c>
      <c r="Z356" s="10" t="s">
        <v>261</v>
      </c>
    </row>
    <row r="357" spans="1:26" x14ac:dyDescent="0.4">
      <c r="A357" s="10">
        <v>356</v>
      </c>
      <c r="B357" s="10" t="s">
        <v>69</v>
      </c>
      <c r="C357" s="10" t="s">
        <v>260</v>
      </c>
      <c r="D357" s="10" t="s">
        <v>63</v>
      </c>
      <c r="E357" s="10" t="s">
        <v>81</v>
      </c>
      <c r="F357" s="10" t="s">
        <v>12</v>
      </c>
      <c r="G357" s="10" t="s">
        <v>27</v>
      </c>
      <c r="H357">
        <v>133</v>
      </c>
      <c r="I357">
        <v>128</v>
      </c>
      <c r="J357">
        <v>115</v>
      </c>
      <c r="K357">
        <v>118</v>
      </c>
      <c r="L357">
        <v>101</v>
      </c>
      <c r="M357">
        <v>121</v>
      </c>
      <c r="N357">
        <v>122</v>
      </c>
      <c r="O357">
        <v>126</v>
      </c>
      <c r="P357">
        <v>121</v>
      </c>
      <c r="Q357">
        <v>26</v>
      </c>
      <c r="R357">
        <v>494</v>
      </c>
      <c r="S357">
        <v>490</v>
      </c>
      <c r="T357">
        <v>1111</v>
      </c>
      <c r="U357">
        <v>234</v>
      </c>
      <c r="V357">
        <v>347</v>
      </c>
      <c r="W357">
        <v>115</v>
      </c>
      <c r="X357">
        <v>243</v>
      </c>
      <c r="Y357">
        <v>247</v>
      </c>
      <c r="Z357" s="10" t="s">
        <v>261</v>
      </c>
    </row>
    <row r="358" spans="1:26" x14ac:dyDescent="0.4">
      <c r="A358" s="10">
        <v>357</v>
      </c>
      <c r="B358" s="10" t="s">
        <v>61</v>
      </c>
      <c r="C358" s="10" t="s">
        <v>260</v>
      </c>
      <c r="D358" s="10" t="s">
        <v>65</v>
      </c>
      <c r="E358" s="10" t="s">
        <v>81</v>
      </c>
      <c r="F358" s="10" t="s">
        <v>12</v>
      </c>
      <c r="G358" s="10" t="s">
        <v>27</v>
      </c>
      <c r="H358">
        <v>134</v>
      </c>
      <c r="I358">
        <v>127</v>
      </c>
      <c r="J358">
        <v>115</v>
      </c>
      <c r="K358">
        <v>117</v>
      </c>
      <c r="L358">
        <v>101</v>
      </c>
      <c r="M358">
        <v>119</v>
      </c>
      <c r="N358">
        <v>125</v>
      </c>
      <c r="O358">
        <v>124</v>
      </c>
      <c r="P358">
        <v>124</v>
      </c>
      <c r="Q358">
        <v>26</v>
      </c>
      <c r="R358">
        <v>493</v>
      </c>
      <c r="S358">
        <v>492</v>
      </c>
      <c r="T358">
        <v>1112</v>
      </c>
      <c r="U358">
        <v>235</v>
      </c>
      <c r="V358">
        <v>345</v>
      </c>
      <c r="W358">
        <v>115</v>
      </c>
      <c r="X358">
        <v>249</v>
      </c>
      <c r="Y358">
        <v>243</v>
      </c>
      <c r="Z358" s="10" t="s">
        <v>261</v>
      </c>
    </row>
    <row r="359" spans="1:26" x14ac:dyDescent="0.4">
      <c r="A359" s="10">
        <v>358</v>
      </c>
      <c r="B359" s="10" t="s">
        <v>565</v>
      </c>
      <c r="C359" s="10" t="s">
        <v>260</v>
      </c>
      <c r="D359" s="10" t="s">
        <v>58</v>
      </c>
      <c r="E359" s="10" t="s">
        <v>81</v>
      </c>
      <c r="F359" s="10" t="s">
        <v>12</v>
      </c>
      <c r="G359" s="10" t="s">
        <v>27</v>
      </c>
      <c r="H359">
        <v>134</v>
      </c>
      <c r="I359">
        <v>131</v>
      </c>
      <c r="J359">
        <v>115</v>
      </c>
      <c r="K359">
        <v>120</v>
      </c>
      <c r="L359">
        <v>101</v>
      </c>
      <c r="M359">
        <v>121</v>
      </c>
      <c r="N359">
        <v>124</v>
      </c>
      <c r="O359">
        <v>125</v>
      </c>
      <c r="P359">
        <v>123</v>
      </c>
      <c r="Q359">
        <v>26</v>
      </c>
      <c r="R359">
        <v>500</v>
      </c>
      <c r="S359">
        <v>493</v>
      </c>
      <c r="T359">
        <v>1120</v>
      </c>
      <c r="U359">
        <v>235</v>
      </c>
      <c r="V359">
        <v>352</v>
      </c>
      <c r="W359">
        <v>115</v>
      </c>
      <c r="X359">
        <v>247</v>
      </c>
      <c r="Y359">
        <v>246</v>
      </c>
      <c r="Z359" s="10" t="s">
        <v>261</v>
      </c>
    </row>
    <row r="360" spans="1:26" x14ac:dyDescent="0.4">
      <c r="A360" s="10">
        <v>359</v>
      </c>
      <c r="B360" s="10" t="s">
        <v>731</v>
      </c>
      <c r="C360" s="10" t="s">
        <v>260</v>
      </c>
      <c r="D360" s="10" t="s">
        <v>63</v>
      </c>
      <c r="E360" s="10" t="s">
        <v>81</v>
      </c>
      <c r="F360" s="10" t="s">
        <v>12</v>
      </c>
      <c r="G360" s="10" t="s">
        <v>27</v>
      </c>
      <c r="H360">
        <v>132</v>
      </c>
      <c r="I360">
        <v>130</v>
      </c>
      <c r="J360">
        <v>115</v>
      </c>
      <c r="K360">
        <v>120</v>
      </c>
      <c r="L360">
        <v>101</v>
      </c>
      <c r="M360">
        <v>122</v>
      </c>
      <c r="N360">
        <v>125</v>
      </c>
      <c r="O360">
        <v>126</v>
      </c>
      <c r="P360">
        <v>124</v>
      </c>
      <c r="Q360">
        <v>26</v>
      </c>
      <c r="R360">
        <v>497</v>
      </c>
      <c r="S360">
        <v>497</v>
      </c>
      <c r="T360">
        <v>1121</v>
      </c>
      <c r="U360">
        <v>233</v>
      </c>
      <c r="V360">
        <v>351</v>
      </c>
      <c r="W360">
        <v>115</v>
      </c>
      <c r="X360">
        <v>249</v>
      </c>
      <c r="Y360">
        <v>248</v>
      </c>
      <c r="Z360" s="10" t="s">
        <v>261</v>
      </c>
    </row>
    <row r="361" spans="1:26" x14ac:dyDescent="0.4">
      <c r="A361" s="10">
        <v>360</v>
      </c>
      <c r="B361" s="10" t="s">
        <v>801</v>
      </c>
      <c r="C361" s="10" t="s">
        <v>260</v>
      </c>
      <c r="D361" s="10" t="s">
        <v>65</v>
      </c>
      <c r="E361" s="10" t="s">
        <v>81</v>
      </c>
      <c r="F361" s="10" t="s">
        <v>12</v>
      </c>
      <c r="G361" s="10" t="s">
        <v>27</v>
      </c>
      <c r="H361">
        <v>137</v>
      </c>
      <c r="I361">
        <v>132</v>
      </c>
      <c r="J361">
        <v>116</v>
      </c>
      <c r="K361">
        <v>121</v>
      </c>
      <c r="L361">
        <v>101</v>
      </c>
      <c r="M361">
        <v>123</v>
      </c>
      <c r="N361">
        <v>125</v>
      </c>
      <c r="O361">
        <v>126</v>
      </c>
      <c r="P361">
        <v>124</v>
      </c>
      <c r="Q361">
        <v>26</v>
      </c>
      <c r="R361">
        <v>506</v>
      </c>
      <c r="S361">
        <v>498</v>
      </c>
      <c r="T361">
        <v>1131</v>
      </c>
      <c r="U361">
        <v>238</v>
      </c>
      <c r="V361">
        <v>354</v>
      </c>
      <c r="W361">
        <v>116</v>
      </c>
      <c r="X361">
        <v>249</v>
      </c>
      <c r="Y361">
        <v>249</v>
      </c>
      <c r="Z361" s="10" t="s">
        <v>261</v>
      </c>
    </row>
    <row r="362" spans="1:26" x14ac:dyDescent="0.4">
      <c r="A362" s="10">
        <v>361</v>
      </c>
      <c r="B362" s="10" t="s">
        <v>893</v>
      </c>
      <c r="C362" s="10" t="s">
        <v>260</v>
      </c>
      <c r="D362" s="10" t="s">
        <v>58</v>
      </c>
      <c r="E362" s="10" t="s">
        <v>81</v>
      </c>
      <c r="F362" s="10" t="s">
        <v>12</v>
      </c>
      <c r="G362" s="10" t="s">
        <v>27</v>
      </c>
      <c r="H362">
        <v>140</v>
      </c>
      <c r="I362">
        <v>133</v>
      </c>
      <c r="J362">
        <v>117</v>
      </c>
      <c r="K362">
        <v>122</v>
      </c>
      <c r="L362">
        <v>101</v>
      </c>
      <c r="M362">
        <v>124</v>
      </c>
      <c r="N362">
        <v>126</v>
      </c>
      <c r="O362">
        <v>127</v>
      </c>
      <c r="P362">
        <v>125</v>
      </c>
      <c r="Q362">
        <v>26</v>
      </c>
      <c r="R362">
        <v>512</v>
      </c>
      <c r="S362">
        <v>502</v>
      </c>
      <c r="T362">
        <v>1141</v>
      </c>
      <c r="U362">
        <v>241</v>
      </c>
      <c r="V362">
        <v>356</v>
      </c>
      <c r="W362">
        <v>117</v>
      </c>
      <c r="X362">
        <v>251</v>
      </c>
      <c r="Y362">
        <v>251</v>
      </c>
      <c r="Z362" s="10" t="s">
        <v>261</v>
      </c>
    </row>
    <row r="363" spans="1:26" x14ac:dyDescent="0.4">
      <c r="A363" s="10">
        <v>362</v>
      </c>
      <c r="B363" s="10" t="s">
        <v>977</v>
      </c>
      <c r="C363" s="10" t="s">
        <v>260</v>
      </c>
      <c r="D363" s="10" t="s">
        <v>63</v>
      </c>
      <c r="E363" s="10" t="s">
        <v>81</v>
      </c>
      <c r="F363" s="10" t="s">
        <v>12</v>
      </c>
      <c r="G363" s="10" t="s">
        <v>27</v>
      </c>
      <c r="H363">
        <v>138</v>
      </c>
      <c r="I363">
        <v>133</v>
      </c>
      <c r="J363">
        <v>117</v>
      </c>
      <c r="K363">
        <v>122</v>
      </c>
      <c r="L363">
        <v>101</v>
      </c>
      <c r="M363">
        <v>125</v>
      </c>
      <c r="N363">
        <v>127</v>
      </c>
      <c r="O363">
        <v>128</v>
      </c>
      <c r="P363">
        <v>126</v>
      </c>
      <c r="Q363">
        <v>26</v>
      </c>
      <c r="R363">
        <v>510</v>
      </c>
      <c r="S363">
        <v>506</v>
      </c>
      <c r="T363">
        <v>1143</v>
      </c>
      <c r="U363">
        <v>239</v>
      </c>
      <c r="V363">
        <v>356</v>
      </c>
      <c r="W363">
        <v>117</v>
      </c>
      <c r="X363">
        <v>253</v>
      </c>
      <c r="Y363">
        <v>253</v>
      </c>
      <c r="Z363" s="10" t="s">
        <v>261</v>
      </c>
    </row>
    <row r="364" spans="1:26" x14ac:dyDescent="0.4">
      <c r="A364" s="10">
        <v>363</v>
      </c>
      <c r="B364" s="10" t="s">
        <v>32</v>
      </c>
      <c r="C364" s="10" t="s">
        <v>262</v>
      </c>
      <c r="D364" s="10" t="s">
        <v>65</v>
      </c>
      <c r="E364" s="10" t="s">
        <v>81</v>
      </c>
      <c r="F364" s="10" t="s">
        <v>12</v>
      </c>
      <c r="G364" s="10" t="s">
        <v>27</v>
      </c>
      <c r="H364">
        <v>123</v>
      </c>
      <c r="I364">
        <v>117</v>
      </c>
      <c r="J364">
        <v>120</v>
      </c>
      <c r="K364">
        <v>123</v>
      </c>
      <c r="L364">
        <v>101</v>
      </c>
      <c r="M364">
        <v>116</v>
      </c>
      <c r="N364">
        <v>121</v>
      </c>
      <c r="O364">
        <v>121</v>
      </c>
      <c r="P364">
        <v>121</v>
      </c>
      <c r="Q364">
        <v>36</v>
      </c>
      <c r="R364">
        <v>483</v>
      </c>
      <c r="S364">
        <v>479</v>
      </c>
      <c r="T364">
        <v>1099</v>
      </c>
      <c r="U364">
        <v>224</v>
      </c>
      <c r="V364">
        <v>341</v>
      </c>
      <c r="W364">
        <v>120</v>
      </c>
      <c r="X364">
        <v>242</v>
      </c>
      <c r="Y364">
        <v>237</v>
      </c>
      <c r="Z364" s="10" t="s">
        <v>263</v>
      </c>
    </row>
    <row r="365" spans="1:26" x14ac:dyDescent="0.4">
      <c r="A365" s="10">
        <v>364</v>
      </c>
      <c r="B365" s="10" t="s">
        <v>95</v>
      </c>
      <c r="C365" s="10" t="s">
        <v>262</v>
      </c>
      <c r="D365" s="10" t="s">
        <v>58</v>
      </c>
      <c r="E365" s="10" t="s">
        <v>81</v>
      </c>
      <c r="F365" s="10" t="s">
        <v>12</v>
      </c>
      <c r="G365" s="10" t="s">
        <v>27</v>
      </c>
      <c r="H365">
        <v>126</v>
      </c>
      <c r="I365">
        <v>120</v>
      </c>
      <c r="J365">
        <v>121</v>
      </c>
      <c r="K365">
        <v>124</v>
      </c>
      <c r="L365">
        <v>101</v>
      </c>
      <c r="M365">
        <v>117</v>
      </c>
      <c r="N365">
        <v>122</v>
      </c>
      <c r="O365">
        <v>124</v>
      </c>
      <c r="P365">
        <v>122</v>
      </c>
      <c r="Q365">
        <v>36</v>
      </c>
      <c r="R365">
        <v>491</v>
      </c>
      <c r="S365">
        <v>485</v>
      </c>
      <c r="T365">
        <v>1113</v>
      </c>
      <c r="U365">
        <v>227</v>
      </c>
      <c r="V365">
        <v>345</v>
      </c>
      <c r="W365">
        <v>121</v>
      </c>
      <c r="X365">
        <v>244</v>
      </c>
      <c r="Y365">
        <v>241</v>
      </c>
      <c r="Z365" s="10" t="s">
        <v>263</v>
      </c>
    </row>
    <row r="366" spans="1:26" x14ac:dyDescent="0.4">
      <c r="A366" s="10">
        <v>365</v>
      </c>
      <c r="B366" s="10" t="s">
        <v>557</v>
      </c>
      <c r="C366" s="10" t="s">
        <v>262</v>
      </c>
      <c r="D366" s="10" t="s">
        <v>63</v>
      </c>
      <c r="E366" s="10" t="s">
        <v>81</v>
      </c>
      <c r="F366" s="10" t="s">
        <v>12</v>
      </c>
      <c r="G366" s="10" t="s">
        <v>27</v>
      </c>
      <c r="H366">
        <v>127</v>
      </c>
      <c r="I366">
        <v>117</v>
      </c>
      <c r="J366">
        <v>123</v>
      </c>
      <c r="K366">
        <v>122</v>
      </c>
      <c r="L366">
        <v>101</v>
      </c>
      <c r="M366">
        <v>117</v>
      </c>
      <c r="N366">
        <v>125</v>
      </c>
      <c r="O366">
        <v>122</v>
      </c>
      <c r="P366">
        <v>124</v>
      </c>
      <c r="Q366">
        <v>36</v>
      </c>
      <c r="R366">
        <v>489</v>
      </c>
      <c r="S366">
        <v>488</v>
      </c>
      <c r="T366">
        <v>1114</v>
      </c>
      <c r="U366">
        <v>228</v>
      </c>
      <c r="V366">
        <v>340</v>
      </c>
      <c r="W366">
        <v>123</v>
      </c>
      <c r="X366">
        <v>249</v>
      </c>
      <c r="Y366">
        <v>239</v>
      </c>
      <c r="Z366" s="10" t="s">
        <v>263</v>
      </c>
    </row>
    <row r="367" spans="1:26" x14ac:dyDescent="0.4">
      <c r="A367" s="10">
        <v>366</v>
      </c>
      <c r="B367" s="10" t="s">
        <v>724</v>
      </c>
      <c r="C367" s="10" t="s">
        <v>262</v>
      </c>
      <c r="D367" s="10" t="s">
        <v>65</v>
      </c>
      <c r="E367" s="10" t="s">
        <v>81</v>
      </c>
      <c r="F367" s="10" t="s">
        <v>12</v>
      </c>
      <c r="G367" s="10" t="s">
        <v>27</v>
      </c>
      <c r="H367">
        <v>127</v>
      </c>
      <c r="I367">
        <v>117</v>
      </c>
      <c r="J367">
        <v>119</v>
      </c>
      <c r="K367">
        <v>122</v>
      </c>
      <c r="L367">
        <v>101</v>
      </c>
      <c r="M367">
        <v>120</v>
      </c>
      <c r="N367">
        <v>124</v>
      </c>
      <c r="O367">
        <v>126</v>
      </c>
      <c r="P367">
        <v>123</v>
      </c>
      <c r="Q367">
        <v>36</v>
      </c>
      <c r="R367">
        <v>485</v>
      </c>
      <c r="S367">
        <v>493</v>
      </c>
      <c r="T367">
        <v>1115</v>
      </c>
      <c r="U367">
        <v>228</v>
      </c>
      <c r="V367">
        <v>340</v>
      </c>
      <c r="W367">
        <v>119</v>
      </c>
      <c r="X367">
        <v>247</v>
      </c>
      <c r="Y367">
        <v>246</v>
      </c>
      <c r="Z367" s="10" t="s">
        <v>263</v>
      </c>
    </row>
    <row r="368" spans="1:26" x14ac:dyDescent="0.4">
      <c r="A368" s="10">
        <v>367</v>
      </c>
      <c r="B368" s="10" t="s">
        <v>785</v>
      </c>
      <c r="C368" s="10" t="s">
        <v>262</v>
      </c>
      <c r="D368" s="10" t="s">
        <v>58</v>
      </c>
      <c r="E368" s="10" t="s">
        <v>81</v>
      </c>
      <c r="F368" s="10" t="s">
        <v>12</v>
      </c>
      <c r="G368" s="10" t="s">
        <v>27</v>
      </c>
      <c r="H368">
        <v>126</v>
      </c>
      <c r="I368">
        <v>120</v>
      </c>
      <c r="J368">
        <v>121</v>
      </c>
      <c r="K368">
        <v>124</v>
      </c>
      <c r="L368">
        <v>101</v>
      </c>
      <c r="M368">
        <v>120</v>
      </c>
      <c r="N368">
        <v>125</v>
      </c>
      <c r="O368">
        <v>126</v>
      </c>
      <c r="P368">
        <v>124</v>
      </c>
      <c r="Q368">
        <v>36</v>
      </c>
      <c r="R368">
        <v>491</v>
      </c>
      <c r="S368">
        <v>495</v>
      </c>
      <c r="T368">
        <v>1123</v>
      </c>
      <c r="U368">
        <v>227</v>
      </c>
      <c r="V368">
        <v>345</v>
      </c>
      <c r="W368">
        <v>121</v>
      </c>
      <c r="X368">
        <v>249</v>
      </c>
      <c r="Y368">
        <v>246</v>
      </c>
      <c r="Z368" s="10" t="s">
        <v>263</v>
      </c>
    </row>
    <row r="369" spans="1:26" x14ac:dyDescent="0.4">
      <c r="A369" s="10">
        <v>368</v>
      </c>
      <c r="B369" s="10" t="s">
        <v>32</v>
      </c>
      <c r="C369" s="10" t="s">
        <v>264</v>
      </c>
      <c r="D369" s="10" t="s">
        <v>65</v>
      </c>
      <c r="E369" s="10" t="s">
        <v>81</v>
      </c>
      <c r="F369" s="10" t="s">
        <v>12</v>
      </c>
      <c r="G369" s="10" t="s">
        <v>27</v>
      </c>
      <c r="H369">
        <v>123</v>
      </c>
      <c r="I369">
        <v>119</v>
      </c>
      <c r="J369">
        <v>116</v>
      </c>
      <c r="K369">
        <v>121</v>
      </c>
      <c r="L369">
        <v>97</v>
      </c>
      <c r="M369">
        <v>121</v>
      </c>
      <c r="N369">
        <v>121</v>
      </c>
      <c r="O369">
        <v>123</v>
      </c>
      <c r="P369">
        <v>118</v>
      </c>
      <c r="Q369">
        <v>41</v>
      </c>
      <c r="R369">
        <v>479</v>
      </c>
      <c r="S369">
        <v>483</v>
      </c>
      <c r="T369">
        <v>1100</v>
      </c>
      <c r="U369">
        <v>220</v>
      </c>
      <c r="V369">
        <v>337</v>
      </c>
      <c r="W369">
        <v>116</v>
      </c>
      <c r="X369">
        <v>239</v>
      </c>
      <c r="Y369">
        <v>244</v>
      </c>
      <c r="Z369" s="10" t="s">
        <v>265</v>
      </c>
    </row>
    <row r="370" spans="1:26" x14ac:dyDescent="0.4">
      <c r="A370" s="10">
        <v>369</v>
      </c>
      <c r="B370" s="10" t="s">
        <v>811</v>
      </c>
      <c r="C370" s="10" t="s">
        <v>264</v>
      </c>
      <c r="D370" s="10" t="s">
        <v>58</v>
      </c>
      <c r="E370" s="10" t="s">
        <v>81</v>
      </c>
      <c r="F370" s="10" t="s">
        <v>12</v>
      </c>
      <c r="G370" s="10" t="s">
        <v>27</v>
      </c>
      <c r="H370">
        <v>126</v>
      </c>
      <c r="I370">
        <v>122</v>
      </c>
      <c r="J370">
        <v>117</v>
      </c>
      <c r="K370">
        <v>122</v>
      </c>
      <c r="L370">
        <v>97</v>
      </c>
      <c r="M370">
        <v>122</v>
      </c>
      <c r="N370">
        <v>122</v>
      </c>
      <c r="O370">
        <v>126</v>
      </c>
      <c r="P370">
        <v>119</v>
      </c>
      <c r="Q370">
        <v>41</v>
      </c>
      <c r="R370">
        <v>487</v>
      </c>
      <c r="S370">
        <v>489</v>
      </c>
      <c r="T370">
        <v>1114</v>
      </c>
      <c r="U370">
        <v>223</v>
      </c>
      <c r="V370">
        <v>341</v>
      </c>
      <c r="W370">
        <v>117</v>
      </c>
      <c r="X370">
        <v>241</v>
      </c>
      <c r="Y370">
        <v>248</v>
      </c>
      <c r="Z370" s="10" t="s">
        <v>265</v>
      </c>
    </row>
    <row r="371" spans="1:26" x14ac:dyDescent="0.4">
      <c r="A371" s="10">
        <v>370</v>
      </c>
      <c r="B371" s="10" t="s">
        <v>32</v>
      </c>
      <c r="C371" s="10" t="s">
        <v>266</v>
      </c>
      <c r="D371" s="10" t="s">
        <v>65</v>
      </c>
      <c r="E371" s="10" t="s">
        <v>78</v>
      </c>
      <c r="F371" s="10" t="s">
        <v>12</v>
      </c>
      <c r="G371" s="10" t="s">
        <v>27</v>
      </c>
      <c r="H371">
        <v>113</v>
      </c>
      <c r="I371">
        <v>110</v>
      </c>
      <c r="J371">
        <v>113</v>
      </c>
      <c r="K371">
        <v>120</v>
      </c>
      <c r="L371">
        <v>101</v>
      </c>
      <c r="M371">
        <v>110</v>
      </c>
      <c r="N371">
        <v>123</v>
      </c>
      <c r="O371">
        <v>119</v>
      </c>
      <c r="P371">
        <v>122</v>
      </c>
      <c r="Q371">
        <v>41</v>
      </c>
      <c r="R371">
        <v>456</v>
      </c>
      <c r="S371">
        <v>474</v>
      </c>
      <c r="T371">
        <v>1072</v>
      </c>
      <c r="U371">
        <v>214</v>
      </c>
      <c r="V371">
        <v>331</v>
      </c>
      <c r="W371">
        <v>113</v>
      </c>
      <c r="X371">
        <v>245</v>
      </c>
      <c r="Y371">
        <v>229</v>
      </c>
      <c r="Z371" s="10" t="s">
        <v>267</v>
      </c>
    </row>
    <row r="372" spans="1:26" x14ac:dyDescent="0.4">
      <c r="A372" s="10">
        <v>371</v>
      </c>
      <c r="B372" s="10" t="s">
        <v>724</v>
      </c>
      <c r="C372" s="10" t="s">
        <v>266</v>
      </c>
      <c r="D372" s="10" t="s">
        <v>58</v>
      </c>
      <c r="E372" s="10" t="s">
        <v>78</v>
      </c>
      <c r="F372" s="10" t="s">
        <v>12</v>
      </c>
      <c r="G372" s="10" t="s">
        <v>27</v>
      </c>
      <c r="H372">
        <v>114</v>
      </c>
      <c r="I372">
        <v>111</v>
      </c>
      <c r="J372">
        <v>116</v>
      </c>
      <c r="K372">
        <v>121</v>
      </c>
      <c r="L372">
        <v>101</v>
      </c>
      <c r="M372">
        <v>111</v>
      </c>
      <c r="N372">
        <v>126</v>
      </c>
      <c r="O372">
        <v>120</v>
      </c>
      <c r="P372">
        <v>125</v>
      </c>
      <c r="Q372">
        <v>41</v>
      </c>
      <c r="R372">
        <v>462</v>
      </c>
      <c r="S372">
        <v>482</v>
      </c>
      <c r="T372">
        <v>1086</v>
      </c>
      <c r="U372">
        <v>215</v>
      </c>
      <c r="V372">
        <v>333</v>
      </c>
      <c r="W372">
        <v>116</v>
      </c>
      <c r="X372">
        <v>251</v>
      </c>
      <c r="Y372">
        <v>231</v>
      </c>
      <c r="Z372" s="10" t="s">
        <v>267</v>
      </c>
    </row>
    <row r="373" spans="1:26" x14ac:dyDescent="0.4">
      <c r="A373" s="10">
        <v>372</v>
      </c>
      <c r="B373" s="10" t="s">
        <v>32</v>
      </c>
      <c r="C373" s="10" t="s">
        <v>268</v>
      </c>
      <c r="D373" s="10" t="s">
        <v>65</v>
      </c>
      <c r="E373" s="10" t="s">
        <v>59</v>
      </c>
      <c r="F373" s="10" t="s">
        <v>12</v>
      </c>
      <c r="G373" s="10" t="s">
        <v>27</v>
      </c>
      <c r="H373">
        <v>117</v>
      </c>
      <c r="I373">
        <v>117</v>
      </c>
      <c r="J373">
        <v>112</v>
      </c>
      <c r="K373">
        <v>116</v>
      </c>
      <c r="L373">
        <v>97</v>
      </c>
      <c r="M373">
        <v>121</v>
      </c>
      <c r="N373">
        <v>113</v>
      </c>
      <c r="O373">
        <v>114</v>
      </c>
      <c r="P373">
        <v>115</v>
      </c>
      <c r="Q373">
        <v>36</v>
      </c>
      <c r="R373">
        <v>462</v>
      </c>
      <c r="S373">
        <v>463</v>
      </c>
      <c r="T373">
        <v>1058</v>
      </c>
      <c r="U373">
        <v>214</v>
      </c>
      <c r="V373">
        <v>330</v>
      </c>
      <c r="W373">
        <v>112</v>
      </c>
      <c r="X373">
        <v>228</v>
      </c>
      <c r="Y373">
        <v>235</v>
      </c>
      <c r="Z373" s="10" t="s">
        <v>269</v>
      </c>
    </row>
    <row r="374" spans="1:26" x14ac:dyDescent="0.4">
      <c r="A374" s="10">
        <v>373</v>
      </c>
      <c r="B374" s="10" t="s">
        <v>32</v>
      </c>
      <c r="C374" s="10" t="s">
        <v>270</v>
      </c>
      <c r="D374" s="10" t="s">
        <v>65</v>
      </c>
      <c r="E374" s="10" t="s">
        <v>59</v>
      </c>
      <c r="F374" s="10" t="s">
        <v>12</v>
      </c>
      <c r="G374" s="10" t="s">
        <v>27</v>
      </c>
      <c r="H374">
        <v>121</v>
      </c>
      <c r="I374">
        <v>121</v>
      </c>
      <c r="J374">
        <v>112</v>
      </c>
      <c r="K374">
        <v>122</v>
      </c>
      <c r="L374">
        <v>97</v>
      </c>
      <c r="M374">
        <v>125</v>
      </c>
      <c r="N374">
        <v>115</v>
      </c>
      <c r="O374">
        <v>116</v>
      </c>
      <c r="P374">
        <v>115</v>
      </c>
      <c r="Q374">
        <v>36</v>
      </c>
      <c r="R374">
        <v>476</v>
      </c>
      <c r="S374">
        <v>471</v>
      </c>
      <c r="T374">
        <v>1080</v>
      </c>
      <c r="U374">
        <v>218</v>
      </c>
      <c r="V374">
        <v>340</v>
      </c>
      <c r="W374">
        <v>112</v>
      </c>
      <c r="X374">
        <v>230</v>
      </c>
      <c r="Y374">
        <v>241</v>
      </c>
      <c r="Z374" s="10" t="s">
        <v>271</v>
      </c>
    </row>
    <row r="375" spans="1:26" x14ac:dyDescent="0.4">
      <c r="A375" s="10">
        <v>374</v>
      </c>
      <c r="B375" s="10" t="s">
        <v>811</v>
      </c>
      <c r="C375" s="10" t="s">
        <v>270</v>
      </c>
      <c r="D375" s="10" t="s">
        <v>58</v>
      </c>
      <c r="E375" s="10" t="s">
        <v>59</v>
      </c>
      <c r="F375" s="10" t="s">
        <v>12</v>
      </c>
      <c r="G375" s="10" t="s">
        <v>27</v>
      </c>
      <c r="H375">
        <v>124</v>
      </c>
      <c r="I375">
        <v>122</v>
      </c>
      <c r="J375">
        <v>113</v>
      </c>
      <c r="K375">
        <v>123</v>
      </c>
      <c r="L375">
        <v>97</v>
      </c>
      <c r="M375">
        <v>128</v>
      </c>
      <c r="N375">
        <v>116</v>
      </c>
      <c r="O375">
        <v>119</v>
      </c>
      <c r="P375">
        <v>116</v>
      </c>
      <c r="Q375">
        <v>36</v>
      </c>
      <c r="R375">
        <v>482</v>
      </c>
      <c r="S375">
        <v>479</v>
      </c>
      <c r="T375">
        <v>1094</v>
      </c>
      <c r="U375">
        <v>221</v>
      </c>
      <c r="V375">
        <v>342</v>
      </c>
      <c r="W375">
        <v>113</v>
      </c>
      <c r="X375">
        <v>232</v>
      </c>
      <c r="Y375">
        <v>247</v>
      </c>
      <c r="Z375" s="10" t="s">
        <v>271</v>
      </c>
    </row>
    <row r="376" spans="1:26" x14ac:dyDescent="0.4">
      <c r="A376" s="10">
        <v>375</v>
      </c>
      <c r="B376" s="10" t="s">
        <v>32</v>
      </c>
      <c r="C376" s="10" t="s">
        <v>272</v>
      </c>
      <c r="D376" s="10" t="s">
        <v>63</v>
      </c>
      <c r="E376" s="10" t="s">
        <v>67</v>
      </c>
      <c r="F376" s="10" t="s">
        <v>12</v>
      </c>
      <c r="G376" s="10" t="s">
        <v>27</v>
      </c>
      <c r="H376">
        <v>119</v>
      </c>
      <c r="I376">
        <v>121</v>
      </c>
      <c r="J376">
        <v>126</v>
      </c>
      <c r="K376">
        <v>126</v>
      </c>
      <c r="L376">
        <v>101</v>
      </c>
      <c r="M376">
        <v>114</v>
      </c>
      <c r="N376">
        <v>121</v>
      </c>
      <c r="O376">
        <v>118</v>
      </c>
      <c r="P376">
        <v>119</v>
      </c>
      <c r="Q376">
        <v>41</v>
      </c>
      <c r="R376">
        <v>492</v>
      </c>
      <c r="S376">
        <v>472</v>
      </c>
      <c r="T376">
        <v>1106</v>
      </c>
      <c r="U376">
        <v>220</v>
      </c>
      <c r="V376">
        <v>348</v>
      </c>
      <c r="W376">
        <v>126</v>
      </c>
      <c r="X376">
        <v>240</v>
      </c>
      <c r="Y376">
        <v>232</v>
      </c>
      <c r="Z376" s="10" t="s">
        <v>273</v>
      </c>
    </row>
    <row r="377" spans="1:26" x14ac:dyDescent="0.4">
      <c r="A377" s="10">
        <v>376</v>
      </c>
      <c r="B377" s="10" t="s">
        <v>62</v>
      </c>
      <c r="C377" s="10" t="s">
        <v>272</v>
      </c>
      <c r="D377" s="10" t="s">
        <v>65</v>
      </c>
      <c r="E377" s="10" t="s">
        <v>67</v>
      </c>
      <c r="F377" s="10" t="s">
        <v>12</v>
      </c>
      <c r="G377" s="10" t="s">
        <v>27</v>
      </c>
      <c r="H377">
        <v>120</v>
      </c>
      <c r="I377">
        <v>124</v>
      </c>
      <c r="J377">
        <v>129</v>
      </c>
      <c r="K377">
        <v>129</v>
      </c>
      <c r="L377">
        <v>101</v>
      </c>
      <c r="M377">
        <v>115</v>
      </c>
      <c r="N377">
        <v>122</v>
      </c>
      <c r="O377">
        <v>119</v>
      </c>
      <c r="P377">
        <v>120</v>
      </c>
      <c r="Q377">
        <v>41</v>
      </c>
      <c r="R377">
        <v>502</v>
      </c>
      <c r="S377">
        <v>476</v>
      </c>
      <c r="T377">
        <v>1120</v>
      </c>
      <c r="U377">
        <v>221</v>
      </c>
      <c r="V377">
        <v>354</v>
      </c>
      <c r="W377">
        <v>129</v>
      </c>
      <c r="X377">
        <v>242</v>
      </c>
      <c r="Y377">
        <v>234</v>
      </c>
      <c r="Z377" s="10" t="s">
        <v>273</v>
      </c>
    </row>
    <row r="378" spans="1:26" x14ac:dyDescent="0.4">
      <c r="A378" s="10">
        <v>377</v>
      </c>
      <c r="B378" s="10" t="s">
        <v>61</v>
      </c>
      <c r="C378" s="10" t="s">
        <v>272</v>
      </c>
      <c r="D378" s="10" t="s">
        <v>58</v>
      </c>
      <c r="E378" s="10" t="s">
        <v>67</v>
      </c>
      <c r="F378" s="10" t="s">
        <v>12</v>
      </c>
      <c r="G378" s="10" t="s">
        <v>27</v>
      </c>
      <c r="H378">
        <v>118</v>
      </c>
      <c r="I378">
        <v>126</v>
      </c>
      <c r="J378">
        <v>132</v>
      </c>
      <c r="K378">
        <v>131</v>
      </c>
      <c r="L378">
        <v>101</v>
      </c>
      <c r="M378">
        <v>112</v>
      </c>
      <c r="N378">
        <v>122</v>
      </c>
      <c r="O378">
        <v>117</v>
      </c>
      <c r="P378">
        <v>120</v>
      </c>
      <c r="Q378">
        <v>41</v>
      </c>
      <c r="R378">
        <v>507</v>
      </c>
      <c r="S378">
        <v>471</v>
      </c>
      <c r="T378">
        <v>1120</v>
      </c>
      <c r="U378">
        <v>219</v>
      </c>
      <c r="V378">
        <v>358</v>
      </c>
      <c r="W378">
        <v>132</v>
      </c>
      <c r="X378">
        <v>242</v>
      </c>
      <c r="Y378">
        <v>229</v>
      </c>
      <c r="Z378" s="10" t="s">
        <v>273</v>
      </c>
    </row>
    <row r="379" spans="1:26" x14ac:dyDescent="0.4">
      <c r="A379" s="10">
        <v>378</v>
      </c>
      <c r="B379" s="10" t="s">
        <v>340</v>
      </c>
      <c r="C379" s="10" t="s">
        <v>272</v>
      </c>
      <c r="D379" s="10" t="s">
        <v>63</v>
      </c>
      <c r="E379" s="10" t="s">
        <v>67</v>
      </c>
      <c r="F379" s="10" t="s">
        <v>12</v>
      </c>
      <c r="G379" s="10" t="s">
        <v>27</v>
      </c>
      <c r="H379">
        <v>118</v>
      </c>
      <c r="I379">
        <v>121</v>
      </c>
      <c r="J379">
        <v>131</v>
      </c>
      <c r="K379">
        <v>128</v>
      </c>
      <c r="L379">
        <v>101</v>
      </c>
      <c r="M379">
        <v>118</v>
      </c>
      <c r="N379">
        <v>122</v>
      </c>
      <c r="O379">
        <v>121</v>
      </c>
      <c r="P379">
        <v>120</v>
      </c>
      <c r="Q379">
        <v>41</v>
      </c>
      <c r="R379">
        <v>498</v>
      </c>
      <c r="S379">
        <v>481</v>
      </c>
      <c r="T379">
        <v>1121</v>
      </c>
      <c r="U379">
        <v>219</v>
      </c>
      <c r="V379">
        <v>350</v>
      </c>
      <c r="W379">
        <v>131</v>
      </c>
      <c r="X379">
        <v>242</v>
      </c>
      <c r="Y379">
        <v>239</v>
      </c>
      <c r="Z379" s="10" t="s">
        <v>273</v>
      </c>
    </row>
    <row r="380" spans="1:26" x14ac:dyDescent="0.4">
      <c r="A380" s="10">
        <v>379</v>
      </c>
      <c r="B380" s="10" t="s">
        <v>651</v>
      </c>
      <c r="C380" s="10" t="s">
        <v>272</v>
      </c>
      <c r="D380" s="10" t="s">
        <v>65</v>
      </c>
      <c r="E380" s="10" t="s">
        <v>67</v>
      </c>
      <c r="F380" s="10" t="s">
        <v>12</v>
      </c>
      <c r="G380" s="10" t="s">
        <v>27</v>
      </c>
      <c r="H380">
        <v>121</v>
      </c>
      <c r="I380">
        <v>126</v>
      </c>
      <c r="J380">
        <v>132</v>
      </c>
      <c r="K380">
        <v>131</v>
      </c>
      <c r="L380">
        <v>101</v>
      </c>
      <c r="M380">
        <v>115</v>
      </c>
      <c r="N380">
        <v>123</v>
      </c>
      <c r="O380">
        <v>119</v>
      </c>
      <c r="P380">
        <v>121</v>
      </c>
      <c r="Q380">
        <v>41</v>
      </c>
      <c r="R380">
        <v>510</v>
      </c>
      <c r="S380">
        <v>478</v>
      </c>
      <c r="T380">
        <v>1130</v>
      </c>
      <c r="U380">
        <v>222</v>
      </c>
      <c r="V380">
        <v>358</v>
      </c>
      <c r="W380">
        <v>132</v>
      </c>
      <c r="X380">
        <v>244</v>
      </c>
      <c r="Y380">
        <v>234</v>
      </c>
      <c r="Z380" s="10" t="s">
        <v>273</v>
      </c>
    </row>
    <row r="381" spans="1:26" x14ac:dyDescent="0.4">
      <c r="A381" s="10">
        <v>380</v>
      </c>
      <c r="B381" s="10" t="s">
        <v>748</v>
      </c>
      <c r="C381" s="10" t="s">
        <v>272</v>
      </c>
      <c r="D381" s="10" t="s">
        <v>58</v>
      </c>
      <c r="E381" s="10" t="s">
        <v>67</v>
      </c>
      <c r="F381" s="10" t="s">
        <v>12</v>
      </c>
      <c r="G381" s="10" t="s">
        <v>27</v>
      </c>
      <c r="H381">
        <v>121</v>
      </c>
      <c r="I381">
        <v>127</v>
      </c>
      <c r="J381">
        <v>129</v>
      </c>
      <c r="K381">
        <v>132</v>
      </c>
      <c r="L381">
        <v>101</v>
      </c>
      <c r="M381">
        <v>115</v>
      </c>
      <c r="N381">
        <v>124</v>
      </c>
      <c r="O381">
        <v>120</v>
      </c>
      <c r="P381">
        <v>121</v>
      </c>
      <c r="Q381">
        <v>41</v>
      </c>
      <c r="R381">
        <v>509</v>
      </c>
      <c r="S381">
        <v>480</v>
      </c>
      <c r="T381">
        <v>1131</v>
      </c>
      <c r="U381">
        <v>222</v>
      </c>
      <c r="V381">
        <v>360</v>
      </c>
      <c r="W381">
        <v>129</v>
      </c>
      <c r="X381">
        <v>245</v>
      </c>
      <c r="Y381">
        <v>235</v>
      </c>
      <c r="Z381" s="10" t="s">
        <v>273</v>
      </c>
    </row>
    <row r="382" spans="1:26" x14ac:dyDescent="0.4">
      <c r="A382" s="10">
        <v>381</v>
      </c>
      <c r="B382" s="10" t="s">
        <v>801</v>
      </c>
      <c r="C382" s="10" t="s">
        <v>272</v>
      </c>
      <c r="D382" s="10" t="s">
        <v>63</v>
      </c>
      <c r="E382" s="10" t="s">
        <v>67</v>
      </c>
      <c r="F382" s="10" t="s">
        <v>12</v>
      </c>
      <c r="G382" s="10" t="s">
        <v>27</v>
      </c>
      <c r="H382">
        <v>122</v>
      </c>
      <c r="I382">
        <v>128</v>
      </c>
      <c r="J382">
        <v>134</v>
      </c>
      <c r="K382">
        <v>132</v>
      </c>
      <c r="L382">
        <v>101</v>
      </c>
      <c r="M382">
        <v>116</v>
      </c>
      <c r="N382">
        <v>124</v>
      </c>
      <c r="O382">
        <v>120</v>
      </c>
      <c r="P382">
        <v>122</v>
      </c>
      <c r="Q382">
        <v>41</v>
      </c>
      <c r="R382">
        <v>516</v>
      </c>
      <c r="S382">
        <v>482</v>
      </c>
      <c r="T382">
        <v>1140</v>
      </c>
      <c r="U382">
        <v>223</v>
      </c>
      <c r="V382">
        <v>361</v>
      </c>
      <c r="W382">
        <v>134</v>
      </c>
      <c r="X382">
        <v>246</v>
      </c>
      <c r="Y382">
        <v>236</v>
      </c>
      <c r="Z382" s="10" t="s">
        <v>273</v>
      </c>
    </row>
    <row r="383" spans="1:26" x14ac:dyDescent="0.4">
      <c r="A383" s="10">
        <v>382</v>
      </c>
      <c r="B383" s="10" t="s">
        <v>854</v>
      </c>
      <c r="C383" s="10" t="s">
        <v>272</v>
      </c>
      <c r="D383" s="10" t="s">
        <v>65</v>
      </c>
      <c r="E383" s="10" t="s">
        <v>67</v>
      </c>
      <c r="F383" s="10" t="s">
        <v>12</v>
      </c>
      <c r="G383" s="10" t="s">
        <v>27</v>
      </c>
      <c r="H383">
        <v>122</v>
      </c>
      <c r="I383">
        <v>128</v>
      </c>
      <c r="J383">
        <v>133</v>
      </c>
      <c r="K383">
        <v>133</v>
      </c>
      <c r="L383">
        <v>101</v>
      </c>
      <c r="M383">
        <v>116</v>
      </c>
      <c r="N383">
        <v>125</v>
      </c>
      <c r="O383">
        <v>120</v>
      </c>
      <c r="P383">
        <v>122</v>
      </c>
      <c r="Q383">
        <v>41</v>
      </c>
      <c r="R383">
        <v>516</v>
      </c>
      <c r="S383">
        <v>483</v>
      </c>
      <c r="T383">
        <v>1141</v>
      </c>
      <c r="U383">
        <v>223</v>
      </c>
      <c r="V383">
        <v>362</v>
      </c>
      <c r="W383">
        <v>133</v>
      </c>
      <c r="X383">
        <v>247</v>
      </c>
      <c r="Y383">
        <v>236</v>
      </c>
      <c r="Z383" s="10" t="s">
        <v>273</v>
      </c>
    </row>
    <row r="384" spans="1:26" x14ac:dyDescent="0.4">
      <c r="A384" s="10">
        <v>383</v>
      </c>
      <c r="B384" s="10" t="s">
        <v>893</v>
      </c>
      <c r="C384" s="10" t="s">
        <v>272</v>
      </c>
      <c r="D384" s="10" t="s">
        <v>58</v>
      </c>
      <c r="E384" s="10" t="s">
        <v>67</v>
      </c>
      <c r="F384" s="10" t="s">
        <v>12</v>
      </c>
      <c r="G384" s="10" t="s">
        <v>27</v>
      </c>
      <c r="H384">
        <v>123</v>
      </c>
      <c r="I384">
        <v>129</v>
      </c>
      <c r="J384">
        <v>136</v>
      </c>
      <c r="K384">
        <v>133</v>
      </c>
      <c r="L384">
        <v>101</v>
      </c>
      <c r="M384">
        <v>117</v>
      </c>
      <c r="N384">
        <v>126</v>
      </c>
      <c r="O384">
        <v>121</v>
      </c>
      <c r="P384">
        <v>123</v>
      </c>
      <c r="Q384">
        <v>41</v>
      </c>
      <c r="R384">
        <v>521</v>
      </c>
      <c r="S384">
        <v>487</v>
      </c>
      <c r="T384">
        <v>1150</v>
      </c>
      <c r="U384">
        <v>224</v>
      </c>
      <c r="V384">
        <v>363</v>
      </c>
      <c r="W384">
        <v>136</v>
      </c>
      <c r="X384">
        <v>249</v>
      </c>
      <c r="Y384">
        <v>238</v>
      </c>
      <c r="Z384" s="10" t="s">
        <v>273</v>
      </c>
    </row>
    <row r="385" spans="1:26" x14ac:dyDescent="0.4">
      <c r="A385" s="10">
        <v>384</v>
      </c>
      <c r="B385" s="10" t="s">
        <v>32</v>
      </c>
      <c r="C385" s="10" t="s">
        <v>326</v>
      </c>
      <c r="D385" s="10" t="s">
        <v>65</v>
      </c>
      <c r="E385" s="10" t="s">
        <v>81</v>
      </c>
      <c r="F385" s="10" t="s">
        <v>320</v>
      </c>
      <c r="G385" s="10" t="s">
        <v>27</v>
      </c>
      <c r="H385">
        <v>118</v>
      </c>
      <c r="I385">
        <v>125</v>
      </c>
      <c r="J385">
        <v>115</v>
      </c>
      <c r="K385">
        <v>123</v>
      </c>
      <c r="L385">
        <v>101</v>
      </c>
      <c r="M385">
        <v>114</v>
      </c>
      <c r="N385">
        <v>116</v>
      </c>
      <c r="O385">
        <v>115</v>
      </c>
      <c r="P385">
        <v>118</v>
      </c>
      <c r="Q385">
        <v>31</v>
      </c>
      <c r="R385">
        <v>481</v>
      </c>
      <c r="S385">
        <v>463</v>
      </c>
      <c r="T385">
        <v>1076</v>
      </c>
      <c r="U385">
        <v>219</v>
      </c>
      <c r="V385">
        <v>349</v>
      </c>
      <c r="W385">
        <v>115</v>
      </c>
      <c r="X385">
        <v>234</v>
      </c>
      <c r="Y385">
        <v>229</v>
      </c>
      <c r="Z385" s="10" t="s">
        <v>327</v>
      </c>
    </row>
    <row r="386" spans="1:26" x14ac:dyDescent="0.4">
      <c r="A386" s="10">
        <v>385</v>
      </c>
      <c r="B386" s="10" t="s">
        <v>574</v>
      </c>
      <c r="C386" s="10" t="s">
        <v>326</v>
      </c>
      <c r="D386" s="10" t="s">
        <v>58</v>
      </c>
      <c r="E386" s="10" t="s">
        <v>81</v>
      </c>
      <c r="F386" s="10" t="s">
        <v>320</v>
      </c>
      <c r="G386" s="10" t="s">
        <v>27</v>
      </c>
      <c r="H386">
        <v>121</v>
      </c>
      <c r="I386">
        <v>128</v>
      </c>
      <c r="J386">
        <v>116</v>
      </c>
      <c r="K386">
        <v>124</v>
      </c>
      <c r="L386">
        <v>101</v>
      </c>
      <c r="M386">
        <v>115</v>
      </c>
      <c r="N386">
        <v>117</v>
      </c>
      <c r="O386">
        <v>118</v>
      </c>
      <c r="P386">
        <v>119</v>
      </c>
      <c r="Q386">
        <v>31</v>
      </c>
      <c r="R386">
        <v>489</v>
      </c>
      <c r="S386">
        <v>469</v>
      </c>
      <c r="T386">
        <v>1090</v>
      </c>
      <c r="U386">
        <v>222</v>
      </c>
      <c r="V386">
        <v>353</v>
      </c>
      <c r="W386">
        <v>116</v>
      </c>
      <c r="X386">
        <v>236</v>
      </c>
      <c r="Y386">
        <v>233</v>
      </c>
      <c r="Z386" s="10" t="s">
        <v>327</v>
      </c>
    </row>
    <row r="387" spans="1:26" x14ac:dyDescent="0.4">
      <c r="A387" s="10">
        <v>386</v>
      </c>
      <c r="B387" s="10" t="s">
        <v>32</v>
      </c>
      <c r="C387" s="10" t="s">
        <v>330</v>
      </c>
      <c r="D387" s="10" t="s">
        <v>65</v>
      </c>
      <c r="E387" s="10" t="s">
        <v>59</v>
      </c>
      <c r="F387" s="10" t="s">
        <v>320</v>
      </c>
      <c r="G387" s="10" t="s">
        <v>27</v>
      </c>
      <c r="H387">
        <v>114</v>
      </c>
      <c r="I387">
        <v>113</v>
      </c>
      <c r="J387">
        <v>112</v>
      </c>
      <c r="K387">
        <v>118</v>
      </c>
      <c r="L387">
        <v>97</v>
      </c>
      <c r="M387">
        <v>123</v>
      </c>
      <c r="N387">
        <v>113</v>
      </c>
      <c r="O387">
        <v>116</v>
      </c>
      <c r="P387">
        <v>117</v>
      </c>
      <c r="Q387">
        <v>31</v>
      </c>
      <c r="R387">
        <v>457</v>
      </c>
      <c r="S387">
        <v>469</v>
      </c>
      <c r="T387">
        <v>1054</v>
      </c>
      <c r="U387">
        <v>211</v>
      </c>
      <c r="V387">
        <v>328</v>
      </c>
      <c r="W387">
        <v>112</v>
      </c>
      <c r="X387">
        <v>230</v>
      </c>
      <c r="Y387">
        <v>239</v>
      </c>
      <c r="Z387" s="10" t="s">
        <v>331</v>
      </c>
    </row>
    <row r="388" spans="1:26" x14ac:dyDescent="0.4">
      <c r="A388" s="10">
        <v>387</v>
      </c>
      <c r="B388" s="10" t="s">
        <v>32</v>
      </c>
      <c r="C388" s="10" t="s">
        <v>321</v>
      </c>
      <c r="D388" s="10" t="s">
        <v>65</v>
      </c>
      <c r="E388" s="10" t="s">
        <v>67</v>
      </c>
      <c r="F388" s="10" t="s">
        <v>320</v>
      </c>
      <c r="G388" s="10" t="s">
        <v>27</v>
      </c>
      <c r="H388">
        <v>118</v>
      </c>
      <c r="I388">
        <v>120</v>
      </c>
      <c r="J388">
        <v>125</v>
      </c>
      <c r="K388">
        <v>126</v>
      </c>
      <c r="L388">
        <v>101</v>
      </c>
      <c r="M388">
        <v>114</v>
      </c>
      <c r="N388">
        <v>119</v>
      </c>
      <c r="O388">
        <v>118</v>
      </c>
      <c r="P388">
        <v>117</v>
      </c>
      <c r="Q388">
        <v>41</v>
      </c>
      <c r="R388">
        <v>489</v>
      </c>
      <c r="S388">
        <v>468</v>
      </c>
      <c r="T388">
        <v>1099</v>
      </c>
      <c r="U388">
        <v>219</v>
      </c>
      <c r="V388">
        <v>347</v>
      </c>
      <c r="W388">
        <v>125</v>
      </c>
      <c r="X388">
        <v>236</v>
      </c>
      <c r="Y388">
        <v>232</v>
      </c>
      <c r="Z388" s="10" t="s">
        <v>322</v>
      </c>
    </row>
    <row r="389" spans="1:26" x14ac:dyDescent="0.4">
      <c r="A389" s="10">
        <v>388</v>
      </c>
      <c r="B389" s="10" t="s">
        <v>32</v>
      </c>
      <c r="C389" s="10" t="s">
        <v>332</v>
      </c>
      <c r="D389" s="10" t="s">
        <v>65</v>
      </c>
      <c r="E389" s="10" t="s">
        <v>78</v>
      </c>
      <c r="F389" s="10" t="s">
        <v>320</v>
      </c>
      <c r="G389" s="10" t="s">
        <v>27</v>
      </c>
      <c r="H389">
        <v>113</v>
      </c>
      <c r="I389">
        <v>110</v>
      </c>
      <c r="J389">
        <v>112</v>
      </c>
      <c r="K389">
        <v>121</v>
      </c>
      <c r="L389">
        <v>101</v>
      </c>
      <c r="M389">
        <v>110</v>
      </c>
      <c r="N389">
        <v>123</v>
      </c>
      <c r="O389">
        <v>119</v>
      </c>
      <c r="P389">
        <v>121</v>
      </c>
      <c r="Q389">
        <v>41</v>
      </c>
      <c r="R389">
        <v>456</v>
      </c>
      <c r="S389">
        <v>473</v>
      </c>
      <c r="T389">
        <v>1071</v>
      </c>
      <c r="U389">
        <v>214</v>
      </c>
      <c r="V389">
        <v>332</v>
      </c>
      <c r="W389">
        <v>112</v>
      </c>
      <c r="X389">
        <v>244</v>
      </c>
      <c r="Y389">
        <v>229</v>
      </c>
      <c r="Z389" s="10" t="s">
        <v>333</v>
      </c>
    </row>
    <row r="390" spans="1:26" x14ac:dyDescent="0.4">
      <c r="A390" s="10">
        <v>389</v>
      </c>
      <c r="B390" s="10" t="s">
        <v>32</v>
      </c>
      <c r="C390" s="10" t="s">
        <v>334</v>
      </c>
      <c r="D390" s="10" t="s">
        <v>63</v>
      </c>
      <c r="E390" s="10" t="s">
        <v>81</v>
      </c>
      <c r="F390" s="10" t="s">
        <v>320</v>
      </c>
      <c r="G390" s="10" t="s">
        <v>27</v>
      </c>
      <c r="H390">
        <v>120</v>
      </c>
      <c r="I390">
        <v>117</v>
      </c>
      <c r="J390">
        <v>113</v>
      </c>
      <c r="K390">
        <v>119</v>
      </c>
      <c r="L390">
        <v>101</v>
      </c>
      <c r="M390">
        <v>119</v>
      </c>
      <c r="N390">
        <v>117</v>
      </c>
      <c r="O390">
        <v>118</v>
      </c>
      <c r="P390">
        <v>117</v>
      </c>
      <c r="Q390">
        <v>36</v>
      </c>
      <c r="R390">
        <v>469</v>
      </c>
      <c r="S390">
        <v>471</v>
      </c>
      <c r="T390">
        <v>1077</v>
      </c>
      <c r="U390">
        <v>221</v>
      </c>
      <c r="V390">
        <v>337</v>
      </c>
      <c r="W390">
        <v>113</v>
      </c>
      <c r="X390">
        <v>234</v>
      </c>
      <c r="Y390">
        <v>237</v>
      </c>
      <c r="Z390" s="10" t="s">
        <v>335</v>
      </c>
    </row>
    <row r="391" spans="1:26" x14ac:dyDescent="0.4">
      <c r="A391" s="10">
        <v>390</v>
      </c>
      <c r="B391" s="10" t="s">
        <v>32</v>
      </c>
      <c r="C391" s="10" t="s">
        <v>336</v>
      </c>
      <c r="D391" s="10" t="s">
        <v>65</v>
      </c>
      <c r="E391" s="10" t="s">
        <v>81</v>
      </c>
      <c r="F391" s="10" t="s">
        <v>320</v>
      </c>
      <c r="G391" s="10" t="s">
        <v>27</v>
      </c>
      <c r="H391">
        <v>120</v>
      </c>
      <c r="I391">
        <v>113</v>
      </c>
      <c r="J391">
        <v>112</v>
      </c>
      <c r="K391">
        <v>119</v>
      </c>
      <c r="L391">
        <v>97</v>
      </c>
      <c r="M391">
        <v>118</v>
      </c>
      <c r="N391">
        <v>118</v>
      </c>
      <c r="O391">
        <v>117</v>
      </c>
      <c r="P391">
        <v>117</v>
      </c>
      <c r="Q391">
        <v>41</v>
      </c>
      <c r="R391">
        <v>464</v>
      </c>
      <c r="S391">
        <v>470</v>
      </c>
      <c r="T391">
        <v>1072</v>
      </c>
      <c r="U391">
        <v>217</v>
      </c>
      <c r="V391">
        <v>329</v>
      </c>
      <c r="W391">
        <v>112</v>
      </c>
      <c r="X391">
        <v>235</v>
      </c>
      <c r="Y391">
        <v>235</v>
      </c>
      <c r="Z391" s="10" t="s">
        <v>337</v>
      </c>
    </row>
    <row r="392" spans="1:26" x14ac:dyDescent="0.4">
      <c r="A392" s="10">
        <v>391</v>
      </c>
      <c r="B392" s="10" t="s">
        <v>32</v>
      </c>
      <c r="C392" s="10" t="s">
        <v>324</v>
      </c>
      <c r="D392" s="10" t="s">
        <v>65</v>
      </c>
      <c r="E392" s="10" t="s">
        <v>81</v>
      </c>
      <c r="F392" s="10" t="s">
        <v>320</v>
      </c>
      <c r="G392" s="10" t="s">
        <v>27</v>
      </c>
      <c r="H392">
        <v>127</v>
      </c>
      <c r="I392">
        <v>116</v>
      </c>
      <c r="J392">
        <v>112</v>
      </c>
      <c r="K392">
        <v>119</v>
      </c>
      <c r="L392">
        <v>97</v>
      </c>
      <c r="M392">
        <v>117</v>
      </c>
      <c r="N392">
        <v>114</v>
      </c>
      <c r="O392">
        <v>118</v>
      </c>
      <c r="P392">
        <v>116</v>
      </c>
      <c r="Q392">
        <v>36</v>
      </c>
      <c r="R392">
        <v>474</v>
      </c>
      <c r="S392">
        <v>465</v>
      </c>
      <c r="T392">
        <v>1072</v>
      </c>
      <c r="U392">
        <v>224</v>
      </c>
      <c r="V392">
        <v>332</v>
      </c>
      <c r="W392">
        <v>112</v>
      </c>
      <c r="X392">
        <v>230</v>
      </c>
      <c r="Y392">
        <v>235</v>
      </c>
      <c r="Z392" s="10" t="s">
        <v>325</v>
      </c>
    </row>
    <row r="393" spans="1:26" x14ac:dyDescent="0.4">
      <c r="A393" s="10">
        <v>392</v>
      </c>
      <c r="B393" s="10" t="s">
        <v>32</v>
      </c>
      <c r="C393" s="10" t="s">
        <v>274</v>
      </c>
      <c r="D393" s="10" t="s">
        <v>58</v>
      </c>
      <c r="E393" s="10" t="s">
        <v>81</v>
      </c>
      <c r="F393" s="10" t="s">
        <v>15</v>
      </c>
      <c r="G393" s="10" t="s">
        <v>27</v>
      </c>
      <c r="H393">
        <v>130</v>
      </c>
      <c r="I393">
        <v>125</v>
      </c>
      <c r="J393">
        <v>115</v>
      </c>
      <c r="K393">
        <v>121</v>
      </c>
      <c r="L393">
        <v>101</v>
      </c>
      <c r="M393">
        <v>118</v>
      </c>
      <c r="N393">
        <v>118</v>
      </c>
      <c r="O393">
        <v>126</v>
      </c>
      <c r="P393">
        <v>121</v>
      </c>
      <c r="Q393">
        <v>36</v>
      </c>
      <c r="R393">
        <v>491</v>
      </c>
      <c r="S393">
        <v>483</v>
      </c>
      <c r="T393">
        <v>1111</v>
      </c>
      <c r="U393">
        <v>231</v>
      </c>
      <c r="V393">
        <v>347</v>
      </c>
      <c r="W393">
        <v>115</v>
      </c>
      <c r="X393">
        <v>239</v>
      </c>
      <c r="Y393">
        <v>244</v>
      </c>
      <c r="Z393" s="10" t="s">
        <v>275</v>
      </c>
    </row>
    <row r="394" spans="1:26" x14ac:dyDescent="0.4">
      <c r="A394" s="10">
        <v>393</v>
      </c>
      <c r="B394" s="10" t="s">
        <v>87</v>
      </c>
      <c r="C394" s="10" t="s">
        <v>274</v>
      </c>
      <c r="D394" s="10" t="s">
        <v>63</v>
      </c>
      <c r="E394" s="10" t="s">
        <v>81</v>
      </c>
      <c r="F394" s="10" t="s">
        <v>15</v>
      </c>
      <c r="G394" s="10" t="s">
        <v>27</v>
      </c>
      <c r="H394">
        <v>133</v>
      </c>
      <c r="I394">
        <v>128</v>
      </c>
      <c r="J394">
        <v>116</v>
      </c>
      <c r="K394">
        <v>122</v>
      </c>
      <c r="L394">
        <v>101</v>
      </c>
      <c r="M394">
        <v>119</v>
      </c>
      <c r="N394">
        <v>119</v>
      </c>
      <c r="O394">
        <v>129</v>
      </c>
      <c r="P394">
        <v>122</v>
      </c>
      <c r="Q394">
        <v>36</v>
      </c>
      <c r="R394">
        <v>499</v>
      </c>
      <c r="S394">
        <v>489</v>
      </c>
      <c r="T394">
        <v>1125</v>
      </c>
      <c r="U394">
        <v>234</v>
      </c>
      <c r="V394">
        <v>351</v>
      </c>
      <c r="W394">
        <v>116</v>
      </c>
      <c r="X394">
        <v>241</v>
      </c>
      <c r="Y394">
        <v>248</v>
      </c>
      <c r="Z394" s="10" t="s">
        <v>275</v>
      </c>
    </row>
    <row r="395" spans="1:26" x14ac:dyDescent="0.4">
      <c r="A395" s="10">
        <v>394</v>
      </c>
      <c r="B395" s="10" t="s">
        <v>142</v>
      </c>
      <c r="C395" s="10" t="s">
        <v>274</v>
      </c>
      <c r="D395" s="10" t="s">
        <v>65</v>
      </c>
      <c r="E395" s="10" t="s">
        <v>81</v>
      </c>
      <c r="F395" s="10" t="s">
        <v>15</v>
      </c>
      <c r="G395" s="10" t="s">
        <v>27</v>
      </c>
      <c r="H395">
        <v>132</v>
      </c>
      <c r="I395">
        <v>130</v>
      </c>
      <c r="J395">
        <v>115</v>
      </c>
      <c r="K395">
        <v>123</v>
      </c>
      <c r="L395">
        <v>101</v>
      </c>
      <c r="M395">
        <v>117</v>
      </c>
      <c r="N395">
        <v>121</v>
      </c>
      <c r="O395">
        <v>128</v>
      </c>
      <c r="P395">
        <v>123</v>
      </c>
      <c r="Q395">
        <v>36</v>
      </c>
      <c r="R395">
        <v>500</v>
      </c>
      <c r="S395">
        <v>489</v>
      </c>
      <c r="T395">
        <v>1126</v>
      </c>
      <c r="U395">
        <v>233</v>
      </c>
      <c r="V395">
        <v>354</v>
      </c>
      <c r="W395">
        <v>115</v>
      </c>
      <c r="X395">
        <v>244</v>
      </c>
      <c r="Y395">
        <v>245</v>
      </c>
      <c r="Z395" s="10" t="s">
        <v>275</v>
      </c>
    </row>
    <row r="396" spans="1:26" x14ac:dyDescent="0.4">
      <c r="A396" s="10">
        <v>395</v>
      </c>
      <c r="B396" s="10" t="s">
        <v>574</v>
      </c>
      <c r="C396" s="10" t="s">
        <v>274</v>
      </c>
      <c r="D396" s="10" t="s">
        <v>58</v>
      </c>
      <c r="E396" s="10" t="s">
        <v>81</v>
      </c>
      <c r="F396" s="10" t="s">
        <v>15</v>
      </c>
      <c r="G396" s="10" t="s">
        <v>27</v>
      </c>
      <c r="H396">
        <v>133</v>
      </c>
      <c r="I396">
        <v>125</v>
      </c>
      <c r="J396">
        <v>115</v>
      </c>
      <c r="K396">
        <v>120</v>
      </c>
      <c r="L396">
        <v>101</v>
      </c>
      <c r="M396">
        <v>122</v>
      </c>
      <c r="N396">
        <v>121</v>
      </c>
      <c r="O396">
        <v>131</v>
      </c>
      <c r="P396">
        <v>123</v>
      </c>
      <c r="Q396">
        <v>36</v>
      </c>
      <c r="R396">
        <v>493</v>
      </c>
      <c r="S396">
        <v>497</v>
      </c>
      <c r="T396">
        <v>1127</v>
      </c>
      <c r="U396">
        <v>234</v>
      </c>
      <c r="V396">
        <v>346</v>
      </c>
      <c r="W396">
        <v>115</v>
      </c>
      <c r="X396">
        <v>244</v>
      </c>
      <c r="Y396">
        <v>253</v>
      </c>
      <c r="Z396" s="10" t="s">
        <v>275</v>
      </c>
    </row>
    <row r="397" spans="1:26" x14ac:dyDescent="0.4">
      <c r="A397" s="10">
        <v>396</v>
      </c>
      <c r="B397" s="10" t="s">
        <v>714</v>
      </c>
      <c r="C397" s="10" t="s">
        <v>274</v>
      </c>
      <c r="D397" s="10" t="s">
        <v>63</v>
      </c>
      <c r="E397" s="10" t="s">
        <v>81</v>
      </c>
      <c r="F397" s="10" t="s">
        <v>15</v>
      </c>
      <c r="G397" s="10" t="s">
        <v>27</v>
      </c>
      <c r="H397">
        <v>136</v>
      </c>
      <c r="I397">
        <v>126</v>
      </c>
      <c r="J397">
        <v>116</v>
      </c>
      <c r="K397">
        <v>120</v>
      </c>
      <c r="L397">
        <v>101</v>
      </c>
      <c r="M397">
        <v>121</v>
      </c>
      <c r="N397">
        <v>119</v>
      </c>
      <c r="O397">
        <v>131</v>
      </c>
      <c r="P397">
        <v>122</v>
      </c>
      <c r="Q397">
        <v>36</v>
      </c>
      <c r="R397">
        <v>498</v>
      </c>
      <c r="S397">
        <v>493</v>
      </c>
      <c r="T397">
        <v>1128</v>
      </c>
      <c r="U397">
        <v>237</v>
      </c>
      <c r="V397">
        <v>347</v>
      </c>
      <c r="W397">
        <v>116</v>
      </c>
      <c r="X397">
        <v>241</v>
      </c>
      <c r="Y397">
        <v>252</v>
      </c>
      <c r="Z397" s="10" t="s">
        <v>275</v>
      </c>
    </row>
    <row r="398" spans="1:26" x14ac:dyDescent="0.4">
      <c r="A398" s="10">
        <v>397</v>
      </c>
      <c r="B398" s="10" t="s">
        <v>903</v>
      </c>
      <c r="C398" s="10" t="s">
        <v>274</v>
      </c>
      <c r="D398" s="10" t="s">
        <v>65</v>
      </c>
      <c r="E398" s="10" t="s">
        <v>81</v>
      </c>
      <c r="F398" s="10" t="s">
        <v>15</v>
      </c>
      <c r="G398" s="10" t="s">
        <v>27</v>
      </c>
      <c r="H398">
        <v>134</v>
      </c>
      <c r="I398">
        <v>131</v>
      </c>
      <c r="J398">
        <v>116</v>
      </c>
      <c r="K398">
        <v>125</v>
      </c>
      <c r="L398">
        <v>101</v>
      </c>
      <c r="M398">
        <v>119</v>
      </c>
      <c r="N398">
        <v>121</v>
      </c>
      <c r="O398">
        <v>130</v>
      </c>
      <c r="P398">
        <v>123</v>
      </c>
      <c r="Q398">
        <v>36</v>
      </c>
      <c r="R398">
        <v>506</v>
      </c>
      <c r="S398">
        <v>493</v>
      </c>
      <c r="T398">
        <v>1136</v>
      </c>
      <c r="U398">
        <v>235</v>
      </c>
      <c r="V398">
        <v>357</v>
      </c>
      <c r="W398">
        <v>116</v>
      </c>
      <c r="X398">
        <v>244</v>
      </c>
      <c r="Y398">
        <v>249</v>
      </c>
      <c r="Z398" s="10" t="s">
        <v>275</v>
      </c>
    </row>
    <row r="399" spans="1:26" x14ac:dyDescent="0.4">
      <c r="A399" s="10">
        <v>398</v>
      </c>
      <c r="B399" s="10" t="s">
        <v>32</v>
      </c>
      <c r="C399" s="10" t="s">
        <v>276</v>
      </c>
      <c r="D399" s="10" t="s">
        <v>58</v>
      </c>
      <c r="E399" s="10" t="s">
        <v>59</v>
      </c>
      <c r="F399" s="10" t="s">
        <v>15</v>
      </c>
      <c r="G399" s="10" t="s">
        <v>27</v>
      </c>
      <c r="H399">
        <v>125</v>
      </c>
      <c r="I399">
        <v>122</v>
      </c>
      <c r="J399">
        <v>112</v>
      </c>
      <c r="K399">
        <v>121</v>
      </c>
      <c r="L399">
        <v>101</v>
      </c>
      <c r="M399">
        <v>131</v>
      </c>
      <c r="N399">
        <v>115</v>
      </c>
      <c r="O399">
        <v>115</v>
      </c>
      <c r="P399">
        <v>117</v>
      </c>
      <c r="Q399">
        <v>41</v>
      </c>
      <c r="R399">
        <v>480</v>
      </c>
      <c r="S399">
        <v>478</v>
      </c>
      <c r="T399">
        <v>1100</v>
      </c>
      <c r="U399">
        <v>226</v>
      </c>
      <c r="V399">
        <v>344</v>
      </c>
      <c r="W399">
        <v>112</v>
      </c>
      <c r="X399">
        <v>232</v>
      </c>
      <c r="Y399">
        <v>246</v>
      </c>
      <c r="Z399" s="10" t="s">
        <v>277</v>
      </c>
    </row>
    <row r="400" spans="1:26" x14ac:dyDescent="0.4">
      <c r="A400" s="10">
        <v>399</v>
      </c>
      <c r="B400" s="10" t="s">
        <v>69</v>
      </c>
      <c r="C400" s="10" t="s">
        <v>276</v>
      </c>
      <c r="D400" s="10" t="s">
        <v>63</v>
      </c>
      <c r="E400" s="10" t="s">
        <v>59</v>
      </c>
      <c r="F400" s="10" t="s">
        <v>15</v>
      </c>
      <c r="G400" s="10" t="s">
        <v>27</v>
      </c>
      <c r="H400">
        <v>128</v>
      </c>
      <c r="I400">
        <v>123</v>
      </c>
      <c r="J400">
        <v>113</v>
      </c>
      <c r="K400">
        <v>122</v>
      </c>
      <c r="L400">
        <v>101</v>
      </c>
      <c r="M400">
        <v>134</v>
      </c>
      <c r="N400">
        <v>116</v>
      </c>
      <c r="O400">
        <v>118</v>
      </c>
      <c r="P400">
        <v>118</v>
      </c>
      <c r="Q400">
        <v>41</v>
      </c>
      <c r="R400">
        <v>486</v>
      </c>
      <c r="S400">
        <v>486</v>
      </c>
      <c r="T400">
        <v>1114</v>
      </c>
      <c r="U400">
        <v>229</v>
      </c>
      <c r="V400">
        <v>346</v>
      </c>
      <c r="W400">
        <v>113</v>
      </c>
      <c r="X400">
        <v>234</v>
      </c>
      <c r="Y400">
        <v>252</v>
      </c>
      <c r="Z400" s="10" t="s">
        <v>277</v>
      </c>
    </row>
    <row r="401" spans="1:26" x14ac:dyDescent="0.4">
      <c r="A401" s="10">
        <v>400</v>
      </c>
      <c r="B401" s="10" t="s">
        <v>763</v>
      </c>
      <c r="C401" s="10" t="s">
        <v>276</v>
      </c>
      <c r="D401" s="10" t="s">
        <v>65</v>
      </c>
      <c r="E401" s="10" t="s">
        <v>59</v>
      </c>
      <c r="F401" s="10" t="s">
        <v>15</v>
      </c>
      <c r="G401" s="10" t="s">
        <v>27</v>
      </c>
      <c r="H401">
        <v>129</v>
      </c>
      <c r="I401">
        <v>121</v>
      </c>
      <c r="J401">
        <v>113</v>
      </c>
      <c r="K401">
        <v>120</v>
      </c>
      <c r="L401">
        <v>101</v>
      </c>
      <c r="M401">
        <v>137</v>
      </c>
      <c r="N401">
        <v>115</v>
      </c>
      <c r="O401">
        <v>121</v>
      </c>
      <c r="P401">
        <v>118</v>
      </c>
      <c r="Q401">
        <v>41</v>
      </c>
      <c r="R401">
        <v>483</v>
      </c>
      <c r="S401">
        <v>491</v>
      </c>
      <c r="T401">
        <v>1116</v>
      </c>
      <c r="U401">
        <v>230</v>
      </c>
      <c r="V401">
        <v>342</v>
      </c>
      <c r="W401">
        <v>113</v>
      </c>
      <c r="X401">
        <v>233</v>
      </c>
      <c r="Y401">
        <v>258</v>
      </c>
      <c r="Z401" s="10" t="s">
        <v>277</v>
      </c>
    </row>
    <row r="402" spans="1:26" x14ac:dyDescent="0.4">
      <c r="A402" s="10">
        <v>401</v>
      </c>
      <c r="B402" s="10" t="s">
        <v>865</v>
      </c>
      <c r="C402" s="10" t="s">
        <v>276</v>
      </c>
      <c r="D402" s="10" t="s">
        <v>58</v>
      </c>
      <c r="E402" s="10" t="s">
        <v>59</v>
      </c>
      <c r="F402" s="10" t="s">
        <v>15</v>
      </c>
      <c r="G402" s="10" t="s">
        <v>27</v>
      </c>
      <c r="H402">
        <v>129</v>
      </c>
      <c r="I402">
        <v>123</v>
      </c>
      <c r="J402">
        <v>113</v>
      </c>
      <c r="K402">
        <v>122</v>
      </c>
      <c r="L402">
        <v>101</v>
      </c>
      <c r="M402">
        <v>137</v>
      </c>
      <c r="N402">
        <v>118</v>
      </c>
      <c r="O402">
        <v>120</v>
      </c>
      <c r="P402">
        <v>119</v>
      </c>
      <c r="Q402">
        <v>41</v>
      </c>
      <c r="R402">
        <v>487</v>
      </c>
      <c r="S402">
        <v>494</v>
      </c>
      <c r="T402">
        <v>1123</v>
      </c>
      <c r="U402">
        <v>230</v>
      </c>
      <c r="V402">
        <v>346</v>
      </c>
      <c r="W402">
        <v>113</v>
      </c>
      <c r="X402">
        <v>237</v>
      </c>
      <c r="Y402">
        <v>257</v>
      </c>
      <c r="Z402" s="10" t="s">
        <v>277</v>
      </c>
    </row>
    <row r="403" spans="1:26" x14ac:dyDescent="0.4">
      <c r="A403" s="10">
        <v>402</v>
      </c>
      <c r="B403" s="10" t="s">
        <v>32</v>
      </c>
      <c r="C403" s="10" t="s">
        <v>278</v>
      </c>
      <c r="D403" s="10" t="s">
        <v>58</v>
      </c>
      <c r="E403" s="10" t="s">
        <v>81</v>
      </c>
      <c r="F403" s="10" t="s">
        <v>14</v>
      </c>
      <c r="G403" s="10" t="s">
        <v>27</v>
      </c>
      <c r="H403">
        <v>129</v>
      </c>
      <c r="I403">
        <v>126</v>
      </c>
      <c r="J403">
        <v>114</v>
      </c>
      <c r="K403">
        <v>121</v>
      </c>
      <c r="L403">
        <v>101</v>
      </c>
      <c r="M403">
        <v>118</v>
      </c>
      <c r="N403">
        <v>123</v>
      </c>
      <c r="O403">
        <v>119</v>
      </c>
      <c r="P403">
        <v>120</v>
      </c>
      <c r="Q403">
        <v>41</v>
      </c>
      <c r="R403">
        <v>490</v>
      </c>
      <c r="S403">
        <v>480</v>
      </c>
      <c r="T403">
        <v>1112</v>
      </c>
      <c r="U403">
        <v>230</v>
      </c>
      <c r="V403">
        <v>348</v>
      </c>
      <c r="W403">
        <v>114</v>
      </c>
      <c r="X403">
        <v>243</v>
      </c>
      <c r="Y403">
        <v>237</v>
      </c>
      <c r="Z403" s="10" t="s">
        <v>279</v>
      </c>
    </row>
    <row r="404" spans="1:26" x14ac:dyDescent="0.4">
      <c r="A404" s="10">
        <v>403</v>
      </c>
      <c r="B404" s="10" t="s">
        <v>142</v>
      </c>
      <c r="C404" s="10" t="s">
        <v>278</v>
      </c>
      <c r="D404" s="10" t="s">
        <v>63</v>
      </c>
      <c r="E404" s="10" t="s">
        <v>81</v>
      </c>
      <c r="F404" s="10" t="s">
        <v>14</v>
      </c>
      <c r="G404" s="10" t="s">
        <v>27</v>
      </c>
      <c r="H404">
        <v>132</v>
      </c>
      <c r="I404">
        <v>129</v>
      </c>
      <c r="J404">
        <v>115</v>
      </c>
      <c r="K404">
        <v>122</v>
      </c>
      <c r="L404">
        <v>101</v>
      </c>
      <c r="M404">
        <v>119</v>
      </c>
      <c r="N404">
        <v>124</v>
      </c>
      <c r="O404">
        <v>122</v>
      </c>
      <c r="P404">
        <v>121</v>
      </c>
      <c r="Q404">
        <v>41</v>
      </c>
      <c r="R404">
        <v>498</v>
      </c>
      <c r="S404">
        <v>486</v>
      </c>
      <c r="T404">
        <v>1126</v>
      </c>
      <c r="U404">
        <v>233</v>
      </c>
      <c r="V404">
        <v>352</v>
      </c>
      <c r="W404">
        <v>115</v>
      </c>
      <c r="X404">
        <v>245</v>
      </c>
      <c r="Y404">
        <v>241</v>
      </c>
      <c r="Z404" s="10" t="s">
        <v>279</v>
      </c>
    </row>
    <row r="405" spans="1:26" x14ac:dyDescent="0.4">
      <c r="A405" s="10">
        <v>404</v>
      </c>
      <c r="B405" s="10" t="s">
        <v>714</v>
      </c>
      <c r="C405" s="10" t="s">
        <v>278</v>
      </c>
      <c r="D405" s="10" t="s">
        <v>65</v>
      </c>
      <c r="E405" s="10" t="s">
        <v>81</v>
      </c>
      <c r="F405" s="10" t="s">
        <v>14</v>
      </c>
      <c r="G405" s="10" t="s">
        <v>27</v>
      </c>
      <c r="H405">
        <v>135</v>
      </c>
      <c r="I405">
        <v>127</v>
      </c>
      <c r="J405">
        <v>115</v>
      </c>
      <c r="K405">
        <v>120</v>
      </c>
      <c r="L405">
        <v>101</v>
      </c>
      <c r="M405">
        <v>121</v>
      </c>
      <c r="N405">
        <v>123</v>
      </c>
      <c r="O405">
        <v>124</v>
      </c>
      <c r="P405">
        <v>120</v>
      </c>
      <c r="Q405">
        <v>41</v>
      </c>
      <c r="R405">
        <v>497</v>
      </c>
      <c r="S405">
        <v>488</v>
      </c>
      <c r="T405">
        <v>1127</v>
      </c>
      <c r="U405">
        <v>236</v>
      </c>
      <c r="V405">
        <v>348</v>
      </c>
      <c r="W405">
        <v>115</v>
      </c>
      <c r="X405">
        <v>243</v>
      </c>
      <c r="Y405">
        <v>245</v>
      </c>
      <c r="Z405" s="10" t="s">
        <v>279</v>
      </c>
    </row>
    <row r="406" spans="1:26" x14ac:dyDescent="0.4">
      <c r="A406" s="10">
        <v>405</v>
      </c>
      <c r="B406" s="10" t="s">
        <v>875</v>
      </c>
      <c r="C406" s="10" t="s">
        <v>278</v>
      </c>
      <c r="D406" s="10" t="s">
        <v>58</v>
      </c>
      <c r="E406" s="10" t="s">
        <v>81</v>
      </c>
      <c r="F406" s="10" t="s">
        <v>14</v>
      </c>
      <c r="G406" s="10" t="s">
        <v>27</v>
      </c>
      <c r="H406">
        <v>136</v>
      </c>
      <c r="I406">
        <v>130</v>
      </c>
      <c r="J406">
        <v>115</v>
      </c>
      <c r="K406">
        <v>122</v>
      </c>
      <c r="L406">
        <v>101</v>
      </c>
      <c r="M406">
        <v>121</v>
      </c>
      <c r="N406">
        <v>126</v>
      </c>
      <c r="O406">
        <v>123</v>
      </c>
      <c r="P406">
        <v>122</v>
      </c>
      <c r="Q406">
        <v>41</v>
      </c>
      <c r="R406">
        <v>503</v>
      </c>
      <c r="S406">
        <v>492</v>
      </c>
      <c r="T406">
        <v>1137</v>
      </c>
      <c r="U406">
        <v>237</v>
      </c>
      <c r="V406">
        <v>353</v>
      </c>
      <c r="W406">
        <v>115</v>
      </c>
      <c r="X406">
        <v>248</v>
      </c>
      <c r="Y406">
        <v>244</v>
      </c>
      <c r="Z406" s="10" t="s">
        <v>279</v>
      </c>
    </row>
    <row r="407" spans="1:26" x14ac:dyDescent="0.4">
      <c r="A407" s="10">
        <v>406</v>
      </c>
      <c r="B407" s="10" t="s">
        <v>32</v>
      </c>
      <c r="C407" s="10" t="s">
        <v>280</v>
      </c>
      <c r="D407" s="10" t="s">
        <v>58</v>
      </c>
      <c r="E407" s="10" t="s">
        <v>78</v>
      </c>
      <c r="F407" s="10" t="s">
        <v>14</v>
      </c>
      <c r="G407" s="10" t="s">
        <v>27</v>
      </c>
      <c r="H407">
        <v>115</v>
      </c>
      <c r="I407">
        <v>111</v>
      </c>
      <c r="J407">
        <v>119</v>
      </c>
      <c r="K407">
        <v>124</v>
      </c>
      <c r="L407">
        <v>101</v>
      </c>
      <c r="M407">
        <v>110</v>
      </c>
      <c r="N407">
        <v>131</v>
      </c>
      <c r="O407">
        <v>116</v>
      </c>
      <c r="P407">
        <v>121</v>
      </c>
      <c r="Q407">
        <v>36</v>
      </c>
      <c r="R407">
        <v>469</v>
      </c>
      <c r="S407">
        <v>478</v>
      </c>
      <c r="T407">
        <v>1084</v>
      </c>
      <c r="U407">
        <v>216</v>
      </c>
      <c r="V407">
        <v>336</v>
      </c>
      <c r="W407">
        <v>119</v>
      </c>
      <c r="X407">
        <v>252</v>
      </c>
      <c r="Y407">
        <v>226</v>
      </c>
      <c r="Z407" s="10" t="s">
        <v>281</v>
      </c>
    </row>
    <row r="408" spans="1:26" x14ac:dyDescent="0.4">
      <c r="A408" s="10">
        <v>407</v>
      </c>
      <c r="B408" s="10" t="s">
        <v>565</v>
      </c>
      <c r="C408" s="10" t="s">
        <v>280</v>
      </c>
      <c r="D408" s="10" t="s">
        <v>63</v>
      </c>
      <c r="E408" s="10" t="s">
        <v>78</v>
      </c>
      <c r="F408" s="10" t="s">
        <v>14</v>
      </c>
      <c r="G408" s="10" t="s">
        <v>27</v>
      </c>
      <c r="H408">
        <v>116</v>
      </c>
      <c r="I408">
        <v>112</v>
      </c>
      <c r="J408">
        <v>122</v>
      </c>
      <c r="K408">
        <v>125</v>
      </c>
      <c r="L408">
        <v>101</v>
      </c>
      <c r="M408">
        <v>111</v>
      </c>
      <c r="N408">
        <v>134</v>
      </c>
      <c r="O408">
        <v>117</v>
      </c>
      <c r="P408">
        <v>124</v>
      </c>
      <c r="Q408">
        <v>36</v>
      </c>
      <c r="R408">
        <v>475</v>
      </c>
      <c r="S408">
        <v>486</v>
      </c>
      <c r="T408">
        <v>1098</v>
      </c>
      <c r="U408">
        <v>217</v>
      </c>
      <c r="V408">
        <v>338</v>
      </c>
      <c r="W408">
        <v>122</v>
      </c>
      <c r="X408">
        <v>258</v>
      </c>
      <c r="Y408">
        <v>228</v>
      </c>
      <c r="Z408" s="10" t="s">
        <v>281</v>
      </c>
    </row>
    <row r="409" spans="1:26" x14ac:dyDescent="0.4">
      <c r="A409" s="10">
        <v>408</v>
      </c>
      <c r="B409" s="10" t="s">
        <v>811</v>
      </c>
      <c r="C409" s="10" t="s">
        <v>280</v>
      </c>
      <c r="D409" s="10" t="s">
        <v>65</v>
      </c>
      <c r="E409" s="10" t="s">
        <v>78</v>
      </c>
      <c r="F409" s="10" t="s">
        <v>14</v>
      </c>
      <c r="G409" s="10" t="s">
        <v>27</v>
      </c>
      <c r="H409">
        <v>114</v>
      </c>
      <c r="I409">
        <v>110</v>
      </c>
      <c r="J409">
        <v>123</v>
      </c>
      <c r="K409">
        <v>124</v>
      </c>
      <c r="L409">
        <v>101</v>
      </c>
      <c r="M409">
        <v>111</v>
      </c>
      <c r="N409">
        <v>137</v>
      </c>
      <c r="O409">
        <v>117</v>
      </c>
      <c r="P409">
        <v>126</v>
      </c>
      <c r="Q409">
        <v>36</v>
      </c>
      <c r="R409">
        <v>471</v>
      </c>
      <c r="S409">
        <v>491</v>
      </c>
      <c r="T409">
        <v>1099</v>
      </c>
      <c r="U409">
        <v>215</v>
      </c>
      <c r="V409">
        <v>335</v>
      </c>
      <c r="W409">
        <v>123</v>
      </c>
      <c r="X409">
        <v>263</v>
      </c>
      <c r="Y409">
        <v>228</v>
      </c>
      <c r="Z409" s="10" t="s">
        <v>281</v>
      </c>
    </row>
    <row r="410" spans="1:26" x14ac:dyDescent="0.4">
      <c r="A410" s="10">
        <v>409</v>
      </c>
      <c r="B410" s="10" t="s">
        <v>32</v>
      </c>
      <c r="C410" s="10" t="s">
        <v>282</v>
      </c>
      <c r="D410" s="10" t="s">
        <v>65</v>
      </c>
      <c r="E410" s="10" t="s">
        <v>81</v>
      </c>
      <c r="F410" s="10" t="s">
        <v>9</v>
      </c>
      <c r="G410" s="10" t="s">
        <v>27</v>
      </c>
      <c r="H410">
        <v>123</v>
      </c>
      <c r="I410">
        <v>119</v>
      </c>
      <c r="J410">
        <v>118</v>
      </c>
      <c r="K410">
        <v>123</v>
      </c>
      <c r="L410">
        <v>101</v>
      </c>
      <c r="M410">
        <v>116</v>
      </c>
      <c r="N410">
        <v>122</v>
      </c>
      <c r="O410">
        <v>123</v>
      </c>
      <c r="P410">
        <v>118</v>
      </c>
      <c r="Q410">
        <v>36</v>
      </c>
      <c r="R410">
        <v>483</v>
      </c>
      <c r="S410">
        <v>479</v>
      </c>
      <c r="T410">
        <v>1099</v>
      </c>
      <c r="U410">
        <v>224</v>
      </c>
      <c r="V410">
        <v>343</v>
      </c>
      <c r="W410">
        <v>118</v>
      </c>
      <c r="X410">
        <v>240</v>
      </c>
      <c r="Y410">
        <v>239</v>
      </c>
      <c r="Z410" s="10" t="s">
        <v>283</v>
      </c>
    </row>
    <row r="411" spans="1:26" x14ac:dyDescent="0.4">
      <c r="A411" s="10">
        <v>410</v>
      </c>
      <c r="B411" s="10" t="s">
        <v>83</v>
      </c>
      <c r="C411" s="10" t="s">
        <v>282</v>
      </c>
      <c r="D411" s="10" t="s">
        <v>58</v>
      </c>
      <c r="E411" s="10" t="s">
        <v>81</v>
      </c>
      <c r="F411" s="10" t="s">
        <v>9</v>
      </c>
      <c r="G411" s="10" t="s">
        <v>27</v>
      </c>
      <c r="H411">
        <v>126</v>
      </c>
      <c r="I411">
        <v>122</v>
      </c>
      <c r="J411">
        <v>119</v>
      </c>
      <c r="K411">
        <v>124</v>
      </c>
      <c r="L411">
        <v>101</v>
      </c>
      <c r="M411">
        <v>117</v>
      </c>
      <c r="N411">
        <v>123</v>
      </c>
      <c r="O411">
        <v>126</v>
      </c>
      <c r="P411">
        <v>119</v>
      </c>
      <c r="Q411">
        <v>36</v>
      </c>
      <c r="R411">
        <v>491</v>
      </c>
      <c r="S411">
        <v>485</v>
      </c>
      <c r="T411">
        <v>1113</v>
      </c>
      <c r="U411">
        <v>227</v>
      </c>
      <c r="V411">
        <v>347</v>
      </c>
      <c r="W411">
        <v>119</v>
      </c>
      <c r="X411">
        <v>242</v>
      </c>
      <c r="Y411">
        <v>243</v>
      </c>
      <c r="Z411" s="10" t="s">
        <v>283</v>
      </c>
    </row>
    <row r="412" spans="1:26" x14ac:dyDescent="0.4">
      <c r="A412" s="10">
        <v>411</v>
      </c>
      <c r="B412" s="10" t="s">
        <v>643</v>
      </c>
      <c r="C412" s="10" t="s">
        <v>282</v>
      </c>
      <c r="D412" s="10" t="s">
        <v>63</v>
      </c>
      <c r="E412" s="10" t="s">
        <v>81</v>
      </c>
      <c r="F412" s="10" t="s">
        <v>9</v>
      </c>
      <c r="G412" s="10" t="s">
        <v>27</v>
      </c>
      <c r="H412">
        <v>126</v>
      </c>
      <c r="I412">
        <v>125</v>
      </c>
      <c r="J412">
        <v>117</v>
      </c>
      <c r="K412">
        <v>126</v>
      </c>
      <c r="L412">
        <v>101</v>
      </c>
      <c r="M412">
        <v>115</v>
      </c>
      <c r="N412">
        <v>125</v>
      </c>
      <c r="O412">
        <v>124</v>
      </c>
      <c r="P412">
        <v>119</v>
      </c>
      <c r="Q412">
        <v>36</v>
      </c>
      <c r="R412">
        <v>494</v>
      </c>
      <c r="S412">
        <v>483</v>
      </c>
      <c r="T412">
        <v>1114</v>
      </c>
      <c r="U412">
        <v>227</v>
      </c>
      <c r="V412">
        <v>352</v>
      </c>
      <c r="W412">
        <v>117</v>
      </c>
      <c r="X412">
        <v>244</v>
      </c>
      <c r="Y412">
        <v>239</v>
      </c>
      <c r="Z412" s="10" t="s">
        <v>283</v>
      </c>
    </row>
    <row r="413" spans="1:26" x14ac:dyDescent="0.4">
      <c r="A413" s="10">
        <v>412</v>
      </c>
      <c r="B413" s="10" t="s">
        <v>748</v>
      </c>
      <c r="C413" s="10" t="s">
        <v>282</v>
      </c>
      <c r="D413" s="10" t="s">
        <v>65</v>
      </c>
      <c r="E413" s="10" t="s">
        <v>81</v>
      </c>
      <c r="F413" s="10" t="s">
        <v>9</v>
      </c>
      <c r="G413" s="10" t="s">
        <v>27</v>
      </c>
      <c r="H413">
        <v>129</v>
      </c>
      <c r="I413">
        <v>119</v>
      </c>
      <c r="J413">
        <v>117</v>
      </c>
      <c r="K413">
        <v>122</v>
      </c>
      <c r="L413">
        <v>101</v>
      </c>
      <c r="M413">
        <v>119</v>
      </c>
      <c r="N413">
        <v>125</v>
      </c>
      <c r="O413">
        <v>127</v>
      </c>
      <c r="P413">
        <v>120</v>
      </c>
      <c r="Q413">
        <v>36</v>
      </c>
      <c r="R413">
        <v>487</v>
      </c>
      <c r="S413">
        <v>491</v>
      </c>
      <c r="T413">
        <v>1115</v>
      </c>
      <c r="U413">
        <v>230</v>
      </c>
      <c r="V413">
        <v>342</v>
      </c>
      <c r="W413">
        <v>117</v>
      </c>
      <c r="X413">
        <v>245</v>
      </c>
      <c r="Y413">
        <v>246</v>
      </c>
      <c r="Z413" s="10" t="s">
        <v>283</v>
      </c>
    </row>
    <row r="414" spans="1:26" x14ac:dyDescent="0.4">
      <c r="A414" s="10">
        <v>413</v>
      </c>
      <c r="B414" s="10" t="s">
        <v>977</v>
      </c>
      <c r="C414" s="10" t="s">
        <v>282</v>
      </c>
      <c r="D414" s="10" t="s">
        <v>58</v>
      </c>
      <c r="E414" s="10" t="s">
        <v>81</v>
      </c>
      <c r="F414" s="10" t="s">
        <v>9</v>
      </c>
      <c r="G414" s="10" t="s">
        <v>27</v>
      </c>
      <c r="H414">
        <v>130</v>
      </c>
      <c r="I414">
        <v>122</v>
      </c>
      <c r="J414">
        <v>120</v>
      </c>
      <c r="K414">
        <v>124</v>
      </c>
      <c r="L414">
        <v>101</v>
      </c>
      <c r="M414">
        <v>119</v>
      </c>
      <c r="N414">
        <v>124</v>
      </c>
      <c r="O414">
        <v>128</v>
      </c>
      <c r="P414">
        <v>121</v>
      </c>
      <c r="Q414">
        <v>36</v>
      </c>
      <c r="R414">
        <v>496</v>
      </c>
      <c r="S414">
        <v>492</v>
      </c>
      <c r="T414">
        <v>1125</v>
      </c>
      <c r="U414">
        <v>231</v>
      </c>
      <c r="V414">
        <v>347</v>
      </c>
      <c r="W414">
        <v>120</v>
      </c>
      <c r="X414">
        <v>245</v>
      </c>
      <c r="Y414">
        <v>247</v>
      </c>
      <c r="Z414" s="10" t="s">
        <v>283</v>
      </c>
    </row>
    <row r="415" spans="1:26" x14ac:dyDescent="0.4">
      <c r="A415" s="10">
        <v>414</v>
      </c>
      <c r="B415" s="10" t="s">
        <v>32</v>
      </c>
      <c r="C415" s="10" t="s">
        <v>284</v>
      </c>
      <c r="D415" s="10" t="s">
        <v>65</v>
      </c>
      <c r="E415" s="10" t="s">
        <v>81</v>
      </c>
      <c r="F415" s="10" t="s">
        <v>9</v>
      </c>
      <c r="G415" s="10" t="s">
        <v>27</v>
      </c>
      <c r="H415">
        <v>125</v>
      </c>
      <c r="I415">
        <v>119</v>
      </c>
      <c r="J415">
        <v>116</v>
      </c>
      <c r="K415">
        <v>119</v>
      </c>
      <c r="L415">
        <v>97</v>
      </c>
      <c r="M415">
        <v>118</v>
      </c>
      <c r="N415">
        <v>119</v>
      </c>
      <c r="O415">
        <v>121</v>
      </c>
      <c r="P415">
        <v>119</v>
      </c>
      <c r="Q415">
        <v>36</v>
      </c>
      <c r="R415">
        <v>479</v>
      </c>
      <c r="S415">
        <v>477</v>
      </c>
      <c r="T415">
        <v>1089</v>
      </c>
      <c r="U415">
        <v>222</v>
      </c>
      <c r="V415">
        <v>335</v>
      </c>
      <c r="W415">
        <v>116</v>
      </c>
      <c r="X415">
        <v>238</v>
      </c>
      <c r="Y415">
        <v>239</v>
      </c>
      <c r="Z415" s="10" t="s">
        <v>285</v>
      </c>
    </row>
    <row r="416" spans="1:26" x14ac:dyDescent="0.4">
      <c r="A416" s="10">
        <v>415</v>
      </c>
      <c r="B416" s="10" t="s">
        <v>32</v>
      </c>
      <c r="C416" s="10" t="s">
        <v>286</v>
      </c>
      <c r="D416" s="10" t="s">
        <v>65</v>
      </c>
      <c r="E416" s="10" t="s">
        <v>81</v>
      </c>
      <c r="F416" s="10" t="s">
        <v>9</v>
      </c>
      <c r="G416" s="10" t="s">
        <v>27</v>
      </c>
      <c r="H416">
        <v>123</v>
      </c>
      <c r="I416">
        <v>118</v>
      </c>
      <c r="J416">
        <v>114</v>
      </c>
      <c r="K416">
        <v>121</v>
      </c>
      <c r="L416">
        <v>97</v>
      </c>
      <c r="M416">
        <v>117</v>
      </c>
      <c r="N416">
        <v>115</v>
      </c>
      <c r="O416">
        <v>120</v>
      </c>
      <c r="P416">
        <v>117</v>
      </c>
      <c r="Q416">
        <v>31</v>
      </c>
      <c r="R416">
        <v>476</v>
      </c>
      <c r="S416">
        <v>469</v>
      </c>
      <c r="T416">
        <v>1073</v>
      </c>
      <c r="U416">
        <v>220</v>
      </c>
      <c r="V416">
        <v>336</v>
      </c>
      <c r="W416">
        <v>114</v>
      </c>
      <c r="X416">
        <v>232</v>
      </c>
      <c r="Y416">
        <v>237</v>
      </c>
      <c r="Z416" s="10" t="s">
        <v>287</v>
      </c>
    </row>
    <row r="417" spans="1:26" x14ac:dyDescent="0.4">
      <c r="A417" s="10">
        <v>416</v>
      </c>
      <c r="B417" s="10" t="s">
        <v>340</v>
      </c>
      <c r="C417" s="10" t="s">
        <v>286</v>
      </c>
      <c r="D417" s="10" t="s">
        <v>58</v>
      </c>
      <c r="E417" s="10" t="s">
        <v>81</v>
      </c>
      <c r="F417" s="10" t="s">
        <v>9</v>
      </c>
      <c r="G417" s="10" t="s">
        <v>27</v>
      </c>
      <c r="H417">
        <v>126</v>
      </c>
      <c r="I417">
        <v>121</v>
      </c>
      <c r="J417">
        <v>115</v>
      </c>
      <c r="K417">
        <v>122</v>
      </c>
      <c r="L417">
        <v>97</v>
      </c>
      <c r="M417">
        <v>118</v>
      </c>
      <c r="N417">
        <v>116</v>
      </c>
      <c r="O417">
        <v>123</v>
      </c>
      <c r="P417">
        <v>118</v>
      </c>
      <c r="Q417">
        <v>31</v>
      </c>
      <c r="R417">
        <v>484</v>
      </c>
      <c r="S417">
        <v>475</v>
      </c>
      <c r="T417">
        <v>1087</v>
      </c>
      <c r="U417">
        <v>223</v>
      </c>
      <c r="V417">
        <v>340</v>
      </c>
      <c r="W417">
        <v>115</v>
      </c>
      <c r="X417">
        <v>234</v>
      </c>
      <c r="Y417">
        <v>241</v>
      </c>
      <c r="Z417" s="10" t="s">
        <v>287</v>
      </c>
    </row>
    <row r="418" spans="1:26" x14ac:dyDescent="0.4">
      <c r="A418" s="10">
        <v>417</v>
      </c>
      <c r="B418" s="10" t="s">
        <v>865</v>
      </c>
      <c r="C418" s="10" t="s">
        <v>286</v>
      </c>
      <c r="D418" s="10" t="s">
        <v>63</v>
      </c>
      <c r="E418" s="10" t="s">
        <v>81</v>
      </c>
      <c r="F418" s="10" t="s">
        <v>9</v>
      </c>
      <c r="G418" s="10" t="s">
        <v>27</v>
      </c>
      <c r="H418">
        <v>129</v>
      </c>
      <c r="I418">
        <v>121</v>
      </c>
      <c r="J418">
        <v>116</v>
      </c>
      <c r="K418">
        <v>122</v>
      </c>
      <c r="L418">
        <v>97</v>
      </c>
      <c r="M418">
        <v>120</v>
      </c>
      <c r="N418">
        <v>117</v>
      </c>
      <c r="O418">
        <v>125</v>
      </c>
      <c r="P418">
        <v>120</v>
      </c>
      <c r="Q418">
        <v>31</v>
      </c>
      <c r="R418">
        <v>488</v>
      </c>
      <c r="S418">
        <v>482</v>
      </c>
      <c r="T418">
        <v>1098</v>
      </c>
      <c r="U418">
        <v>226</v>
      </c>
      <c r="V418">
        <v>340</v>
      </c>
      <c r="W418">
        <v>116</v>
      </c>
      <c r="X418">
        <v>237</v>
      </c>
      <c r="Y418">
        <v>245</v>
      </c>
      <c r="Z418" s="10" t="s">
        <v>287</v>
      </c>
    </row>
    <row r="419" spans="1:26" x14ac:dyDescent="0.4">
      <c r="A419" s="10">
        <v>418</v>
      </c>
      <c r="B419" s="10" t="s">
        <v>32</v>
      </c>
      <c r="C419" s="10" t="s">
        <v>288</v>
      </c>
      <c r="D419" s="10" t="s">
        <v>65</v>
      </c>
      <c r="E419" s="10" t="s">
        <v>81</v>
      </c>
      <c r="F419" s="10" t="s">
        <v>9</v>
      </c>
      <c r="G419" s="10" t="s">
        <v>27</v>
      </c>
      <c r="H419">
        <v>121</v>
      </c>
      <c r="I419">
        <v>120</v>
      </c>
      <c r="J419">
        <v>114</v>
      </c>
      <c r="K419">
        <v>121</v>
      </c>
      <c r="L419">
        <v>101</v>
      </c>
      <c r="M419">
        <v>116</v>
      </c>
      <c r="N419">
        <v>116</v>
      </c>
      <c r="O419">
        <v>118</v>
      </c>
      <c r="P419">
        <v>115</v>
      </c>
      <c r="Q419">
        <v>36</v>
      </c>
      <c r="R419">
        <v>476</v>
      </c>
      <c r="S419">
        <v>465</v>
      </c>
      <c r="T419">
        <v>1078</v>
      </c>
      <c r="U419">
        <v>222</v>
      </c>
      <c r="V419">
        <v>342</v>
      </c>
      <c r="W419">
        <v>114</v>
      </c>
      <c r="X419">
        <v>231</v>
      </c>
      <c r="Y419">
        <v>234</v>
      </c>
      <c r="Z419" s="10" t="s">
        <v>289</v>
      </c>
    </row>
    <row r="420" spans="1:26" x14ac:dyDescent="0.4">
      <c r="A420" s="10">
        <v>419</v>
      </c>
      <c r="B420" s="10" t="s">
        <v>32</v>
      </c>
      <c r="C420" s="10" t="s">
        <v>290</v>
      </c>
      <c r="D420" s="10" t="s">
        <v>65</v>
      </c>
      <c r="E420" s="10" t="s">
        <v>59</v>
      </c>
      <c r="F420" s="10" t="s">
        <v>9</v>
      </c>
      <c r="G420" s="10" t="s">
        <v>27</v>
      </c>
      <c r="H420">
        <v>116</v>
      </c>
      <c r="I420">
        <v>112</v>
      </c>
      <c r="J420">
        <v>112</v>
      </c>
      <c r="K420">
        <v>126</v>
      </c>
      <c r="L420">
        <v>97</v>
      </c>
      <c r="M420">
        <v>121</v>
      </c>
      <c r="N420">
        <v>115</v>
      </c>
      <c r="O420">
        <v>116</v>
      </c>
      <c r="P420">
        <v>116</v>
      </c>
      <c r="Q420">
        <v>31</v>
      </c>
      <c r="R420">
        <v>466</v>
      </c>
      <c r="S420">
        <v>468</v>
      </c>
      <c r="T420">
        <v>1062</v>
      </c>
      <c r="U420">
        <v>213</v>
      </c>
      <c r="V420">
        <v>335</v>
      </c>
      <c r="W420">
        <v>112</v>
      </c>
      <c r="X420">
        <v>231</v>
      </c>
      <c r="Y420">
        <v>237</v>
      </c>
      <c r="Z420" s="10" t="s">
        <v>291</v>
      </c>
    </row>
    <row r="421" spans="1:26" x14ac:dyDescent="0.4">
      <c r="A421" s="10">
        <v>420</v>
      </c>
      <c r="B421" s="10" t="s">
        <v>643</v>
      </c>
      <c r="C421" s="10" t="s">
        <v>290</v>
      </c>
      <c r="D421" s="10" t="s">
        <v>58</v>
      </c>
      <c r="E421" s="10" t="s">
        <v>59</v>
      </c>
      <c r="F421" s="10" t="s">
        <v>9</v>
      </c>
      <c r="G421" s="10" t="s">
        <v>27</v>
      </c>
      <c r="H421">
        <v>119</v>
      </c>
      <c r="I421">
        <v>113</v>
      </c>
      <c r="J421">
        <v>113</v>
      </c>
      <c r="K421">
        <v>127</v>
      </c>
      <c r="L421">
        <v>97</v>
      </c>
      <c r="M421">
        <v>124</v>
      </c>
      <c r="N421">
        <v>116</v>
      </c>
      <c r="O421">
        <v>119</v>
      </c>
      <c r="P421">
        <v>117</v>
      </c>
      <c r="Q421">
        <v>31</v>
      </c>
      <c r="R421">
        <v>472</v>
      </c>
      <c r="S421">
        <v>476</v>
      </c>
      <c r="T421">
        <v>1076</v>
      </c>
      <c r="U421">
        <v>216</v>
      </c>
      <c r="V421">
        <v>337</v>
      </c>
      <c r="W421">
        <v>113</v>
      </c>
      <c r="X421">
        <v>233</v>
      </c>
      <c r="Y421">
        <v>243</v>
      </c>
      <c r="Z421" s="10" t="s">
        <v>291</v>
      </c>
    </row>
    <row r="422" spans="1:26" x14ac:dyDescent="0.4">
      <c r="A422" s="10">
        <v>421</v>
      </c>
      <c r="B422" s="10" t="s">
        <v>32</v>
      </c>
      <c r="C422" s="10" t="s">
        <v>292</v>
      </c>
      <c r="D422" s="10" t="s">
        <v>65</v>
      </c>
      <c r="E422" s="10" t="s">
        <v>67</v>
      </c>
      <c r="F422" s="10" t="s">
        <v>9</v>
      </c>
      <c r="G422" s="10" t="s">
        <v>27</v>
      </c>
      <c r="H422">
        <v>115</v>
      </c>
      <c r="I422">
        <v>116</v>
      </c>
      <c r="J422">
        <v>120</v>
      </c>
      <c r="K422">
        <v>120</v>
      </c>
      <c r="L422">
        <v>97</v>
      </c>
      <c r="M422">
        <v>115</v>
      </c>
      <c r="N422">
        <v>114</v>
      </c>
      <c r="O422">
        <v>116</v>
      </c>
      <c r="P422">
        <v>117</v>
      </c>
      <c r="Q422">
        <v>41</v>
      </c>
      <c r="R422">
        <v>471</v>
      </c>
      <c r="S422">
        <v>462</v>
      </c>
      <c r="T422">
        <v>1071</v>
      </c>
      <c r="U422">
        <v>212</v>
      </c>
      <c r="V422">
        <v>333</v>
      </c>
      <c r="W422">
        <v>120</v>
      </c>
      <c r="X422">
        <v>231</v>
      </c>
      <c r="Y422">
        <v>231</v>
      </c>
      <c r="Z422" s="10" t="s">
        <v>293</v>
      </c>
    </row>
    <row r="423" spans="1:26" x14ac:dyDescent="0.4">
      <c r="A423" s="10">
        <v>422</v>
      </c>
      <c r="B423" s="10" t="s">
        <v>32</v>
      </c>
      <c r="C423" s="10" t="s">
        <v>294</v>
      </c>
      <c r="D423" s="10" t="s">
        <v>65</v>
      </c>
      <c r="E423" s="10" t="s">
        <v>59</v>
      </c>
      <c r="F423" s="10" t="s">
        <v>9</v>
      </c>
      <c r="G423" s="10" t="s">
        <v>27</v>
      </c>
      <c r="H423">
        <v>117</v>
      </c>
      <c r="I423">
        <v>113</v>
      </c>
      <c r="J423">
        <v>112</v>
      </c>
      <c r="K423">
        <v>116</v>
      </c>
      <c r="L423">
        <v>97</v>
      </c>
      <c r="M423">
        <v>121</v>
      </c>
      <c r="N423">
        <v>115</v>
      </c>
      <c r="O423">
        <v>116</v>
      </c>
      <c r="P423">
        <v>115</v>
      </c>
      <c r="Q423">
        <v>31</v>
      </c>
      <c r="R423">
        <v>458</v>
      </c>
      <c r="S423">
        <v>467</v>
      </c>
      <c r="T423">
        <v>1053</v>
      </c>
      <c r="U423">
        <v>214</v>
      </c>
      <c r="V423">
        <v>326</v>
      </c>
      <c r="W423">
        <v>112</v>
      </c>
      <c r="X423">
        <v>230</v>
      </c>
      <c r="Y423">
        <v>237</v>
      </c>
      <c r="Z423" s="10" t="s">
        <v>295</v>
      </c>
    </row>
    <row r="424" spans="1:26" x14ac:dyDescent="0.4">
      <c r="A424" s="10">
        <v>423</v>
      </c>
      <c r="B424" s="10" t="s">
        <v>32</v>
      </c>
      <c r="C424" s="10" t="s">
        <v>296</v>
      </c>
      <c r="D424" s="10" t="s">
        <v>65</v>
      </c>
      <c r="E424" s="10" t="s">
        <v>78</v>
      </c>
      <c r="F424" s="10" t="s">
        <v>9</v>
      </c>
      <c r="G424" s="10" t="s">
        <v>27</v>
      </c>
      <c r="H424">
        <v>112</v>
      </c>
      <c r="I424">
        <v>110</v>
      </c>
      <c r="J424">
        <v>114</v>
      </c>
      <c r="K424">
        <v>120</v>
      </c>
      <c r="L424">
        <v>101</v>
      </c>
      <c r="M424">
        <v>110</v>
      </c>
      <c r="N424">
        <v>121</v>
      </c>
      <c r="O424">
        <v>119</v>
      </c>
      <c r="P424">
        <v>120</v>
      </c>
      <c r="Q424">
        <v>41</v>
      </c>
      <c r="R424">
        <v>456</v>
      </c>
      <c r="S424">
        <v>470</v>
      </c>
      <c r="T424">
        <v>1068</v>
      </c>
      <c r="U424">
        <v>213</v>
      </c>
      <c r="V424">
        <v>331</v>
      </c>
      <c r="W424">
        <v>114</v>
      </c>
      <c r="X424">
        <v>241</v>
      </c>
      <c r="Y424">
        <v>229</v>
      </c>
      <c r="Z424" s="10" t="s">
        <v>297</v>
      </c>
    </row>
    <row r="425" spans="1:26" x14ac:dyDescent="0.4">
      <c r="A425" s="10">
        <v>424</v>
      </c>
      <c r="B425" s="10" t="s">
        <v>32</v>
      </c>
      <c r="C425" s="10" t="s">
        <v>813</v>
      </c>
      <c r="D425" s="10" t="s">
        <v>58</v>
      </c>
      <c r="E425" s="10" t="s">
        <v>67</v>
      </c>
      <c r="F425" s="10" t="s">
        <v>814</v>
      </c>
      <c r="G425" s="10" t="s">
        <v>27</v>
      </c>
      <c r="H425">
        <v>117</v>
      </c>
      <c r="I425">
        <v>121</v>
      </c>
      <c r="J425">
        <v>123</v>
      </c>
      <c r="K425">
        <v>121</v>
      </c>
      <c r="L425">
        <v>101</v>
      </c>
      <c r="M425">
        <v>119</v>
      </c>
      <c r="N425">
        <v>119</v>
      </c>
      <c r="O425">
        <v>118</v>
      </c>
      <c r="P425">
        <v>117</v>
      </c>
      <c r="Q425">
        <v>41</v>
      </c>
      <c r="R425">
        <v>482</v>
      </c>
      <c r="S425">
        <v>473</v>
      </c>
      <c r="T425">
        <v>1097</v>
      </c>
      <c r="U425">
        <v>218</v>
      </c>
      <c r="V425">
        <v>343</v>
      </c>
      <c r="W425">
        <v>123</v>
      </c>
      <c r="X425">
        <v>236</v>
      </c>
      <c r="Y425">
        <v>237</v>
      </c>
      <c r="Z425" s="10" t="s">
        <v>815</v>
      </c>
    </row>
    <row r="426" spans="1:26" x14ac:dyDescent="0.4">
      <c r="A426" s="10">
        <v>425</v>
      </c>
      <c r="B426" s="10" t="s">
        <v>32</v>
      </c>
      <c r="C426" s="10" t="s">
        <v>819</v>
      </c>
      <c r="D426" s="10" t="s">
        <v>58</v>
      </c>
      <c r="E426" s="10" t="s">
        <v>59</v>
      </c>
      <c r="F426" s="10" t="s">
        <v>814</v>
      </c>
      <c r="G426" s="10" t="s">
        <v>27</v>
      </c>
      <c r="H426">
        <v>115</v>
      </c>
      <c r="I426">
        <v>116</v>
      </c>
      <c r="J426">
        <v>112</v>
      </c>
      <c r="K426">
        <v>122</v>
      </c>
      <c r="L426">
        <v>97</v>
      </c>
      <c r="M426">
        <v>121</v>
      </c>
      <c r="N426">
        <v>116</v>
      </c>
      <c r="O426">
        <v>116</v>
      </c>
      <c r="P426">
        <v>116</v>
      </c>
      <c r="Q426">
        <v>36</v>
      </c>
      <c r="R426">
        <v>465</v>
      </c>
      <c r="S426">
        <v>469</v>
      </c>
      <c r="T426">
        <v>1067</v>
      </c>
      <c r="U426">
        <v>212</v>
      </c>
      <c r="V426">
        <v>335</v>
      </c>
      <c r="W426">
        <v>112</v>
      </c>
      <c r="X426">
        <v>232</v>
      </c>
      <c r="Y426">
        <v>237</v>
      </c>
      <c r="Z426" s="10" t="s">
        <v>820</v>
      </c>
    </row>
    <row r="427" spans="1:26" x14ac:dyDescent="0.4">
      <c r="A427" s="10">
        <v>426</v>
      </c>
      <c r="B427" s="10" t="s">
        <v>32</v>
      </c>
      <c r="C427" s="10" t="s">
        <v>822</v>
      </c>
      <c r="D427" s="10" t="s">
        <v>58</v>
      </c>
      <c r="E427" s="10" t="s">
        <v>81</v>
      </c>
      <c r="F427" s="10" t="s">
        <v>814</v>
      </c>
      <c r="G427" s="10" t="s">
        <v>27</v>
      </c>
      <c r="H427">
        <v>121</v>
      </c>
      <c r="I427">
        <v>119</v>
      </c>
      <c r="J427">
        <v>112</v>
      </c>
      <c r="K427">
        <v>119</v>
      </c>
      <c r="L427">
        <v>99</v>
      </c>
      <c r="M427">
        <v>121</v>
      </c>
      <c r="N427">
        <v>114</v>
      </c>
      <c r="O427">
        <v>119</v>
      </c>
      <c r="P427">
        <v>115</v>
      </c>
      <c r="Q427">
        <v>41</v>
      </c>
      <c r="R427">
        <v>471</v>
      </c>
      <c r="S427">
        <v>469</v>
      </c>
      <c r="T427">
        <v>1080</v>
      </c>
      <c r="U427">
        <v>220</v>
      </c>
      <c r="V427">
        <v>337</v>
      </c>
      <c r="W427">
        <v>112</v>
      </c>
      <c r="X427">
        <v>229</v>
      </c>
      <c r="Y427">
        <v>240</v>
      </c>
      <c r="Z427" s="10" t="s">
        <v>823</v>
      </c>
    </row>
    <row r="428" spans="1:26" x14ac:dyDescent="0.4">
      <c r="A428" s="10">
        <v>427</v>
      </c>
      <c r="B428" s="10" t="s">
        <v>32</v>
      </c>
      <c r="C428" s="10" t="s">
        <v>826</v>
      </c>
      <c r="D428" s="10" t="s">
        <v>58</v>
      </c>
      <c r="E428" s="10" t="s">
        <v>59</v>
      </c>
      <c r="F428" s="10" t="s">
        <v>814</v>
      </c>
      <c r="G428" s="10" t="s">
        <v>27</v>
      </c>
      <c r="H428">
        <v>118</v>
      </c>
      <c r="I428">
        <v>115</v>
      </c>
      <c r="J428">
        <v>112</v>
      </c>
      <c r="K428">
        <v>117</v>
      </c>
      <c r="L428">
        <v>97</v>
      </c>
      <c r="M428">
        <v>119</v>
      </c>
      <c r="N428">
        <v>114</v>
      </c>
      <c r="O428">
        <v>115</v>
      </c>
      <c r="P428">
        <v>114</v>
      </c>
      <c r="Q428">
        <v>36</v>
      </c>
      <c r="R428">
        <v>462</v>
      </c>
      <c r="S428">
        <v>462</v>
      </c>
      <c r="T428">
        <v>1057</v>
      </c>
      <c r="U428">
        <v>215</v>
      </c>
      <c r="V428">
        <v>329</v>
      </c>
      <c r="W428">
        <v>112</v>
      </c>
      <c r="X428">
        <v>228</v>
      </c>
      <c r="Y428">
        <v>234</v>
      </c>
      <c r="Z428" s="10" t="s">
        <v>827</v>
      </c>
    </row>
    <row r="429" spans="1:26" x14ac:dyDescent="0.4">
      <c r="A429" s="10">
        <v>428</v>
      </c>
      <c r="B429" s="10" t="s">
        <v>32</v>
      </c>
      <c r="C429" s="10" t="s">
        <v>830</v>
      </c>
      <c r="D429" s="10" t="s">
        <v>58</v>
      </c>
      <c r="E429" s="10" t="s">
        <v>78</v>
      </c>
      <c r="F429" s="10" t="s">
        <v>814</v>
      </c>
      <c r="G429" s="10" t="s">
        <v>27</v>
      </c>
      <c r="H429">
        <v>113</v>
      </c>
      <c r="I429">
        <v>110</v>
      </c>
      <c r="J429">
        <v>119</v>
      </c>
      <c r="K429">
        <v>122</v>
      </c>
      <c r="L429">
        <v>101</v>
      </c>
      <c r="M429">
        <v>110</v>
      </c>
      <c r="N429">
        <v>123</v>
      </c>
      <c r="O429">
        <v>119</v>
      </c>
      <c r="P429">
        <v>122</v>
      </c>
      <c r="Q429">
        <v>41</v>
      </c>
      <c r="R429">
        <v>464</v>
      </c>
      <c r="S429">
        <v>474</v>
      </c>
      <c r="T429">
        <v>1080</v>
      </c>
      <c r="U429">
        <v>214</v>
      </c>
      <c r="V429">
        <v>333</v>
      </c>
      <c r="W429">
        <v>119</v>
      </c>
      <c r="X429">
        <v>245</v>
      </c>
      <c r="Y429">
        <v>229</v>
      </c>
      <c r="Z429" s="10" t="s">
        <v>831</v>
      </c>
    </row>
    <row r="430" spans="1:26" x14ac:dyDescent="0.4">
      <c r="A430" s="10">
        <v>429</v>
      </c>
      <c r="B430" s="10" t="s">
        <v>32</v>
      </c>
      <c r="C430" s="10" t="s">
        <v>834</v>
      </c>
      <c r="D430" s="10" t="s">
        <v>58</v>
      </c>
      <c r="E430" s="10" t="s">
        <v>81</v>
      </c>
      <c r="F430" s="10" t="s">
        <v>814</v>
      </c>
      <c r="G430" s="10" t="s">
        <v>27</v>
      </c>
      <c r="H430">
        <v>123</v>
      </c>
      <c r="I430">
        <v>117</v>
      </c>
      <c r="J430">
        <v>113</v>
      </c>
      <c r="K430">
        <v>116</v>
      </c>
      <c r="L430">
        <v>99</v>
      </c>
      <c r="M430">
        <v>119</v>
      </c>
      <c r="N430">
        <v>118</v>
      </c>
      <c r="O430">
        <v>120</v>
      </c>
      <c r="P430">
        <v>120</v>
      </c>
      <c r="Q430">
        <v>41</v>
      </c>
      <c r="R430">
        <v>469</v>
      </c>
      <c r="S430">
        <v>477</v>
      </c>
      <c r="T430">
        <v>1086</v>
      </c>
      <c r="U430">
        <v>222</v>
      </c>
      <c r="V430">
        <v>332</v>
      </c>
      <c r="W430">
        <v>113</v>
      </c>
      <c r="X430">
        <v>238</v>
      </c>
      <c r="Y430">
        <v>239</v>
      </c>
      <c r="Z430" s="10" t="s">
        <v>835</v>
      </c>
    </row>
    <row r="431" spans="1:26" x14ac:dyDescent="0.4">
      <c r="A431" s="10">
        <v>430</v>
      </c>
      <c r="B431" s="10" t="s">
        <v>32</v>
      </c>
      <c r="C431" s="10" t="s">
        <v>840</v>
      </c>
      <c r="D431" s="10" t="s">
        <v>58</v>
      </c>
      <c r="E431" s="10" t="s">
        <v>81</v>
      </c>
      <c r="F431" s="10" t="s">
        <v>814</v>
      </c>
      <c r="G431" s="10" t="s">
        <v>27</v>
      </c>
      <c r="H431">
        <v>120</v>
      </c>
      <c r="I431">
        <v>116</v>
      </c>
      <c r="J431">
        <v>116</v>
      </c>
      <c r="K431">
        <v>118</v>
      </c>
      <c r="L431">
        <v>97</v>
      </c>
      <c r="M431">
        <v>117</v>
      </c>
      <c r="N431">
        <v>114</v>
      </c>
      <c r="O431">
        <v>117</v>
      </c>
      <c r="P431">
        <v>115</v>
      </c>
      <c r="Q431">
        <v>36</v>
      </c>
      <c r="R431">
        <v>470</v>
      </c>
      <c r="S431">
        <v>463</v>
      </c>
      <c r="T431">
        <v>1066</v>
      </c>
      <c r="U431">
        <v>217</v>
      </c>
      <c r="V431">
        <v>331</v>
      </c>
      <c r="W431">
        <v>116</v>
      </c>
      <c r="X431">
        <v>229</v>
      </c>
      <c r="Y431">
        <v>234</v>
      </c>
      <c r="Z431" s="10" t="s">
        <v>841</v>
      </c>
    </row>
  </sheetData>
  <phoneticPr fontId="1"/>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DBC73-BA0A-413F-ADD6-619D355B7F6F}">
  <dimension ref="A1:K80"/>
  <sheetViews>
    <sheetView topLeftCell="A33" zoomScaleNormal="100" workbookViewId="0">
      <selection activeCell="G75" sqref="G75:K75"/>
    </sheetView>
  </sheetViews>
  <sheetFormatPr defaultRowHeight="16.5" x14ac:dyDescent="0.4"/>
  <cols>
    <col min="1" max="1" width="6.75" bestFit="1" customWidth="1"/>
    <col min="2" max="3" width="11.375" bestFit="1" customWidth="1"/>
    <col min="4" max="5" width="8.625" bestFit="1" customWidth="1"/>
    <col min="6" max="6" width="20.12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8.62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5" bestFit="1" customWidth="1"/>
    <col min="27" max="28" width="15.625" bestFit="1" customWidth="1"/>
    <col min="29" max="29" width="12.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1</v>
      </c>
      <c r="B2" t="s">
        <v>32</v>
      </c>
      <c r="C2" t="s">
        <v>778</v>
      </c>
      <c r="D2">
        <v>453</v>
      </c>
      <c r="E2">
        <v>493</v>
      </c>
      <c r="F2" t="s">
        <v>347</v>
      </c>
      <c r="G2">
        <v>94.481447500000002</v>
      </c>
      <c r="H2">
        <v>91.480129469999994</v>
      </c>
      <c r="I2">
        <v>96.627551249999996</v>
      </c>
      <c r="J2">
        <v>102.9977322</v>
      </c>
      <c r="K2">
        <v>108.43112189999999</v>
      </c>
    </row>
    <row r="3" spans="1:11" x14ac:dyDescent="0.4">
      <c r="A3">
        <v>11</v>
      </c>
      <c r="B3" t="s">
        <v>32</v>
      </c>
      <c r="C3" t="s">
        <v>778</v>
      </c>
      <c r="D3">
        <v>498</v>
      </c>
      <c r="E3">
        <v>465</v>
      </c>
      <c r="F3" t="s">
        <v>351</v>
      </c>
      <c r="G3">
        <v>101.8395175</v>
      </c>
      <c r="H3">
        <v>102.8399568</v>
      </c>
      <c r="I3">
        <v>115.73809420000001</v>
      </c>
      <c r="J3">
        <v>98.501133890000006</v>
      </c>
      <c r="K3">
        <v>96.065476459999999</v>
      </c>
    </row>
    <row r="4" spans="1:11" x14ac:dyDescent="0.4">
      <c r="A4">
        <v>22</v>
      </c>
      <c r="B4" t="s">
        <v>32</v>
      </c>
      <c r="C4" t="s">
        <v>778</v>
      </c>
      <c r="D4">
        <v>466</v>
      </c>
      <c r="E4">
        <v>472</v>
      </c>
      <c r="F4" t="s">
        <v>356</v>
      </c>
      <c r="G4">
        <v>95.094620000000006</v>
      </c>
      <c r="H4">
        <v>97.160043160000001</v>
      </c>
      <c r="I4">
        <v>96.627551249999996</v>
      </c>
      <c r="J4">
        <v>94.004535559999994</v>
      </c>
      <c r="K4">
        <v>103.3724488</v>
      </c>
    </row>
    <row r="5" spans="1:11" x14ac:dyDescent="0.4">
      <c r="A5">
        <v>33</v>
      </c>
      <c r="B5" t="s">
        <v>32</v>
      </c>
      <c r="C5" t="s">
        <v>778</v>
      </c>
      <c r="D5">
        <v>475</v>
      </c>
      <c r="E5">
        <v>469</v>
      </c>
      <c r="F5" t="s">
        <v>360</v>
      </c>
      <c r="G5">
        <v>93.868274999999997</v>
      </c>
      <c r="H5">
        <v>99.526673900000006</v>
      </c>
      <c r="I5">
        <v>103.3724488</v>
      </c>
      <c r="J5">
        <v>100</v>
      </c>
      <c r="K5">
        <v>97.189626039999993</v>
      </c>
    </row>
    <row r="6" spans="1:11" x14ac:dyDescent="0.4">
      <c r="A6">
        <v>40</v>
      </c>
      <c r="B6" t="s">
        <v>32</v>
      </c>
      <c r="C6" t="s">
        <v>778</v>
      </c>
      <c r="D6">
        <v>470</v>
      </c>
      <c r="E6">
        <v>479</v>
      </c>
      <c r="F6" t="s">
        <v>363</v>
      </c>
      <c r="G6">
        <v>98.160482500000001</v>
      </c>
      <c r="H6">
        <v>96.686717020000003</v>
      </c>
      <c r="I6">
        <v>105.6207479</v>
      </c>
      <c r="J6">
        <v>111.9909289</v>
      </c>
      <c r="K6">
        <v>93.817177290000004</v>
      </c>
    </row>
    <row r="7" spans="1:11" x14ac:dyDescent="0.4">
      <c r="A7">
        <v>48</v>
      </c>
      <c r="B7" t="s">
        <v>32</v>
      </c>
      <c r="C7" t="s">
        <v>778</v>
      </c>
      <c r="D7">
        <v>469</v>
      </c>
      <c r="E7">
        <v>463</v>
      </c>
      <c r="F7" t="s">
        <v>367</v>
      </c>
      <c r="G7">
        <v>100.6131725</v>
      </c>
      <c r="H7">
        <v>93.846760180000004</v>
      </c>
      <c r="I7">
        <v>97.751700830000004</v>
      </c>
      <c r="J7">
        <v>96.252834719999996</v>
      </c>
      <c r="K7">
        <v>96.627551249999996</v>
      </c>
    </row>
    <row r="8" spans="1:11" x14ac:dyDescent="0.4">
      <c r="A8">
        <v>54</v>
      </c>
      <c r="B8" t="s">
        <v>32</v>
      </c>
      <c r="C8" t="s">
        <v>778</v>
      </c>
      <c r="D8">
        <v>473</v>
      </c>
      <c r="E8">
        <v>477</v>
      </c>
      <c r="F8" t="s">
        <v>371</v>
      </c>
      <c r="G8">
        <v>98.773655000000005</v>
      </c>
      <c r="H8">
        <v>99.526673900000006</v>
      </c>
      <c r="I8">
        <v>101.1241496</v>
      </c>
      <c r="J8">
        <v>106.74489749999999</v>
      </c>
      <c r="K8">
        <v>96.627551249999996</v>
      </c>
    </row>
    <row r="9" spans="1:11" x14ac:dyDescent="0.4">
      <c r="A9">
        <v>60</v>
      </c>
      <c r="B9" t="s">
        <v>32</v>
      </c>
      <c r="C9" t="s">
        <v>778</v>
      </c>
      <c r="D9">
        <v>477</v>
      </c>
      <c r="E9">
        <v>462</v>
      </c>
      <c r="F9" t="s">
        <v>375</v>
      </c>
      <c r="G9">
        <v>96.934137500000006</v>
      </c>
      <c r="H9">
        <v>99.053347720000005</v>
      </c>
      <c r="I9">
        <v>110.11734629999999</v>
      </c>
      <c r="J9">
        <v>95.503401670000002</v>
      </c>
      <c r="K9">
        <v>96.627551249999996</v>
      </c>
    </row>
    <row r="10" spans="1:11" x14ac:dyDescent="0.4">
      <c r="A10">
        <v>66</v>
      </c>
      <c r="B10" t="s">
        <v>32</v>
      </c>
      <c r="C10" t="s">
        <v>778</v>
      </c>
      <c r="D10">
        <v>485</v>
      </c>
      <c r="E10">
        <v>465</v>
      </c>
      <c r="F10" t="s">
        <v>378</v>
      </c>
      <c r="G10">
        <v>101.8395175</v>
      </c>
      <c r="H10">
        <v>100.47332609999999</v>
      </c>
      <c r="I10">
        <v>97.751700830000004</v>
      </c>
      <c r="J10">
        <v>94.004535559999994</v>
      </c>
      <c r="K10">
        <v>99.437925210000003</v>
      </c>
    </row>
    <row r="11" spans="1:11" x14ac:dyDescent="0.4">
      <c r="A11">
        <v>72</v>
      </c>
      <c r="B11" t="s">
        <v>32</v>
      </c>
      <c r="C11" t="s">
        <v>778</v>
      </c>
      <c r="D11">
        <v>459</v>
      </c>
      <c r="E11">
        <v>461</v>
      </c>
      <c r="F11" t="s">
        <v>381</v>
      </c>
      <c r="G11">
        <v>94.481447500000002</v>
      </c>
      <c r="H11">
        <v>96.686717020000003</v>
      </c>
      <c r="I11">
        <v>95.503401670000002</v>
      </c>
      <c r="J11">
        <v>97.751700830000004</v>
      </c>
      <c r="K11">
        <v>94.379252080000001</v>
      </c>
    </row>
    <row r="12" spans="1:11" x14ac:dyDescent="0.4">
      <c r="A12">
        <v>76</v>
      </c>
      <c r="B12" t="s">
        <v>32</v>
      </c>
      <c r="C12" t="s">
        <v>778</v>
      </c>
      <c r="D12">
        <v>469</v>
      </c>
      <c r="E12">
        <v>460</v>
      </c>
      <c r="F12" t="s">
        <v>384</v>
      </c>
      <c r="G12">
        <v>98.160482500000001</v>
      </c>
      <c r="H12">
        <v>99.526673900000006</v>
      </c>
      <c r="I12">
        <v>97.751700830000004</v>
      </c>
      <c r="J12">
        <v>94.753968610000001</v>
      </c>
      <c r="K12">
        <v>96.065476459999999</v>
      </c>
    </row>
    <row r="13" spans="1:11" x14ac:dyDescent="0.4">
      <c r="A13">
        <v>78</v>
      </c>
      <c r="B13" t="s">
        <v>32</v>
      </c>
      <c r="C13" t="s">
        <v>778</v>
      </c>
      <c r="D13">
        <v>464</v>
      </c>
      <c r="E13">
        <v>460</v>
      </c>
      <c r="F13" t="s">
        <v>385</v>
      </c>
      <c r="G13">
        <v>95.707792499999996</v>
      </c>
      <c r="H13">
        <v>99.526673900000006</v>
      </c>
      <c r="I13">
        <v>96.627551249999996</v>
      </c>
      <c r="J13">
        <v>92.505669440000005</v>
      </c>
      <c r="K13">
        <v>97.751700830000004</v>
      </c>
    </row>
    <row r="14" spans="1:11" x14ac:dyDescent="0.4">
      <c r="A14">
        <v>14</v>
      </c>
      <c r="B14" t="s">
        <v>69</v>
      </c>
      <c r="C14" t="s">
        <v>912</v>
      </c>
      <c r="D14">
        <v>516</v>
      </c>
      <c r="E14">
        <v>471</v>
      </c>
      <c r="F14" t="s">
        <v>354</v>
      </c>
      <c r="G14">
        <v>103.06586249999999</v>
      </c>
      <c r="H14">
        <v>107.5732182</v>
      </c>
      <c r="I14">
        <v>122.4829917</v>
      </c>
      <c r="J14">
        <v>100</v>
      </c>
      <c r="K14">
        <v>98.313775629999995</v>
      </c>
    </row>
    <row r="15" spans="1:11" x14ac:dyDescent="0.4">
      <c r="A15">
        <v>42</v>
      </c>
      <c r="B15" t="s">
        <v>69</v>
      </c>
      <c r="C15" t="s">
        <v>912</v>
      </c>
      <c r="D15">
        <v>480</v>
      </c>
      <c r="E15">
        <v>493</v>
      </c>
      <c r="F15" t="s">
        <v>365</v>
      </c>
      <c r="G15">
        <v>99.386827499999995</v>
      </c>
      <c r="H15">
        <v>98.106695439999996</v>
      </c>
      <c r="I15">
        <v>111.2414958</v>
      </c>
      <c r="J15">
        <v>120.23469249999999</v>
      </c>
      <c r="K15">
        <v>95.503401670000002</v>
      </c>
    </row>
    <row r="16" spans="1:11" x14ac:dyDescent="0.4">
      <c r="A16">
        <v>50</v>
      </c>
      <c r="B16" t="s">
        <v>83</v>
      </c>
      <c r="C16" t="s">
        <v>913</v>
      </c>
      <c r="D16">
        <v>474</v>
      </c>
      <c r="E16">
        <v>472</v>
      </c>
      <c r="F16" t="s">
        <v>369</v>
      </c>
      <c r="G16">
        <v>104.2922075</v>
      </c>
      <c r="H16">
        <v>92.900107890000001</v>
      </c>
      <c r="I16">
        <v>98.875850420000006</v>
      </c>
      <c r="J16">
        <v>97.751700830000004</v>
      </c>
      <c r="K16">
        <v>100.5620748</v>
      </c>
    </row>
    <row r="17" spans="1:11" x14ac:dyDescent="0.4">
      <c r="A17">
        <v>35</v>
      </c>
      <c r="B17" t="s">
        <v>76</v>
      </c>
      <c r="C17" t="s">
        <v>914</v>
      </c>
      <c r="D17">
        <v>482</v>
      </c>
      <c r="E17">
        <v>476</v>
      </c>
      <c r="F17" t="s">
        <v>362</v>
      </c>
      <c r="G17">
        <v>93.255102500000007</v>
      </c>
      <c r="H17">
        <v>104.2599353</v>
      </c>
      <c r="I17">
        <v>101.1241496</v>
      </c>
      <c r="J17">
        <v>103.74716530000001</v>
      </c>
      <c r="K17">
        <v>98.313775629999995</v>
      </c>
    </row>
    <row r="18" spans="1:11" x14ac:dyDescent="0.4">
      <c r="A18">
        <v>4</v>
      </c>
      <c r="B18" t="s">
        <v>64</v>
      </c>
      <c r="C18" t="s">
        <v>915</v>
      </c>
      <c r="D18">
        <v>460</v>
      </c>
      <c r="E18">
        <v>501</v>
      </c>
      <c r="F18" t="s">
        <v>350</v>
      </c>
      <c r="G18">
        <v>96.320965000000001</v>
      </c>
      <c r="H18">
        <v>91.480129469999994</v>
      </c>
      <c r="I18">
        <v>101.1241496</v>
      </c>
      <c r="J18">
        <v>108.9931967</v>
      </c>
      <c r="K18">
        <v>108.43112189999999</v>
      </c>
    </row>
    <row r="19" spans="1:11" x14ac:dyDescent="0.4">
      <c r="A19">
        <v>15</v>
      </c>
      <c r="B19" t="s">
        <v>64</v>
      </c>
      <c r="C19" t="s">
        <v>915</v>
      </c>
      <c r="D19">
        <v>515</v>
      </c>
      <c r="E19">
        <v>472</v>
      </c>
      <c r="F19" t="s">
        <v>355</v>
      </c>
      <c r="G19">
        <v>104.2922075</v>
      </c>
      <c r="H19">
        <v>106.626566</v>
      </c>
      <c r="I19">
        <v>121.3588421</v>
      </c>
      <c r="J19">
        <v>100</v>
      </c>
      <c r="K19">
        <v>98.875850420000006</v>
      </c>
    </row>
    <row r="20" spans="1:11" x14ac:dyDescent="0.4">
      <c r="A20">
        <v>25</v>
      </c>
      <c r="B20" t="s">
        <v>64</v>
      </c>
      <c r="C20" t="s">
        <v>915</v>
      </c>
      <c r="D20">
        <v>470</v>
      </c>
      <c r="E20">
        <v>483</v>
      </c>
      <c r="F20" t="s">
        <v>359</v>
      </c>
      <c r="G20">
        <v>98.160482500000001</v>
      </c>
      <c r="H20">
        <v>96.213390880000006</v>
      </c>
      <c r="I20">
        <v>97.751700830000004</v>
      </c>
      <c r="J20">
        <v>93.255102500000007</v>
      </c>
      <c r="K20">
        <v>110.11734629999999</v>
      </c>
    </row>
    <row r="21" spans="1:11" x14ac:dyDescent="0.4">
      <c r="A21">
        <v>68</v>
      </c>
      <c r="B21" t="s">
        <v>142</v>
      </c>
      <c r="C21" t="s">
        <v>916</v>
      </c>
      <c r="D21">
        <v>490</v>
      </c>
      <c r="E21">
        <v>474</v>
      </c>
      <c r="F21" t="s">
        <v>380</v>
      </c>
      <c r="G21">
        <v>105.5185525</v>
      </c>
      <c r="H21">
        <v>99.526673900000006</v>
      </c>
      <c r="I21">
        <v>98.875850420000006</v>
      </c>
      <c r="J21">
        <v>95.503401670000002</v>
      </c>
      <c r="K21">
        <v>103.3724488</v>
      </c>
    </row>
    <row r="22" spans="1:11" x14ac:dyDescent="0.4">
      <c r="A22">
        <v>51</v>
      </c>
      <c r="B22" t="s">
        <v>298</v>
      </c>
      <c r="C22" t="s">
        <v>917</v>
      </c>
      <c r="D22">
        <v>471</v>
      </c>
      <c r="E22">
        <v>476</v>
      </c>
      <c r="F22" t="s">
        <v>370</v>
      </c>
      <c r="G22">
        <v>101.8395175</v>
      </c>
      <c r="H22">
        <v>93.846760180000004</v>
      </c>
      <c r="I22">
        <v>97.751700830000004</v>
      </c>
      <c r="J22">
        <v>100</v>
      </c>
      <c r="K22">
        <v>101.1241496</v>
      </c>
    </row>
    <row r="23" spans="1:11" x14ac:dyDescent="0.4">
      <c r="A23">
        <v>57</v>
      </c>
      <c r="B23" t="s">
        <v>298</v>
      </c>
      <c r="C23" t="s">
        <v>917</v>
      </c>
      <c r="D23">
        <v>483</v>
      </c>
      <c r="E23">
        <v>482</v>
      </c>
      <c r="F23" t="s">
        <v>374</v>
      </c>
      <c r="G23">
        <v>99.386827499999995</v>
      </c>
      <c r="H23">
        <v>103.78660910000001</v>
      </c>
      <c r="I23">
        <v>101.1241496</v>
      </c>
      <c r="J23">
        <v>109.74262969999999</v>
      </c>
      <c r="K23">
        <v>97.189626039999993</v>
      </c>
    </row>
    <row r="24" spans="1:11" x14ac:dyDescent="0.4">
      <c r="A24">
        <v>74</v>
      </c>
      <c r="B24" t="s">
        <v>298</v>
      </c>
      <c r="C24" t="s">
        <v>917</v>
      </c>
      <c r="D24">
        <v>466</v>
      </c>
      <c r="E24">
        <v>469</v>
      </c>
      <c r="F24" t="s">
        <v>383</v>
      </c>
      <c r="G24">
        <v>95.094620000000006</v>
      </c>
      <c r="H24">
        <v>99.526673900000006</v>
      </c>
      <c r="I24">
        <v>95.503401670000002</v>
      </c>
      <c r="J24">
        <v>102.24829920000001</v>
      </c>
      <c r="K24">
        <v>95.503401670000002</v>
      </c>
    </row>
    <row r="25" spans="1:11" x14ac:dyDescent="0.4">
      <c r="A25">
        <v>43</v>
      </c>
      <c r="B25" t="s">
        <v>340</v>
      </c>
      <c r="C25" t="s">
        <v>918</v>
      </c>
      <c r="D25">
        <v>478</v>
      </c>
      <c r="E25">
        <v>494</v>
      </c>
      <c r="F25" t="s">
        <v>366</v>
      </c>
      <c r="G25">
        <v>98.160482500000001</v>
      </c>
      <c r="H25">
        <v>97.160043160000001</v>
      </c>
      <c r="I25">
        <v>113.489795</v>
      </c>
      <c r="J25">
        <v>122.4829917</v>
      </c>
      <c r="K25">
        <v>94.379252080000001</v>
      </c>
    </row>
    <row r="26" spans="1:11" x14ac:dyDescent="0.4">
      <c r="A26">
        <v>63</v>
      </c>
      <c r="B26" t="s">
        <v>557</v>
      </c>
      <c r="C26" t="s">
        <v>919</v>
      </c>
      <c r="D26">
        <v>496</v>
      </c>
      <c r="E26">
        <v>467</v>
      </c>
      <c r="F26" t="s">
        <v>560</v>
      </c>
      <c r="G26">
        <v>97.547309999999996</v>
      </c>
      <c r="H26">
        <v>105.2065875</v>
      </c>
      <c r="I26">
        <v>115.73809420000001</v>
      </c>
      <c r="J26">
        <v>100.7494331</v>
      </c>
      <c r="K26">
        <v>95.503401670000002</v>
      </c>
    </row>
    <row r="27" spans="1:11" x14ac:dyDescent="0.4">
      <c r="A27">
        <v>2</v>
      </c>
      <c r="B27" t="s">
        <v>61</v>
      </c>
      <c r="C27" t="s">
        <v>779</v>
      </c>
      <c r="D27">
        <v>459</v>
      </c>
      <c r="E27">
        <v>501</v>
      </c>
      <c r="F27" t="s">
        <v>348</v>
      </c>
      <c r="G27">
        <v>96.320965000000001</v>
      </c>
      <c r="H27">
        <v>92.426781750000004</v>
      </c>
      <c r="I27">
        <v>97.751700830000004</v>
      </c>
      <c r="J27">
        <v>104.4965983</v>
      </c>
      <c r="K27">
        <v>111.8035706</v>
      </c>
    </row>
    <row r="28" spans="1:11" x14ac:dyDescent="0.4">
      <c r="A28">
        <v>12</v>
      </c>
      <c r="B28" t="s">
        <v>61</v>
      </c>
      <c r="C28" t="s">
        <v>779</v>
      </c>
      <c r="D28">
        <v>508</v>
      </c>
      <c r="E28">
        <v>469</v>
      </c>
      <c r="F28" t="s">
        <v>352</v>
      </c>
      <c r="G28">
        <v>102.45269</v>
      </c>
      <c r="H28">
        <v>105.6799137</v>
      </c>
      <c r="I28">
        <v>119.1105429</v>
      </c>
      <c r="J28">
        <v>100</v>
      </c>
      <c r="K28">
        <v>97.189626039999993</v>
      </c>
    </row>
    <row r="29" spans="1:11" x14ac:dyDescent="0.4">
      <c r="A29">
        <v>41</v>
      </c>
      <c r="B29" t="s">
        <v>61</v>
      </c>
      <c r="C29" t="s">
        <v>779</v>
      </c>
      <c r="D29">
        <v>476</v>
      </c>
      <c r="E29">
        <v>487</v>
      </c>
      <c r="F29" t="s">
        <v>364</v>
      </c>
      <c r="G29">
        <v>98.773655000000005</v>
      </c>
      <c r="H29">
        <v>97.633369299999998</v>
      </c>
      <c r="I29">
        <v>108.9931967</v>
      </c>
      <c r="J29">
        <v>116.4875272</v>
      </c>
      <c r="K29">
        <v>94.941326880000005</v>
      </c>
    </row>
    <row r="30" spans="1:11" x14ac:dyDescent="0.4">
      <c r="A30">
        <v>49</v>
      </c>
      <c r="B30" t="s">
        <v>61</v>
      </c>
      <c r="C30" t="s">
        <v>779</v>
      </c>
      <c r="D30">
        <v>477</v>
      </c>
      <c r="E30">
        <v>469</v>
      </c>
      <c r="F30" t="s">
        <v>368</v>
      </c>
      <c r="G30">
        <v>102.45269</v>
      </c>
      <c r="H30">
        <v>95.740064739999994</v>
      </c>
      <c r="I30">
        <v>98.875850420000006</v>
      </c>
      <c r="J30">
        <v>97.751700830000004</v>
      </c>
      <c r="K30">
        <v>98.875850420000006</v>
      </c>
    </row>
    <row r="31" spans="1:11" x14ac:dyDescent="0.4">
      <c r="A31">
        <v>5</v>
      </c>
      <c r="B31" t="s">
        <v>576</v>
      </c>
      <c r="C31" t="s">
        <v>920</v>
      </c>
      <c r="D31">
        <v>463</v>
      </c>
      <c r="E31">
        <v>507</v>
      </c>
      <c r="F31" t="s">
        <v>577</v>
      </c>
      <c r="G31">
        <v>98.160482500000001</v>
      </c>
      <c r="H31">
        <v>92.426781750000004</v>
      </c>
      <c r="I31">
        <v>98.875850420000006</v>
      </c>
      <c r="J31">
        <v>105.9954644</v>
      </c>
      <c r="K31">
        <v>114.05186980000001</v>
      </c>
    </row>
    <row r="32" spans="1:11" x14ac:dyDescent="0.4">
      <c r="A32">
        <v>16</v>
      </c>
      <c r="B32" t="s">
        <v>576</v>
      </c>
      <c r="C32" t="s">
        <v>920</v>
      </c>
      <c r="D32">
        <v>513</v>
      </c>
      <c r="E32">
        <v>475</v>
      </c>
      <c r="F32" t="s">
        <v>578</v>
      </c>
      <c r="G32">
        <v>103.06586249999999</v>
      </c>
      <c r="H32">
        <v>107.09989210000001</v>
      </c>
      <c r="I32">
        <v>120.23469249999999</v>
      </c>
      <c r="J32">
        <v>103.74716530000001</v>
      </c>
      <c r="K32">
        <v>97.751700830000004</v>
      </c>
    </row>
    <row r="33" spans="1:11" x14ac:dyDescent="0.4">
      <c r="A33">
        <v>26</v>
      </c>
      <c r="B33" t="s">
        <v>574</v>
      </c>
      <c r="C33" t="s">
        <v>921</v>
      </c>
      <c r="D33">
        <v>475</v>
      </c>
      <c r="E33">
        <v>487</v>
      </c>
      <c r="F33" t="s">
        <v>595</v>
      </c>
      <c r="G33">
        <v>98.160482500000001</v>
      </c>
      <c r="H33">
        <v>98.106695439999996</v>
      </c>
      <c r="I33">
        <v>98.875850420000006</v>
      </c>
      <c r="J33">
        <v>97.002267779999997</v>
      </c>
      <c r="K33">
        <v>109.5552715</v>
      </c>
    </row>
    <row r="34" spans="1:11" x14ac:dyDescent="0.4">
      <c r="A34">
        <v>75</v>
      </c>
      <c r="B34" t="s">
        <v>574</v>
      </c>
      <c r="C34" t="s">
        <v>921</v>
      </c>
      <c r="D34">
        <v>472</v>
      </c>
      <c r="E34">
        <v>473</v>
      </c>
      <c r="F34" t="s">
        <v>575</v>
      </c>
      <c r="G34">
        <v>98.160482500000001</v>
      </c>
      <c r="H34">
        <v>98.580021579999993</v>
      </c>
      <c r="I34">
        <v>98.875850420000006</v>
      </c>
      <c r="J34">
        <v>102.24829920000001</v>
      </c>
      <c r="K34">
        <v>97.751700830000004</v>
      </c>
    </row>
    <row r="35" spans="1:11" x14ac:dyDescent="0.4">
      <c r="A35">
        <v>36</v>
      </c>
      <c r="B35" t="s">
        <v>635</v>
      </c>
      <c r="C35" t="s">
        <v>922</v>
      </c>
      <c r="D35">
        <v>489</v>
      </c>
      <c r="E35">
        <v>479</v>
      </c>
      <c r="F35" t="s">
        <v>640</v>
      </c>
      <c r="G35">
        <v>95.094620000000006</v>
      </c>
      <c r="H35">
        <v>104.7332614</v>
      </c>
      <c r="I35">
        <v>104.4965983</v>
      </c>
      <c r="J35">
        <v>103.74716530000001</v>
      </c>
      <c r="K35">
        <v>100</v>
      </c>
    </row>
    <row r="36" spans="1:11" x14ac:dyDescent="0.4">
      <c r="A36">
        <v>52</v>
      </c>
      <c r="B36" t="s">
        <v>651</v>
      </c>
      <c r="C36" t="s">
        <v>923</v>
      </c>
      <c r="D36">
        <v>481</v>
      </c>
      <c r="E36">
        <v>475</v>
      </c>
      <c r="F36" t="s">
        <v>662</v>
      </c>
      <c r="G36">
        <v>104.2922075</v>
      </c>
      <c r="H36">
        <v>95.740064739999994</v>
      </c>
      <c r="I36">
        <v>100</v>
      </c>
      <c r="J36">
        <v>99.250566939999999</v>
      </c>
      <c r="K36">
        <v>101.1241496</v>
      </c>
    </row>
    <row r="37" spans="1:11" x14ac:dyDescent="0.4">
      <c r="A37">
        <v>44</v>
      </c>
      <c r="B37" t="s">
        <v>674</v>
      </c>
      <c r="C37" t="s">
        <v>924</v>
      </c>
      <c r="D37">
        <v>484</v>
      </c>
      <c r="E37">
        <v>499</v>
      </c>
      <c r="F37" t="s">
        <v>679</v>
      </c>
      <c r="G37">
        <v>100</v>
      </c>
      <c r="H37">
        <v>99.053347720000005</v>
      </c>
      <c r="I37">
        <v>112.36564540000001</v>
      </c>
      <c r="J37">
        <v>123.2324247</v>
      </c>
      <c r="K37">
        <v>96.627551249999996</v>
      </c>
    </row>
    <row r="38" spans="1:11" x14ac:dyDescent="0.4">
      <c r="A38">
        <v>6</v>
      </c>
      <c r="B38" t="s">
        <v>681</v>
      </c>
      <c r="C38" t="s">
        <v>925</v>
      </c>
      <c r="D38">
        <v>462</v>
      </c>
      <c r="E38">
        <v>509</v>
      </c>
      <c r="F38" t="s">
        <v>682</v>
      </c>
      <c r="G38">
        <v>97.547309999999996</v>
      </c>
      <c r="H38">
        <v>92.426781750000004</v>
      </c>
      <c r="I38">
        <v>98.875850420000006</v>
      </c>
      <c r="J38">
        <v>108.24376359999999</v>
      </c>
      <c r="K38">
        <v>113.489795</v>
      </c>
    </row>
    <row r="39" spans="1:11" x14ac:dyDescent="0.4">
      <c r="A39">
        <v>17</v>
      </c>
      <c r="B39" t="s">
        <v>681</v>
      </c>
      <c r="C39" t="s">
        <v>925</v>
      </c>
      <c r="D39">
        <v>522</v>
      </c>
      <c r="E39">
        <v>475</v>
      </c>
      <c r="F39" t="s">
        <v>688</v>
      </c>
      <c r="G39">
        <v>103.679035</v>
      </c>
      <c r="H39">
        <v>108.9931967</v>
      </c>
      <c r="I39">
        <v>124.7312908</v>
      </c>
      <c r="J39">
        <v>101.4988661</v>
      </c>
      <c r="K39">
        <v>99.437925210000003</v>
      </c>
    </row>
    <row r="40" spans="1:11" x14ac:dyDescent="0.4">
      <c r="A40">
        <v>27</v>
      </c>
      <c r="B40" t="s">
        <v>681</v>
      </c>
      <c r="C40" t="s">
        <v>925</v>
      </c>
      <c r="D40">
        <v>478</v>
      </c>
      <c r="E40">
        <v>485</v>
      </c>
      <c r="F40" t="s">
        <v>707</v>
      </c>
      <c r="G40">
        <v>98.773655000000005</v>
      </c>
      <c r="H40">
        <v>98.106695439999996</v>
      </c>
      <c r="I40">
        <v>101.1241496</v>
      </c>
      <c r="J40">
        <v>97.002267779999997</v>
      </c>
      <c r="K40">
        <v>108.43112189999999</v>
      </c>
    </row>
    <row r="41" spans="1:11" x14ac:dyDescent="0.4">
      <c r="A41">
        <v>37</v>
      </c>
      <c r="B41" t="s">
        <v>681</v>
      </c>
      <c r="C41" t="s">
        <v>925</v>
      </c>
      <c r="D41">
        <v>487</v>
      </c>
      <c r="E41">
        <v>482</v>
      </c>
      <c r="F41" t="s">
        <v>703</v>
      </c>
      <c r="G41">
        <v>96.320965000000001</v>
      </c>
      <c r="H41">
        <v>102.3666307</v>
      </c>
      <c r="I41">
        <v>105.6207479</v>
      </c>
      <c r="J41">
        <v>104.4965983</v>
      </c>
      <c r="K41">
        <v>101.1241496</v>
      </c>
    </row>
    <row r="42" spans="1:11" x14ac:dyDescent="0.4">
      <c r="A42">
        <v>64</v>
      </c>
      <c r="B42" t="s">
        <v>693</v>
      </c>
      <c r="C42" t="s">
        <v>926</v>
      </c>
      <c r="D42">
        <v>493</v>
      </c>
      <c r="E42">
        <v>470</v>
      </c>
      <c r="F42" t="s">
        <v>694</v>
      </c>
      <c r="G42">
        <v>98.773655000000005</v>
      </c>
      <c r="H42">
        <v>103.78660910000001</v>
      </c>
      <c r="I42">
        <v>113.489795</v>
      </c>
      <c r="J42">
        <v>100</v>
      </c>
      <c r="K42">
        <v>97.751700830000004</v>
      </c>
    </row>
    <row r="43" spans="1:11" x14ac:dyDescent="0.4">
      <c r="A43">
        <v>55</v>
      </c>
      <c r="B43" t="s">
        <v>86</v>
      </c>
      <c r="C43" t="s">
        <v>927</v>
      </c>
      <c r="D43">
        <v>481</v>
      </c>
      <c r="E43">
        <v>483</v>
      </c>
      <c r="F43" t="s">
        <v>372</v>
      </c>
      <c r="G43">
        <v>100.6131725</v>
      </c>
      <c r="H43">
        <v>101.41997840000001</v>
      </c>
      <c r="I43">
        <v>102.24829920000001</v>
      </c>
      <c r="J43">
        <v>108.24376359999999</v>
      </c>
      <c r="K43">
        <v>98.875850420000006</v>
      </c>
    </row>
    <row r="44" spans="1:11" x14ac:dyDescent="0.4">
      <c r="A44">
        <v>61</v>
      </c>
      <c r="B44" t="s">
        <v>86</v>
      </c>
      <c r="C44" t="s">
        <v>927</v>
      </c>
      <c r="D44">
        <v>487</v>
      </c>
      <c r="E44">
        <v>466</v>
      </c>
      <c r="F44" t="s">
        <v>376</v>
      </c>
      <c r="G44">
        <v>97.547309999999996</v>
      </c>
      <c r="H44">
        <v>101.89330459999999</v>
      </c>
      <c r="I44">
        <v>113.489795</v>
      </c>
      <c r="J44">
        <v>97.002267779999997</v>
      </c>
      <c r="K44">
        <v>97.751700830000004</v>
      </c>
    </row>
    <row r="45" spans="1:11" x14ac:dyDescent="0.4">
      <c r="A45">
        <v>67</v>
      </c>
      <c r="B45" t="s">
        <v>86</v>
      </c>
      <c r="C45" t="s">
        <v>927</v>
      </c>
      <c r="D45">
        <v>477</v>
      </c>
      <c r="E45">
        <v>453</v>
      </c>
      <c r="F45" t="s">
        <v>379</v>
      </c>
      <c r="G45">
        <v>100</v>
      </c>
      <c r="H45">
        <v>99.526673900000006</v>
      </c>
      <c r="I45">
        <v>94.379252080000001</v>
      </c>
      <c r="J45">
        <v>89.507937220000002</v>
      </c>
      <c r="K45">
        <v>96.065476459999999</v>
      </c>
    </row>
    <row r="46" spans="1:11" x14ac:dyDescent="0.4">
      <c r="A46">
        <v>58</v>
      </c>
      <c r="B46" t="s">
        <v>714</v>
      </c>
      <c r="C46" t="s">
        <v>928</v>
      </c>
      <c r="D46">
        <v>485</v>
      </c>
      <c r="E46">
        <v>490</v>
      </c>
      <c r="F46" t="s">
        <v>720</v>
      </c>
      <c r="G46">
        <v>102.45269</v>
      </c>
      <c r="H46">
        <v>101.41997840000001</v>
      </c>
      <c r="I46">
        <v>103.3724488</v>
      </c>
      <c r="J46">
        <v>111.2414958</v>
      </c>
      <c r="K46">
        <v>100.5620748</v>
      </c>
    </row>
    <row r="47" spans="1:11" x14ac:dyDescent="0.4">
      <c r="A47">
        <v>18</v>
      </c>
      <c r="B47" t="s">
        <v>731</v>
      </c>
      <c r="C47" t="s">
        <v>929</v>
      </c>
      <c r="D47">
        <v>522</v>
      </c>
      <c r="E47">
        <v>477</v>
      </c>
      <c r="F47" t="s">
        <v>734</v>
      </c>
      <c r="G47">
        <v>103.679035</v>
      </c>
      <c r="H47">
        <v>109.46652280000001</v>
      </c>
      <c r="I47">
        <v>123.60714129999999</v>
      </c>
      <c r="J47">
        <v>102.9977322</v>
      </c>
      <c r="K47">
        <v>99.437925210000003</v>
      </c>
    </row>
    <row r="48" spans="1:11" x14ac:dyDescent="0.4">
      <c r="A48">
        <v>28</v>
      </c>
      <c r="B48" t="s">
        <v>731</v>
      </c>
      <c r="C48" t="s">
        <v>929</v>
      </c>
      <c r="D48">
        <v>479</v>
      </c>
      <c r="E48">
        <v>493</v>
      </c>
      <c r="F48" t="s">
        <v>739</v>
      </c>
      <c r="G48">
        <v>98.773655000000005</v>
      </c>
      <c r="H48">
        <v>99.053347720000005</v>
      </c>
      <c r="I48">
        <v>100</v>
      </c>
      <c r="J48">
        <v>98.501133890000006</v>
      </c>
      <c r="K48">
        <v>111.8035706</v>
      </c>
    </row>
    <row r="49" spans="1:11" x14ac:dyDescent="0.4">
      <c r="A49">
        <v>45</v>
      </c>
      <c r="B49" t="s">
        <v>731</v>
      </c>
      <c r="C49" t="s">
        <v>929</v>
      </c>
      <c r="D49">
        <v>484</v>
      </c>
      <c r="E49">
        <v>500</v>
      </c>
      <c r="F49" t="s">
        <v>735</v>
      </c>
      <c r="G49">
        <v>99.386827499999995</v>
      </c>
      <c r="H49">
        <v>99.053347720000005</v>
      </c>
      <c r="I49">
        <v>113.489795</v>
      </c>
      <c r="J49">
        <v>123.9818578</v>
      </c>
      <c r="K49">
        <v>96.627551249999996</v>
      </c>
    </row>
    <row r="50" spans="1:11" x14ac:dyDescent="0.4">
      <c r="A50">
        <v>7</v>
      </c>
      <c r="B50" t="s">
        <v>741</v>
      </c>
      <c r="C50" t="s">
        <v>930</v>
      </c>
      <c r="D50">
        <v>463</v>
      </c>
      <c r="E50">
        <v>510</v>
      </c>
      <c r="F50" t="s">
        <v>746</v>
      </c>
      <c r="G50">
        <v>97.547309999999996</v>
      </c>
      <c r="H50">
        <v>92.900107890000001</v>
      </c>
      <c r="I50">
        <v>98.875850420000006</v>
      </c>
      <c r="J50">
        <v>106.74489749999999</v>
      </c>
      <c r="K50">
        <v>115.1760194</v>
      </c>
    </row>
    <row r="51" spans="1:11" x14ac:dyDescent="0.4">
      <c r="A51">
        <v>77</v>
      </c>
      <c r="B51" t="s">
        <v>748</v>
      </c>
      <c r="C51" t="s">
        <v>931</v>
      </c>
      <c r="D51">
        <v>477</v>
      </c>
      <c r="E51">
        <v>466</v>
      </c>
      <c r="F51" t="s">
        <v>752</v>
      </c>
      <c r="G51">
        <v>100</v>
      </c>
      <c r="H51">
        <v>101.41997840000001</v>
      </c>
      <c r="I51">
        <v>98.875850420000006</v>
      </c>
      <c r="J51">
        <v>96.252834719999996</v>
      </c>
      <c r="K51">
        <v>98.313775629999995</v>
      </c>
    </row>
    <row r="52" spans="1:11" x14ac:dyDescent="0.4">
      <c r="A52">
        <v>19</v>
      </c>
      <c r="B52" t="s">
        <v>756</v>
      </c>
      <c r="C52" t="s">
        <v>932</v>
      </c>
      <c r="D52">
        <v>522</v>
      </c>
      <c r="E52">
        <v>477</v>
      </c>
      <c r="F52" t="s">
        <v>762</v>
      </c>
      <c r="G52">
        <v>104.90537999999999</v>
      </c>
      <c r="H52">
        <v>108.5198705</v>
      </c>
      <c r="I52">
        <v>123.60714129999999</v>
      </c>
      <c r="J52">
        <v>101.4988661</v>
      </c>
      <c r="K52">
        <v>100.5620748</v>
      </c>
    </row>
    <row r="53" spans="1:11" x14ac:dyDescent="0.4">
      <c r="A53">
        <v>29</v>
      </c>
      <c r="B53" t="s">
        <v>769</v>
      </c>
      <c r="C53" t="s">
        <v>933</v>
      </c>
      <c r="D53">
        <v>481</v>
      </c>
      <c r="E53">
        <v>493</v>
      </c>
      <c r="F53" t="s">
        <v>773</v>
      </c>
      <c r="G53">
        <v>100</v>
      </c>
      <c r="H53">
        <v>99.053347720000005</v>
      </c>
      <c r="I53">
        <v>100</v>
      </c>
      <c r="J53">
        <v>100</v>
      </c>
      <c r="K53">
        <v>110.679421</v>
      </c>
    </row>
    <row r="54" spans="1:11" x14ac:dyDescent="0.4">
      <c r="A54">
        <v>23</v>
      </c>
      <c r="B54" t="s">
        <v>72</v>
      </c>
      <c r="C54" t="s">
        <v>934</v>
      </c>
      <c r="D54">
        <v>472</v>
      </c>
      <c r="E54">
        <v>480</v>
      </c>
      <c r="F54" t="s">
        <v>357</v>
      </c>
      <c r="G54">
        <v>96.934137500000006</v>
      </c>
      <c r="H54">
        <v>98.106695439999996</v>
      </c>
      <c r="I54">
        <v>97.751700830000004</v>
      </c>
      <c r="J54">
        <v>95.503401670000002</v>
      </c>
      <c r="K54">
        <v>106.74489749999999</v>
      </c>
    </row>
    <row r="55" spans="1:11" x14ac:dyDescent="0.4">
      <c r="A55">
        <v>34</v>
      </c>
      <c r="B55" t="s">
        <v>72</v>
      </c>
      <c r="C55" t="s">
        <v>934</v>
      </c>
      <c r="D55">
        <v>483</v>
      </c>
      <c r="E55">
        <v>475</v>
      </c>
      <c r="F55" t="s">
        <v>361</v>
      </c>
      <c r="G55">
        <v>94.481447500000002</v>
      </c>
      <c r="H55">
        <v>102.3666307</v>
      </c>
      <c r="I55">
        <v>104.4965983</v>
      </c>
      <c r="J55">
        <v>101.4988661</v>
      </c>
      <c r="K55">
        <v>99.437925210000003</v>
      </c>
    </row>
    <row r="56" spans="1:11" x14ac:dyDescent="0.4">
      <c r="A56">
        <v>65</v>
      </c>
      <c r="B56" t="s">
        <v>793</v>
      </c>
      <c r="C56" t="s">
        <v>935</v>
      </c>
      <c r="D56">
        <v>489</v>
      </c>
      <c r="E56">
        <v>466</v>
      </c>
      <c r="F56" t="s">
        <v>794</v>
      </c>
      <c r="G56">
        <v>96.320965000000001</v>
      </c>
      <c r="H56">
        <v>102.3666307</v>
      </c>
      <c r="I56">
        <v>116.8622438</v>
      </c>
      <c r="J56">
        <v>100</v>
      </c>
      <c r="K56">
        <v>95.503401670000002</v>
      </c>
    </row>
    <row r="57" spans="1:11" x14ac:dyDescent="0.4">
      <c r="A57">
        <v>69</v>
      </c>
      <c r="B57" t="s">
        <v>793</v>
      </c>
      <c r="C57" t="s">
        <v>935</v>
      </c>
      <c r="D57">
        <v>493</v>
      </c>
      <c r="E57">
        <v>481</v>
      </c>
      <c r="F57" t="s">
        <v>795</v>
      </c>
      <c r="G57">
        <v>106.74489749999999</v>
      </c>
      <c r="H57">
        <v>99.526673900000006</v>
      </c>
      <c r="I57">
        <v>100</v>
      </c>
      <c r="J57">
        <v>97.002267779999997</v>
      </c>
      <c r="K57">
        <v>106.1828227</v>
      </c>
    </row>
    <row r="58" spans="1:11" x14ac:dyDescent="0.4">
      <c r="A58">
        <v>30</v>
      </c>
      <c r="B58" t="s">
        <v>801</v>
      </c>
      <c r="C58" t="s">
        <v>936</v>
      </c>
      <c r="D58">
        <v>483</v>
      </c>
      <c r="E58">
        <v>499</v>
      </c>
      <c r="F58" t="s">
        <v>804</v>
      </c>
      <c r="G58">
        <v>99.386827499999995</v>
      </c>
      <c r="H58">
        <v>100</v>
      </c>
      <c r="I58">
        <v>101.1241496</v>
      </c>
      <c r="J58">
        <v>100</v>
      </c>
      <c r="K58">
        <v>114.05186980000001</v>
      </c>
    </row>
    <row r="59" spans="1:11" x14ac:dyDescent="0.4">
      <c r="A59">
        <v>38</v>
      </c>
      <c r="B59" t="s">
        <v>801</v>
      </c>
      <c r="C59" t="s">
        <v>936</v>
      </c>
      <c r="D59">
        <v>495</v>
      </c>
      <c r="E59">
        <v>483</v>
      </c>
      <c r="F59" t="s">
        <v>806</v>
      </c>
      <c r="G59">
        <v>95.707792499999996</v>
      </c>
      <c r="H59">
        <v>106.626566</v>
      </c>
      <c r="I59">
        <v>105.6207479</v>
      </c>
      <c r="J59">
        <v>105.24603140000001</v>
      </c>
      <c r="K59">
        <v>101.1241496</v>
      </c>
    </row>
    <row r="60" spans="1:11" x14ac:dyDescent="0.4">
      <c r="A60">
        <v>8</v>
      </c>
      <c r="B60" t="s">
        <v>811</v>
      </c>
      <c r="C60" t="s">
        <v>937</v>
      </c>
      <c r="D60">
        <v>467</v>
      </c>
      <c r="E60">
        <v>514</v>
      </c>
      <c r="F60" t="s">
        <v>833</v>
      </c>
      <c r="G60">
        <v>98.773655000000005</v>
      </c>
      <c r="H60">
        <v>93.373434040000006</v>
      </c>
      <c r="I60">
        <v>100</v>
      </c>
      <c r="J60">
        <v>108.24376359999999</v>
      </c>
      <c r="K60">
        <v>116.300169</v>
      </c>
    </row>
    <row r="61" spans="1:11" x14ac:dyDescent="0.4">
      <c r="A61">
        <v>46</v>
      </c>
      <c r="B61" t="s">
        <v>811</v>
      </c>
      <c r="C61" t="s">
        <v>937</v>
      </c>
      <c r="D61">
        <v>488</v>
      </c>
      <c r="E61">
        <v>505</v>
      </c>
      <c r="F61" t="s">
        <v>818</v>
      </c>
      <c r="G61">
        <v>100.6131725</v>
      </c>
      <c r="H61">
        <v>100</v>
      </c>
      <c r="I61">
        <v>113.489795</v>
      </c>
      <c r="J61">
        <v>126.2301569</v>
      </c>
      <c r="K61">
        <v>97.751700830000004</v>
      </c>
    </row>
    <row r="62" spans="1:11" x14ac:dyDescent="0.4">
      <c r="A62">
        <v>20</v>
      </c>
      <c r="B62" t="s">
        <v>845</v>
      </c>
      <c r="C62" t="s">
        <v>938</v>
      </c>
      <c r="D62">
        <v>528</v>
      </c>
      <c r="E62">
        <v>479</v>
      </c>
      <c r="F62" t="s">
        <v>847</v>
      </c>
      <c r="G62">
        <v>104.2922075</v>
      </c>
      <c r="H62">
        <v>110.4131751</v>
      </c>
      <c r="I62">
        <v>126.97959</v>
      </c>
      <c r="J62">
        <v>102.9977322</v>
      </c>
      <c r="K62">
        <v>100.5620748</v>
      </c>
    </row>
    <row r="63" spans="1:11" x14ac:dyDescent="0.4">
      <c r="A63">
        <v>53</v>
      </c>
      <c r="B63" t="s">
        <v>854</v>
      </c>
      <c r="C63" t="s">
        <v>939</v>
      </c>
      <c r="D63">
        <v>478</v>
      </c>
      <c r="E63">
        <v>479</v>
      </c>
      <c r="F63" t="s">
        <v>856</v>
      </c>
      <c r="G63">
        <v>103.06586249999999</v>
      </c>
      <c r="H63">
        <v>95.740064739999994</v>
      </c>
      <c r="I63">
        <v>98.875850420000006</v>
      </c>
      <c r="J63">
        <v>100.7494331</v>
      </c>
      <c r="K63">
        <v>102.24829920000001</v>
      </c>
    </row>
    <row r="64" spans="1:11" x14ac:dyDescent="0.4">
      <c r="A64">
        <v>59</v>
      </c>
      <c r="B64" t="s">
        <v>854</v>
      </c>
      <c r="C64" t="s">
        <v>939</v>
      </c>
      <c r="D64">
        <v>488</v>
      </c>
      <c r="E64">
        <v>488</v>
      </c>
      <c r="F64" t="s">
        <v>857</v>
      </c>
      <c r="G64">
        <v>101.22634499999999</v>
      </c>
      <c r="H64">
        <v>104.2599353</v>
      </c>
      <c r="I64">
        <v>102.24829920000001</v>
      </c>
      <c r="J64">
        <v>111.2414958</v>
      </c>
      <c r="K64">
        <v>99.437925210000003</v>
      </c>
    </row>
    <row r="65" spans="1:11" x14ac:dyDescent="0.4">
      <c r="A65">
        <v>31</v>
      </c>
      <c r="B65" t="s">
        <v>865</v>
      </c>
      <c r="C65" t="s">
        <v>940</v>
      </c>
      <c r="D65">
        <v>485</v>
      </c>
      <c r="E65">
        <v>497</v>
      </c>
      <c r="F65" t="s">
        <v>869</v>
      </c>
      <c r="G65">
        <v>100.6131725</v>
      </c>
      <c r="H65">
        <v>100</v>
      </c>
      <c r="I65">
        <v>101.1241496</v>
      </c>
      <c r="J65">
        <v>100</v>
      </c>
      <c r="K65">
        <v>112.9277202</v>
      </c>
    </row>
    <row r="66" spans="1:11" x14ac:dyDescent="0.4">
      <c r="A66">
        <v>9</v>
      </c>
      <c r="B66" t="s">
        <v>875</v>
      </c>
      <c r="C66" t="s">
        <v>941</v>
      </c>
      <c r="D66">
        <v>469</v>
      </c>
      <c r="E66">
        <v>513</v>
      </c>
      <c r="F66" t="s">
        <v>889</v>
      </c>
      <c r="G66">
        <v>100</v>
      </c>
      <c r="H66">
        <v>93.373434040000006</v>
      </c>
      <c r="I66">
        <v>100</v>
      </c>
      <c r="J66">
        <v>108.24376359999999</v>
      </c>
      <c r="K66">
        <v>115.73809420000001</v>
      </c>
    </row>
    <row r="67" spans="1:11" x14ac:dyDescent="0.4">
      <c r="A67">
        <v>70</v>
      </c>
      <c r="B67" t="s">
        <v>875</v>
      </c>
      <c r="C67" t="s">
        <v>941</v>
      </c>
      <c r="D67">
        <v>494</v>
      </c>
      <c r="E67">
        <v>481</v>
      </c>
      <c r="F67" t="s">
        <v>876</v>
      </c>
      <c r="G67">
        <v>107.35807</v>
      </c>
      <c r="H67">
        <v>99.526673900000006</v>
      </c>
      <c r="I67">
        <v>100</v>
      </c>
      <c r="J67">
        <v>98.501133890000006</v>
      </c>
      <c r="K67">
        <v>105.05867309999999</v>
      </c>
    </row>
    <row r="68" spans="1:11" x14ac:dyDescent="0.4">
      <c r="A68">
        <v>10</v>
      </c>
      <c r="B68" t="s">
        <v>903</v>
      </c>
      <c r="C68" t="s">
        <v>942</v>
      </c>
      <c r="D68">
        <v>471</v>
      </c>
      <c r="E68">
        <v>520</v>
      </c>
      <c r="F68" t="s">
        <v>904</v>
      </c>
      <c r="G68">
        <v>99.386827499999995</v>
      </c>
      <c r="H68">
        <v>94.320086320000001</v>
      </c>
      <c r="I68">
        <v>101.1241496</v>
      </c>
      <c r="J68">
        <v>109.74262969999999</v>
      </c>
      <c r="K68">
        <v>118.54846809999999</v>
      </c>
    </row>
    <row r="69" spans="1:11" x14ac:dyDescent="0.4">
      <c r="A69">
        <v>21</v>
      </c>
      <c r="B69" t="s">
        <v>903</v>
      </c>
      <c r="C69" t="s">
        <v>942</v>
      </c>
      <c r="D69">
        <v>528</v>
      </c>
      <c r="E69">
        <v>481</v>
      </c>
      <c r="F69" t="s">
        <v>911</v>
      </c>
      <c r="G69">
        <v>104.2922075</v>
      </c>
      <c r="H69">
        <v>111.3598274</v>
      </c>
      <c r="I69">
        <v>124.7312908</v>
      </c>
      <c r="J69">
        <v>104.4965983</v>
      </c>
      <c r="K69">
        <v>100.5620748</v>
      </c>
    </row>
    <row r="70" spans="1:11" x14ac:dyDescent="0.4">
      <c r="A70">
        <v>79</v>
      </c>
      <c r="B70" t="s">
        <v>903</v>
      </c>
      <c r="C70" t="s">
        <v>942</v>
      </c>
      <c r="D70">
        <v>500</v>
      </c>
      <c r="E70">
        <v>461</v>
      </c>
      <c r="F70" t="s">
        <v>907</v>
      </c>
      <c r="G70">
        <v>101.22634499999999</v>
      </c>
      <c r="H70">
        <v>103.78660910000001</v>
      </c>
      <c r="I70">
        <v>116.8622438</v>
      </c>
      <c r="J70">
        <v>97.002267779999997</v>
      </c>
      <c r="K70">
        <v>94.941326880000005</v>
      </c>
    </row>
    <row r="71" spans="1:11" x14ac:dyDescent="0.4">
      <c r="A71">
        <v>80</v>
      </c>
      <c r="B71" t="s">
        <v>903</v>
      </c>
      <c r="C71" t="s">
        <v>942</v>
      </c>
      <c r="D71">
        <v>451</v>
      </c>
      <c r="E71">
        <v>493</v>
      </c>
      <c r="F71" t="s">
        <v>910</v>
      </c>
      <c r="G71">
        <v>95.094620000000006</v>
      </c>
      <c r="H71">
        <v>90.533477189999999</v>
      </c>
      <c r="I71">
        <v>95.503401670000002</v>
      </c>
      <c r="J71">
        <v>101.4988661</v>
      </c>
      <c r="K71">
        <v>109.5552715</v>
      </c>
    </row>
    <row r="72" spans="1:11" x14ac:dyDescent="0.4">
      <c r="A72">
        <v>32</v>
      </c>
      <c r="B72" t="s">
        <v>964</v>
      </c>
      <c r="C72" t="s">
        <v>965</v>
      </c>
      <c r="D72">
        <v>491</v>
      </c>
      <c r="E72">
        <v>501</v>
      </c>
      <c r="F72" t="s">
        <v>968</v>
      </c>
      <c r="G72">
        <v>101.8395175</v>
      </c>
      <c r="H72">
        <v>101.41997840000001</v>
      </c>
      <c r="I72">
        <v>102.24829920000001</v>
      </c>
      <c r="J72">
        <v>101.4988661</v>
      </c>
      <c r="K72">
        <v>114.05186980000001</v>
      </c>
    </row>
    <row r="73" spans="1:11" x14ac:dyDescent="0.4">
      <c r="A73">
        <v>39</v>
      </c>
      <c r="B73" t="s">
        <v>964</v>
      </c>
      <c r="C73" t="s">
        <v>965</v>
      </c>
      <c r="D73">
        <v>501</v>
      </c>
      <c r="E73">
        <v>487</v>
      </c>
      <c r="F73" t="s">
        <v>970</v>
      </c>
      <c r="G73">
        <v>96.320965000000001</v>
      </c>
      <c r="H73">
        <v>108.5198705</v>
      </c>
      <c r="I73">
        <v>106.74489749999999</v>
      </c>
      <c r="J73">
        <v>106.74489749999999</v>
      </c>
      <c r="K73">
        <v>102.24829920000001</v>
      </c>
    </row>
    <row r="74" spans="1:11" x14ac:dyDescent="0.4">
      <c r="A74">
        <v>47</v>
      </c>
      <c r="B74" t="s">
        <v>964</v>
      </c>
      <c r="C74" t="s">
        <v>965</v>
      </c>
      <c r="D74">
        <v>492</v>
      </c>
      <c r="E74">
        <v>511</v>
      </c>
      <c r="F74" t="s">
        <v>973</v>
      </c>
      <c r="G74">
        <v>101.22634499999999</v>
      </c>
      <c r="H74">
        <v>100.9466523</v>
      </c>
      <c r="I74">
        <v>114.6139446</v>
      </c>
      <c r="J74">
        <v>129.22788919999999</v>
      </c>
      <c r="K74">
        <v>98.875850420000006</v>
      </c>
    </row>
    <row r="75" spans="1:11" x14ac:dyDescent="0.4">
      <c r="A75">
        <v>3</v>
      </c>
      <c r="B75" t="s">
        <v>62</v>
      </c>
      <c r="C75" t="s">
        <v>943</v>
      </c>
      <c r="D75">
        <v>453</v>
      </c>
      <c r="E75">
        <v>507</v>
      </c>
      <c r="F75" t="s">
        <v>349</v>
      </c>
      <c r="G75">
        <v>96.320965000000001</v>
      </c>
      <c r="H75">
        <v>90.533477189999999</v>
      </c>
      <c r="I75">
        <v>95.503401670000002</v>
      </c>
      <c r="J75">
        <v>105.9954644</v>
      </c>
      <c r="K75">
        <v>114.05186980000001</v>
      </c>
    </row>
    <row r="76" spans="1:11" x14ac:dyDescent="0.4">
      <c r="A76">
        <v>13</v>
      </c>
      <c r="B76" t="s">
        <v>62</v>
      </c>
      <c r="C76" t="s">
        <v>943</v>
      </c>
      <c r="D76">
        <v>510</v>
      </c>
      <c r="E76">
        <v>467</v>
      </c>
      <c r="F76" t="s">
        <v>353</v>
      </c>
      <c r="G76">
        <v>101.22634499999999</v>
      </c>
      <c r="H76">
        <v>107.5732182</v>
      </c>
      <c r="I76">
        <v>119.1105429</v>
      </c>
      <c r="J76">
        <v>101.4988661</v>
      </c>
      <c r="K76">
        <v>94.941326880000005</v>
      </c>
    </row>
    <row r="77" spans="1:11" x14ac:dyDescent="0.4">
      <c r="A77">
        <v>73</v>
      </c>
      <c r="B77" t="s">
        <v>95</v>
      </c>
      <c r="C77" t="s">
        <v>944</v>
      </c>
      <c r="D77">
        <v>468</v>
      </c>
      <c r="E77">
        <v>467</v>
      </c>
      <c r="F77" t="s">
        <v>382</v>
      </c>
      <c r="G77">
        <v>96.320965000000001</v>
      </c>
      <c r="H77">
        <v>98.580021579999993</v>
      </c>
      <c r="I77">
        <v>97.751700830000004</v>
      </c>
      <c r="J77">
        <v>99.250566939999999</v>
      </c>
      <c r="K77">
        <v>96.627551249999996</v>
      </c>
    </row>
    <row r="78" spans="1:11" x14ac:dyDescent="0.4">
      <c r="A78">
        <v>24</v>
      </c>
      <c r="B78" t="s">
        <v>73</v>
      </c>
      <c r="C78" t="s">
        <v>945</v>
      </c>
      <c r="D78">
        <v>478</v>
      </c>
      <c r="E78">
        <v>474</v>
      </c>
      <c r="F78" t="s">
        <v>358</v>
      </c>
      <c r="G78">
        <v>98.773655000000005</v>
      </c>
      <c r="H78">
        <v>99.526673900000006</v>
      </c>
      <c r="I78">
        <v>97.751700830000004</v>
      </c>
      <c r="J78">
        <v>93.255102500000007</v>
      </c>
      <c r="K78">
        <v>105.05867309999999</v>
      </c>
    </row>
    <row r="79" spans="1:11" x14ac:dyDescent="0.4">
      <c r="A79">
        <v>56</v>
      </c>
      <c r="B79" t="s">
        <v>87</v>
      </c>
      <c r="C79" t="s">
        <v>946</v>
      </c>
      <c r="D79">
        <v>479</v>
      </c>
      <c r="E79">
        <v>485</v>
      </c>
      <c r="F79" t="s">
        <v>373</v>
      </c>
      <c r="G79">
        <v>101.8395175</v>
      </c>
      <c r="H79">
        <v>99.526673900000006</v>
      </c>
      <c r="I79">
        <v>102.24829920000001</v>
      </c>
      <c r="J79">
        <v>108.24376359999999</v>
      </c>
      <c r="K79">
        <v>100</v>
      </c>
    </row>
    <row r="80" spans="1:11" x14ac:dyDescent="0.4">
      <c r="A80">
        <v>62</v>
      </c>
      <c r="B80" t="s">
        <v>87</v>
      </c>
      <c r="C80" t="s">
        <v>946</v>
      </c>
      <c r="D80">
        <v>489</v>
      </c>
      <c r="E80">
        <v>464</v>
      </c>
      <c r="F80" t="s">
        <v>377</v>
      </c>
      <c r="G80">
        <v>96.934137500000006</v>
      </c>
      <c r="H80">
        <v>103.78660910000001</v>
      </c>
      <c r="I80">
        <v>112.36564540000001</v>
      </c>
      <c r="J80">
        <v>98.501133890000006</v>
      </c>
      <c r="K80">
        <v>95.503401670000002</v>
      </c>
    </row>
  </sheetData>
  <phoneticPr fontId="1"/>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7062-6FFD-4AF5-88AC-3769CAE45827}">
  <dimension ref="A1:K46"/>
  <sheetViews>
    <sheetView workbookViewId="0">
      <selection sqref="A1:K35"/>
    </sheetView>
  </sheetViews>
  <sheetFormatPr defaultRowHeight="16.5" x14ac:dyDescent="0.4"/>
  <cols>
    <col min="1" max="1" width="6.75" bestFit="1" customWidth="1"/>
    <col min="2" max="2" width="11.375" bestFit="1" customWidth="1"/>
    <col min="3" max="4" width="8.625" bestFit="1" customWidth="1"/>
    <col min="5" max="5" width="11.375" bestFit="1" customWidth="1"/>
    <col min="6" max="6" width="21.25" bestFit="1" customWidth="1"/>
    <col min="7" max="7" width="19.125" bestFit="1" customWidth="1"/>
    <col min="8" max="8" width="18.375" bestFit="1" customWidth="1"/>
    <col min="9" max="9" width="17.25" bestFit="1" customWidth="1"/>
    <col min="10" max="10" width="20.25" bestFit="1" customWidth="1"/>
    <col min="11" max="11" width="18.125" bestFit="1" customWidth="1"/>
    <col min="12" max="13" width="7.75" bestFit="1" customWidth="1"/>
    <col min="14" max="14" width="10.25" bestFit="1" customWidth="1"/>
    <col min="15" max="15" width="19.7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48</v>
      </c>
      <c r="D1" t="s">
        <v>49</v>
      </c>
      <c r="E1" t="s">
        <v>634</v>
      </c>
      <c r="F1" t="s">
        <v>346</v>
      </c>
      <c r="G1" t="s">
        <v>299</v>
      </c>
      <c r="H1" t="s">
        <v>300</v>
      </c>
      <c r="I1" t="s">
        <v>301</v>
      </c>
      <c r="J1" t="s">
        <v>302</v>
      </c>
      <c r="K1" t="s">
        <v>303</v>
      </c>
    </row>
    <row r="2" spans="1:11" x14ac:dyDescent="0.4">
      <c r="A2" s="10">
        <v>81</v>
      </c>
      <c r="B2" s="10" t="s">
        <v>32</v>
      </c>
      <c r="C2">
        <v>484</v>
      </c>
      <c r="D2">
        <v>458</v>
      </c>
      <c r="E2" s="10" t="s">
        <v>778</v>
      </c>
      <c r="F2" s="10" t="s">
        <v>386</v>
      </c>
      <c r="G2" s="10">
        <v>95.707792499999996</v>
      </c>
      <c r="H2" s="10">
        <v>101.89330459999999</v>
      </c>
      <c r="I2" s="10">
        <v>113.489795</v>
      </c>
      <c r="J2" s="10">
        <v>96.252834719999996</v>
      </c>
      <c r="K2" s="10">
        <v>93.817177290000004</v>
      </c>
    </row>
    <row r="3" spans="1:11" x14ac:dyDescent="0.4">
      <c r="A3" s="10">
        <v>91</v>
      </c>
      <c r="B3" s="10" t="s">
        <v>32</v>
      </c>
      <c r="C3">
        <v>480</v>
      </c>
      <c r="D3">
        <v>477</v>
      </c>
      <c r="E3" s="10" t="s">
        <v>778</v>
      </c>
      <c r="F3" s="10" t="s">
        <v>390</v>
      </c>
      <c r="G3" s="10">
        <v>103.679035</v>
      </c>
      <c r="H3" s="10">
        <v>100</v>
      </c>
      <c r="I3" s="10">
        <v>98.875850420000006</v>
      </c>
      <c r="J3" s="10">
        <v>96.252834719999996</v>
      </c>
      <c r="K3" s="10">
        <v>104.4965983</v>
      </c>
    </row>
    <row r="4" spans="1:11" x14ac:dyDescent="0.4">
      <c r="A4" s="10">
        <v>101</v>
      </c>
      <c r="B4" s="10" t="s">
        <v>32</v>
      </c>
      <c r="C4">
        <v>462</v>
      </c>
      <c r="D4">
        <v>468</v>
      </c>
      <c r="E4" s="10" t="s">
        <v>778</v>
      </c>
      <c r="F4" s="10" t="s">
        <v>394</v>
      </c>
      <c r="G4" s="10">
        <v>95.707792499999996</v>
      </c>
      <c r="H4" s="10">
        <v>94.320086320000001</v>
      </c>
      <c r="I4" s="10">
        <v>97.751700830000004</v>
      </c>
      <c r="J4" s="10">
        <v>94.753968610000001</v>
      </c>
      <c r="K4" s="10">
        <v>100.5620748</v>
      </c>
    </row>
    <row r="5" spans="1:11" x14ac:dyDescent="0.4">
      <c r="A5" s="10">
        <v>106</v>
      </c>
      <c r="B5" s="10" t="s">
        <v>32</v>
      </c>
      <c r="C5">
        <v>469</v>
      </c>
      <c r="D5">
        <v>478</v>
      </c>
      <c r="E5" s="10" t="s">
        <v>778</v>
      </c>
      <c r="F5" s="10" t="s">
        <v>397</v>
      </c>
      <c r="G5" s="10">
        <v>98.773655000000005</v>
      </c>
      <c r="H5" s="10">
        <v>97.633369299999998</v>
      </c>
      <c r="I5" s="10">
        <v>101.1241496</v>
      </c>
      <c r="J5" s="10">
        <v>111.2414958</v>
      </c>
      <c r="K5" s="10">
        <v>93.817177290000004</v>
      </c>
    </row>
    <row r="6" spans="1:11" x14ac:dyDescent="0.4">
      <c r="A6" s="10">
        <v>112</v>
      </c>
      <c r="B6" s="10" t="s">
        <v>32</v>
      </c>
      <c r="C6">
        <v>459</v>
      </c>
      <c r="D6">
        <v>461</v>
      </c>
      <c r="E6" s="10" t="s">
        <v>778</v>
      </c>
      <c r="F6" s="10" t="s">
        <v>399</v>
      </c>
      <c r="G6" s="10">
        <v>95.707792499999996</v>
      </c>
      <c r="H6" s="10">
        <v>92.426781750000004</v>
      </c>
      <c r="I6" s="10">
        <v>98.875850420000006</v>
      </c>
      <c r="J6" s="10">
        <v>95.503401670000002</v>
      </c>
      <c r="K6" s="10">
        <v>96.065476459999999</v>
      </c>
    </row>
    <row r="7" spans="1:11" x14ac:dyDescent="0.4">
      <c r="A7" s="10">
        <v>115</v>
      </c>
      <c r="B7" s="10" t="s">
        <v>32</v>
      </c>
      <c r="C7">
        <v>460</v>
      </c>
      <c r="D7">
        <v>467</v>
      </c>
      <c r="E7" s="10" t="s">
        <v>778</v>
      </c>
      <c r="F7" s="10" t="s">
        <v>401</v>
      </c>
      <c r="G7" s="10">
        <v>94.481447500000002</v>
      </c>
      <c r="H7" s="10">
        <v>94.320086320000001</v>
      </c>
      <c r="I7" s="10">
        <v>97.751700830000004</v>
      </c>
      <c r="J7" s="10">
        <v>94.753968610000001</v>
      </c>
      <c r="K7" s="10">
        <v>100</v>
      </c>
    </row>
    <row r="8" spans="1:11" x14ac:dyDescent="0.4">
      <c r="A8" s="10">
        <v>118</v>
      </c>
      <c r="B8" s="10" t="s">
        <v>32</v>
      </c>
      <c r="C8">
        <v>479</v>
      </c>
      <c r="D8">
        <v>461</v>
      </c>
      <c r="E8" s="10" t="s">
        <v>778</v>
      </c>
      <c r="F8" s="10" t="s">
        <v>403</v>
      </c>
      <c r="G8" s="10">
        <v>101.8395175</v>
      </c>
      <c r="H8" s="10">
        <v>100.9466523</v>
      </c>
      <c r="I8" s="10">
        <v>98.875850420000006</v>
      </c>
      <c r="J8" s="10">
        <v>95.503401670000002</v>
      </c>
      <c r="K8" s="10">
        <v>96.065476459999999</v>
      </c>
    </row>
    <row r="9" spans="1:11" x14ac:dyDescent="0.4">
      <c r="A9" s="10">
        <v>121</v>
      </c>
      <c r="B9" s="10" t="s">
        <v>32</v>
      </c>
      <c r="C9">
        <v>458</v>
      </c>
      <c r="D9">
        <v>472</v>
      </c>
      <c r="E9" s="10" t="s">
        <v>778</v>
      </c>
      <c r="F9" s="10" t="s">
        <v>405</v>
      </c>
      <c r="G9" s="10">
        <v>94.481447500000002</v>
      </c>
      <c r="H9" s="10">
        <v>93.373434040000006</v>
      </c>
      <c r="I9" s="10">
        <v>97.751700830000004</v>
      </c>
      <c r="J9" s="10">
        <v>104.4965983</v>
      </c>
      <c r="K9" s="10">
        <v>95.503401670000002</v>
      </c>
    </row>
    <row r="10" spans="1:11" x14ac:dyDescent="0.4">
      <c r="A10" s="10">
        <v>123</v>
      </c>
      <c r="B10" s="10" t="s">
        <v>32</v>
      </c>
      <c r="C10">
        <v>481</v>
      </c>
      <c r="D10">
        <v>466</v>
      </c>
      <c r="E10" s="10" t="s">
        <v>778</v>
      </c>
      <c r="F10" s="10" t="s">
        <v>406</v>
      </c>
      <c r="G10" s="10">
        <v>102.45269</v>
      </c>
      <c r="H10" s="10">
        <v>101.41997840000001</v>
      </c>
      <c r="I10" s="10">
        <v>98.875850420000006</v>
      </c>
      <c r="J10" s="10">
        <v>97.751700830000004</v>
      </c>
      <c r="K10" s="10">
        <v>97.189626039999993</v>
      </c>
    </row>
    <row r="11" spans="1:11" x14ac:dyDescent="0.4">
      <c r="A11" s="10">
        <v>126</v>
      </c>
      <c r="B11" s="10" t="s">
        <v>32</v>
      </c>
      <c r="C11">
        <v>474</v>
      </c>
      <c r="D11">
        <v>460</v>
      </c>
      <c r="E11" s="10" t="s">
        <v>778</v>
      </c>
      <c r="F11" s="10" t="s">
        <v>573</v>
      </c>
      <c r="G11" s="10">
        <v>93.255102500000007</v>
      </c>
      <c r="H11" s="10">
        <v>98.580021579999993</v>
      </c>
      <c r="I11" s="10">
        <v>105.6207479</v>
      </c>
      <c r="J11" s="10">
        <v>97.002267779999997</v>
      </c>
      <c r="K11" s="10">
        <v>94.379252080000001</v>
      </c>
    </row>
    <row r="12" spans="1:11" x14ac:dyDescent="0.4">
      <c r="A12" s="10">
        <v>116</v>
      </c>
      <c r="B12" s="10" t="s">
        <v>83</v>
      </c>
      <c r="C12">
        <v>466</v>
      </c>
      <c r="D12">
        <v>475</v>
      </c>
      <c r="E12" s="10" t="s">
        <v>913</v>
      </c>
      <c r="F12" s="10" t="s">
        <v>402</v>
      </c>
      <c r="G12" s="10">
        <v>96.320965000000001</v>
      </c>
      <c r="H12" s="10">
        <v>95.266738599999996</v>
      </c>
      <c r="I12" s="10">
        <v>98.875850420000006</v>
      </c>
      <c r="J12" s="10">
        <v>96.252834719999996</v>
      </c>
      <c r="K12" s="10">
        <v>103.3724488</v>
      </c>
    </row>
    <row r="13" spans="1:11" x14ac:dyDescent="0.4">
      <c r="A13" s="10">
        <v>119</v>
      </c>
      <c r="B13" s="10" t="s">
        <v>83</v>
      </c>
      <c r="C13">
        <v>486</v>
      </c>
      <c r="D13">
        <v>467</v>
      </c>
      <c r="E13" s="10" t="s">
        <v>913</v>
      </c>
      <c r="F13" s="10" t="s">
        <v>404</v>
      </c>
      <c r="G13" s="10">
        <v>103.679035</v>
      </c>
      <c r="H13" s="10">
        <v>102.3666307</v>
      </c>
      <c r="I13" s="10">
        <v>100</v>
      </c>
      <c r="J13" s="10">
        <v>97.002267779999997</v>
      </c>
      <c r="K13" s="10">
        <v>98.313775629999995</v>
      </c>
    </row>
    <row r="14" spans="1:11" x14ac:dyDescent="0.4">
      <c r="A14" s="10">
        <v>84</v>
      </c>
      <c r="B14" s="10" t="s">
        <v>64</v>
      </c>
      <c r="C14">
        <v>502</v>
      </c>
      <c r="D14">
        <v>464</v>
      </c>
      <c r="E14" s="10" t="s">
        <v>915</v>
      </c>
      <c r="F14" s="10" t="s">
        <v>389</v>
      </c>
      <c r="G14" s="10">
        <v>96.934137500000006</v>
      </c>
      <c r="H14" s="10">
        <v>106.626566</v>
      </c>
      <c r="I14" s="10">
        <v>120.23469249999999</v>
      </c>
      <c r="J14" s="10">
        <v>97.751700830000004</v>
      </c>
      <c r="K14" s="10">
        <v>96.065476459999999</v>
      </c>
    </row>
    <row r="15" spans="1:11" x14ac:dyDescent="0.4">
      <c r="A15" s="10">
        <v>94</v>
      </c>
      <c r="B15" s="10" t="s">
        <v>64</v>
      </c>
      <c r="C15">
        <v>486</v>
      </c>
      <c r="D15">
        <v>485</v>
      </c>
      <c r="E15" s="10" t="s">
        <v>915</v>
      </c>
      <c r="F15" s="10" t="s">
        <v>393</v>
      </c>
      <c r="G15" s="10">
        <v>107.35807</v>
      </c>
      <c r="H15" s="10">
        <v>99.526673900000006</v>
      </c>
      <c r="I15" s="10">
        <v>100</v>
      </c>
      <c r="J15" s="10">
        <v>101.4988661</v>
      </c>
      <c r="K15" s="10">
        <v>105.05867309999999</v>
      </c>
    </row>
    <row r="16" spans="1:11" x14ac:dyDescent="0.4">
      <c r="A16" s="10">
        <v>107</v>
      </c>
      <c r="B16" s="10" t="s">
        <v>64</v>
      </c>
      <c r="C16">
        <v>475</v>
      </c>
      <c r="D16">
        <v>486</v>
      </c>
      <c r="E16" s="10" t="s">
        <v>915</v>
      </c>
      <c r="F16" s="10" t="s">
        <v>398</v>
      </c>
      <c r="G16" s="10">
        <v>99.386827499999995</v>
      </c>
      <c r="H16" s="10">
        <v>98.580021579999993</v>
      </c>
      <c r="I16" s="10">
        <v>104.4965983</v>
      </c>
      <c r="J16" s="10">
        <v>115.73809420000001</v>
      </c>
      <c r="K16" s="10">
        <v>94.941326880000005</v>
      </c>
    </row>
    <row r="17" spans="1:11" x14ac:dyDescent="0.4">
      <c r="A17" s="10">
        <v>103</v>
      </c>
      <c r="B17" s="10" t="s">
        <v>329</v>
      </c>
      <c r="C17">
        <v>467</v>
      </c>
      <c r="D17">
        <v>478</v>
      </c>
      <c r="E17" s="10" t="s">
        <v>947</v>
      </c>
      <c r="F17" s="10" t="s">
        <v>396</v>
      </c>
      <c r="G17" s="10">
        <v>99.386827499999995</v>
      </c>
      <c r="H17" s="10">
        <v>93.373434040000006</v>
      </c>
      <c r="I17" s="10">
        <v>98.875850420000006</v>
      </c>
      <c r="J17" s="10">
        <v>94.753968610000001</v>
      </c>
      <c r="K17" s="10">
        <v>106.1828227</v>
      </c>
    </row>
    <row r="18" spans="1:11" x14ac:dyDescent="0.4">
      <c r="A18" s="10">
        <v>113</v>
      </c>
      <c r="B18" s="10" t="s">
        <v>340</v>
      </c>
      <c r="C18">
        <v>467</v>
      </c>
      <c r="D18">
        <v>467</v>
      </c>
      <c r="E18" s="10" t="s">
        <v>918</v>
      </c>
      <c r="F18" s="10" t="s">
        <v>400</v>
      </c>
      <c r="G18" s="10">
        <v>97.547309999999996</v>
      </c>
      <c r="H18" s="10">
        <v>94.320086320000001</v>
      </c>
      <c r="I18" s="10">
        <v>100</v>
      </c>
      <c r="J18" s="10">
        <v>97.002267779999997</v>
      </c>
      <c r="K18" s="10">
        <v>98.313775629999995</v>
      </c>
    </row>
    <row r="19" spans="1:11" x14ac:dyDescent="0.4">
      <c r="A19" s="10">
        <v>95</v>
      </c>
      <c r="B19" s="10" t="s">
        <v>565</v>
      </c>
      <c r="C19">
        <v>489</v>
      </c>
      <c r="D19">
        <v>492</v>
      </c>
      <c r="E19" s="10" t="s">
        <v>948</v>
      </c>
      <c r="F19" s="10" t="s">
        <v>570</v>
      </c>
      <c r="G19" s="10">
        <v>106.74489749999999</v>
      </c>
      <c r="H19" s="10">
        <v>100.9466523</v>
      </c>
      <c r="I19" s="10">
        <v>101.1241496</v>
      </c>
      <c r="J19" s="10">
        <v>99.250566939999999</v>
      </c>
      <c r="K19" s="10">
        <v>110.679421</v>
      </c>
    </row>
    <row r="20" spans="1:11" x14ac:dyDescent="0.4">
      <c r="A20" s="10">
        <v>82</v>
      </c>
      <c r="B20" s="10" t="s">
        <v>61</v>
      </c>
      <c r="C20">
        <v>494</v>
      </c>
      <c r="D20">
        <v>462</v>
      </c>
      <c r="E20" s="10" t="s">
        <v>779</v>
      </c>
      <c r="F20" s="10" t="s">
        <v>387</v>
      </c>
      <c r="G20" s="10">
        <v>96.320965000000001</v>
      </c>
      <c r="H20" s="10">
        <v>104.7332614</v>
      </c>
      <c r="I20" s="10">
        <v>116.8622438</v>
      </c>
      <c r="J20" s="10">
        <v>97.751700830000004</v>
      </c>
      <c r="K20" s="10">
        <v>94.941326880000005</v>
      </c>
    </row>
    <row r="21" spans="1:11" x14ac:dyDescent="0.4">
      <c r="A21" s="10">
        <v>92</v>
      </c>
      <c r="B21" s="10" t="s">
        <v>61</v>
      </c>
      <c r="C21">
        <v>486</v>
      </c>
      <c r="D21">
        <v>485</v>
      </c>
      <c r="E21" s="10" t="s">
        <v>779</v>
      </c>
      <c r="F21" s="10" t="s">
        <v>391</v>
      </c>
      <c r="G21" s="10">
        <v>105.5185525</v>
      </c>
      <c r="H21" s="10">
        <v>100.9466523</v>
      </c>
      <c r="I21" s="10">
        <v>100</v>
      </c>
      <c r="J21" s="10">
        <v>97.751700830000004</v>
      </c>
      <c r="K21" s="10">
        <v>107.8690471</v>
      </c>
    </row>
    <row r="22" spans="1:11" x14ac:dyDescent="0.4">
      <c r="A22" s="10">
        <v>108</v>
      </c>
      <c r="B22" s="10" t="s">
        <v>574</v>
      </c>
      <c r="C22">
        <v>471</v>
      </c>
      <c r="D22">
        <v>491</v>
      </c>
      <c r="E22" s="10" t="s">
        <v>921</v>
      </c>
      <c r="F22" s="10" t="s">
        <v>582</v>
      </c>
      <c r="G22" s="10">
        <v>98.160482500000001</v>
      </c>
      <c r="H22" s="10">
        <v>97.160043160000001</v>
      </c>
      <c r="I22" s="10">
        <v>105.6207479</v>
      </c>
      <c r="J22" s="10">
        <v>119.4852594</v>
      </c>
      <c r="K22" s="10">
        <v>94.941326880000005</v>
      </c>
    </row>
    <row r="23" spans="1:11" x14ac:dyDescent="0.4">
      <c r="A23" s="10">
        <v>85</v>
      </c>
      <c r="B23" s="10" t="s">
        <v>635</v>
      </c>
      <c r="C23">
        <v>501</v>
      </c>
      <c r="D23">
        <v>466</v>
      </c>
      <c r="E23" s="10" t="s">
        <v>922</v>
      </c>
      <c r="F23" s="10" t="s">
        <v>639</v>
      </c>
      <c r="G23" s="10">
        <v>96.934137500000006</v>
      </c>
      <c r="H23" s="10">
        <v>107.09989210000001</v>
      </c>
      <c r="I23" s="10">
        <v>117.9863933</v>
      </c>
      <c r="J23" s="10">
        <v>100.7494331</v>
      </c>
      <c r="K23" s="10">
        <v>94.941326880000005</v>
      </c>
    </row>
    <row r="24" spans="1:11" x14ac:dyDescent="0.4">
      <c r="A24" s="10">
        <v>96</v>
      </c>
      <c r="B24" s="10" t="s">
        <v>674</v>
      </c>
      <c r="C24">
        <v>490</v>
      </c>
      <c r="D24">
        <v>492</v>
      </c>
      <c r="E24" s="10" t="s">
        <v>924</v>
      </c>
      <c r="F24" s="10" t="s">
        <v>677</v>
      </c>
      <c r="G24" s="10">
        <v>107.35807</v>
      </c>
      <c r="H24" s="10">
        <v>100.9466523</v>
      </c>
      <c r="I24" s="10">
        <v>101.1241496</v>
      </c>
      <c r="J24" s="10">
        <v>100.7494331</v>
      </c>
      <c r="K24" s="10">
        <v>109.5552715</v>
      </c>
    </row>
    <row r="25" spans="1:11" x14ac:dyDescent="0.4">
      <c r="A25" s="10">
        <v>104</v>
      </c>
      <c r="B25" s="10" t="s">
        <v>674</v>
      </c>
      <c r="C25">
        <v>462</v>
      </c>
      <c r="D25">
        <v>485</v>
      </c>
      <c r="E25" s="10" t="s">
        <v>924</v>
      </c>
      <c r="F25" s="10" t="s">
        <v>675</v>
      </c>
      <c r="G25" s="10">
        <v>98.160482500000001</v>
      </c>
      <c r="H25" s="10">
        <v>92.900107890000001</v>
      </c>
      <c r="I25" s="10">
        <v>96.627551249999996</v>
      </c>
      <c r="J25" s="10">
        <v>98.501133890000006</v>
      </c>
      <c r="K25" s="10">
        <v>107.3069723</v>
      </c>
    </row>
    <row r="26" spans="1:11" x14ac:dyDescent="0.4">
      <c r="A26" s="10">
        <v>86</v>
      </c>
      <c r="B26" s="10" t="s">
        <v>693</v>
      </c>
      <c r="C26">
        <v>508</v>
      </c>
      <c r="D26">
        <v>468</v>
      </c>
      <c r="E26" s="10" t="s">
        <v>926</v>
      </c>
      <c r="F26" s="10" t="s">
        <v>702</v>
      </c>
      <c r="G26" s="10">
        <v>97.547309999999996</v>
      </c>
      <c r="H26" s="10">
        <v>108.0465444</v>
      </c>
      <c r="I26" s="10">
        <v>122.4829917</v>
      </c>
      <c r="J26" s="10">
        <v>99.250566939999999</v>
      </c>
      <c r="K26" s="10">
        <v>97.189626039999993</v>
      </c>
    </row>
    <row r="27" spans="1:11" x14ac:dyDescent="0.4">
      <c r="A27" s="10">
        <v>109</v>
      </c>
      <c r="B27" s="10" t="s">
        <v>731</v>
      </c>
      <c r="C27">
        <v>479</v>
      </c>
      <c r="D27">
        <v>492</v>
      </c>
      <c r="E27" s="10" t="s">
        <v>929</v>
      </c>
      <c r="F27" s="10" t="s">
        <v>738</v>
      </c>
      <c r="G27" s="10">
        <v>100</v>
      </c>
      <c r="H27" s="10">
        <v>99.526673900000006</v>
      </c>
      <c r="I27" s="10">
        <v>105.6207479</v>
      </c>
      <c r="J27" s="10">
        <v>118.73582639999999</v>
      </c>
      <c r="K27" s="10">
        <v>96.065476459999999</v>
      </c>
    </row>
    <row r="28" spans="1:11" x14ac:dyDescent="0.4">
      <c r="A28" s="10">
        <v>124</v>
      </c>
      <c r="B28" s="10" t="s">
        <v>741</v>
      </c>
      <c r="C28">
        <v>489</v>
      </c>
      <c r="D28">
        <v>472</v>
      </c>
      <c r="E28" s="10" t="s">
        <v>930</v>
      </c>
      <c r="F28" s="10" t="s">
        <v>742</v>
      </c>
      <c r="G28" s="10">
        <v>104.2922075</v>
      </c>
      <c r="H28" s="10">
        <v>103.313283</v>
      </c>
      <c r="I28" s="10">
        <v>100</v>
      </c>
      <c r="J28" s="10">
        <v>99.250566939999999</v>
      </c>
      <c r="K28" s="10">
        <v>99.437925210000003</v>
      </c>
    </row>
    <row r="29" spans="1:11" x14ac:dyDescent="0.4">
      <c r="A29" s="10">
        <v>87</v>
      </c>
      <c r="B29" s="10" t="s">
        <v>756</v>
      </c>
      <c r="C29">
        <v>506</v>
      </c>
      <c r="D29">
        <v>471</v>
      </c>
      <c r="E29" s="10" t="s">
        <v>932</v>
      </c>
      <c r="F29" s="10" t="s">
        <v>759</v>
      </c>
      <c r="G29" s="10">
        <v>97.547309999999996</v>
      </c>
      <c r="H29" s="10">
        <v>107.5732182</v>
      </c>
      <c r="I29" s="10">
        <v>121.3588421</v>
      </c>
      <c r="J29" s="10">
        <v>100</v>
      </c>
      <c r="K29" s="10">
        <v>98.313775629999995</v>
      </c>
    </row>
    <row r="30" spans="1:11" x14ac:dyDescent="0.4">
      <c r="A30" s="10">
        <v>97</v>
      </c>
      <c r="B30" s="10" t="s">
        <v>756</v>
      </c>
      <c r="C30">
        <v>493</v>
      </c>
      <c r="D30">
        <v>496</v>
      </c>
      <c r="E30" s="10" t="s">
        <v>932</v>
      </c>
      <c r="F30" s="10" t="s">
        <v>758</v>
      </c>
      <c r="G30" s="10">
        <v>107.35807</v>
      </c>
      <c r="H30" s="10">
        <v>101.89330459999999</v>
      </c>
      <c r="I30" s="10">
        <v>102.24829920000001</v>
      </c>
      <c r="J30" s="10">
        <v>100.7494331</v>
      </c>
      <c r="K30" s="10">
        <v>111.8035706</v>
      </c>
    </row>
    <row r="31" spans="1:11" x14ac:dyDescent="0.4">
      <c r="A31" s="10">
        <v>114</v>
      </c>
      <c r="B31" s="10" t="s">
        <v>769</v>
      </c>
      <c r="C31">
        <v>466</v>
      </c>
      <c r="D31">
        <v>469</v>
      </c>
      <c r="E31" s="10" t="s">
        <v>933</v>
      </c>
      <c r="F31" s="10" t="s">
        <v>774</v>
      </c>
      <c r="G31" s="10">
        <v>99.386827499999995</v>
      </c>
      <c r="H31" s="10">
        <v>92.426781750000004</v>
      </c>
      <c r="I31" s="10">
        <v>100</v>
      </c>
      <c r="J31" s="10">
        <v>95.503401670000002</v>
      </c>
      <c r="K31" s="10">
        <v>100.5620748</v>
      </c>
    </row>
    <row r="32" spans="1:11" x14ac:dyDescent="0.4">
      <c r="A32" s="10">
        <v>105</v>
      </c>
      <c r="B32" s="10" t="s">
        <v>776</v>
      </c>
      <c r="C32">
        <v>472</v>
      </c>
      <c r="D32">
        <v>483</v>
      </c>
      <c r="E32" s="10" t="s">
        <v>949</v>
      </c>
      <c r="F32" s="10" t="s">
        <v>780</v>
      </c>
      <c r="G32" s="10">
        <v>99.386827499999995</v>
      </c>
      <c r="H32" s="10">
        <v>95.266738599999996</v>
      </c>
      <c r="I32" s="10">
        <v>100</v>
      </c>
      <c r="J32" s="10">
        <v>98.501133890000006</v>
      </c>
      <c r="K32" s="10">
        <v>106.1828227</v>
      </c>
    </row>
    <row r="33" spans="1:11" x14ac:dyDescent="0.4">
      <c r="A33" s="10">
        <v>110</v>
      </c>
      <c r="B33" s="10" t="s">
        <v>785</v>
      </c>
      <c r="C33">
        <v>479</v>
      </c>
      <c r="D33">
        <v>493</v>
      </c>
      <c r="E33" s="10" t="s">
        <v>950</v>
      </c>
      <c r="F33" s="10" t="s">
        <v>791</v>
      </c>
      <c r="G33" s="10">
        <v>99.386827499999995</v>
      </c>
      <c r="H33" s="10">
        <v>99.526673900000006</v>
      </c>
      <c r="I33" s="10">
        <v>106.74489749999999</v>
      </c>
      <c r="J33" s="10">
        <v>119.4852594</v>
      </c>
      <c r="K33" s="10">
        <v>96.065476459999999</v>
      </c>
    </row>
    <row r="34" spans="1:11" x14ac:dyDescent="0.4">
      <c r="A34" s="10">
        <v>122</v>
      </c>
      <c r="B34" s="10" t="s">
        <v>801</v>
      </c>
      <c r="C34">
        <v>464</v>
      </c>
      <c r="D34">
        <v>480</v>
      </c>
      <c r="E34" s="10" t="s">
        <v>936</v>
      </c>
      <c r="F34" s="10" t="s">
        <v>807</v>
      </c>
      <c r="G34" s="10">
        <v>95.094620000000006</v>
      </c>
      <c r="H34" s="10">
        <v>94.320086320000001</v>
      </c>
      <c r="I34" s="10">
        <v>101.1241496</v>
      </c>
      <c r="J34" s="10">
        <v>108.9931967</v>
      </c>
      <c r="K34" s="10">
        <v>96.627551249999996</v>
      </c>
    </row>
    <row r="35" spans="1:11" x14ac:dyDescent="0.4">
      <c r="A35" s="10">
        <v>88</v>
      </c>
      <c r="B35" s="10" t="s">
        <v>811</v>
      </c>
      <c r="C35">
        <v>507</v>
      </c>
      <c r="D35">
        <v>471</v>
      </c>
      <c r="E35" s="10" t="s">
        <v>937</v>
      </c>
      <c r="F35" s="10" t="s">
        <v>812</v>
      </c>
      <c r="G35" s="10">
        <v>97.547309999999996</v>
      </c>
      <c r="H35" s="10">
        <v>108.9931967</v>
      </c>
      <c r="I35" s="10">
        <v>119.1105429</v>
      </c>
      <c r="J35" s="10">
        <v>102.9977322</v>
      </c>
      <c r="K35" s="10">
        <v>96.065476459999999</v>
      </c>
    </row>
    <row r="36" spans="1:11" x14ac:dyDescent="0.4">
      <c r="A36" s="10">
        <v>98</v>
      </c>
      <c r="B36" s="10" t="s">
        <v>811</v>
      </c>
      <c r="C36">
        <v>495</v>
      </c>
      <c r="D36">
        <v>497</v>
      </c>
      <c r="E36" s="10" t="s">
        <v>937</v>
      </c>
      <c r="F36" s="10" t="s">
        <v>828</v>
      </c>
      <c r="G36" s="10">
        <v>108.58441500000001</v>
      </c>
      <c r="H36" s="10">
        <v>101.89330459999999</v>
      </c>
      <c r="I36" s="10">
        <v>102.24829920000001</v>
      </c>
      <c r="J36" s="10">
        <v>102.24829920000001</v>
      </c>
      <c r="K36" s="10">
        <v>111.2414958</v>
      </c>
    </row>
    <row r="37" spans="1:11" x14ac:dyDescent="0.4">
      <c r="A37" s="10">
        <v>111</v>
      </c>
      <c r="B37" s="10" t="s">
        <v>854</v>
      </c>
      <c r="C37">
        <v>483</v>
      </c>
      <c r="D37">
        <v>498</v>
      </c>
      <c r="E37" s="10" t="s">
        <v>939</v>
      </c>
      <c r="F37" s="10" t="s">
        <v>863</v>
      </c>
      <c r="G37" s="10">
        <v>100.6131725</v>
      </c>
      <c r="H37" s="10">
        <v>100.47332609999999</v>
      </c>
      <c r="I37" s="10">
        <v>106.74489749999999</v>
      </c>
      <c r="J37" s="10">
        <v>121.73355859999999</v>
      </c>
      <c r="K37" s="10">
        <v>97.189626039999993</v>
      </c>
    </row>
    <row r="38" spans="1:11" x14ac:dyDescent="0.4">
      <c r="A38" s="10">
        <v>89</v>
      </c>
      <c r="B38" s="10" t="s">
        <v>865</v>
      </c>
      <c r="C38">
        <v>513</v>
      </c>
      <c r="D38">
        <v>473</v>
      </c>
      <c r="E38" s="10" t="s">
        <v>940</v>
      </c>
      <c r="F38" s="10" t="s">
        <v>866</v>
      </c>
      <c r="G38" s="10">
        <v>98.160482500000001</v>
      </c>
      <c r="H38" s="10">
        <v>108.9931967</v>
      </c>
      <c r="I38" s="10">
        <v>124.7312908</v>
      </c>
      <c r="J38" s="10">
        <v>101.4988661</v>
      </c>
      <c r="K38" s="10">
        <v>98.313775629999995</v>
      </c>
    </row>
    <row r="39" spans="1:11" x14ac:dyDescent="0.4">
      <c r="A39" s="10">
        <v>99</v>
      </c>
      <c r="B39" s="10" t="s">
        <v>875</v>
      </c>
      <c r="C39">
        <v>493</v>
      </c>
      <c r="D39">
        <v>500</v>
      </c>
      <c r="E39" s="10" t="s">
        <v>941</v>
      </c>
      <c r="F39" s="10" t="s">
        <v>877</v>
      </c>
      <c r="G39" s="10">
        <v>107.35807</v>
      </c>
      <c r="H39" s="10">
        <v>101.89330459999999</v>
      </c>
      <c r="I39" s="10">
        <v>102.24829920000001</v>
      </c>
      <c r="J39" s="10">
        <v>100.7494331</v>
      </c>
      <c r="K39" s="10">
        <v>114.05186980000001</v>
      </c>
    </row>
    <row r="40" spans="1:11" x14ac:dyDescent="0.4">
      <c r="A40" s="10">
        <v>120</v>
      </c>
      <c r="B40" s="10" t="s">
        <v>875</v>
      </c>
      <c r="C40">
        <v>485</v>
      </c>
      <c r="D40">
        <v>469</v>
      </c>
      <c r="E40" s="10" t="s">
        <v>941</v>
      </c>
      <c r="F40" s="10" t="s">
        <v>886</v>
      </c>
      <c r="G40" s="10">
        <v>105.5185525</v>
      </c>
      <c r="H40" s="10">
        <v>100.47332609999999</v>
      </c>
      <c r="I40" s="10">
        <v>100</v>
      </c>
      <c r="J40" s="10">
        <v>95.503401670000002</v>
      </c>
      <c r="K40" s="10">
        <v>100.5620748</v>
      </c>
    </row>
    <row r="41" spans="1:11" x14ac:dyDescent="0.4">
      <c r="A41" s="10">
        <v>90</v>
      </c>
      <c r="B41" s="10" t="s">
        <v>964</v>
      </c>
      <c r="C41">
        <v>513</v>
      </c>
      <c r="D41">
        <v>475</v>
      </c>
      <c r="E41" s="10" t="s">
        <v>965</v>
      </c>
      <c r="F41" s="10" t="s">
        <v>967</v>
      </c>
      <c r="G41" s="10">
        <v>98.160482500000001</v>
      </c>
      <c r="H41" s="10">
        <v>110.8865012</v>
      </c>
      <c r="I41" s="10">
        <v>120.23469249999999</v>
      </c>
      <c r="J41" s="10">
        <v>104.4965983</v>
      </c>
      <c r="K41" s="10">
        <v>97.189626039999993</v>
      </c>
    </row>
    <row r="42" spans="1:11" x14ac:dyDescent="0.4">
      <c r="A42" s="10">
        <v>100</v>
      </c>
      <c r="B42" s="10" t="s">
        <v>964</v>
      </c>
      <c r="C42">
        <v>500</v>
      </c>
      <c r="D42">
        <v>502</v>
      </c>
      <c r="E42" s="10" t="s">
        <v>965</v>
      </c>
      <c r="F42" s="10" t="s">
        <v>966</v>
      </c>
      <c r="G42" s="10">
        <v>109.81076</v>
      </c>
      <c r="H42" s="10">
        <v>102.8399568</v>
      </c>
      <c r="I42" s="10">
        <v>103.3724488</v>
      </c>
      <c r="J42" s="10">
        <v>103.74716530000001</v>
      </c>
      <c r="K42" s="10">
        <v>112.9277202</v>
      </c>
    </row>
    <row r="43" spans="1:11" x14ac:dyDescent="0.4">
      <c r="A43" s="10">
        <v>83</v>
      </c>
      <c r="B43" s="10" t="s">
        <v>62</v>
      </c>
      <c r="C43">
        <v>494</v>
      </c>
      <c r="D43">
        <v>462</v>
      </c>
      <c r="E43" s="10" t="s">
        <v>943</v>
      </c>
      <c r="F43" s="10" t="s">
        <v>388</v>
      </c>
      <c r="G43" s="10">
        <v>95.094620000000006</v>
      </c>
      <c r="H43" s="10">
        <v>104.7332614</v>
      </c>
      <c r="I43" s="10">
        <v>119.1105429</v>
      </c>
      <c r="J43" s="10">
        <v>100.7494331</v>
      </c>
      <c r="K43" s="10">
        <v>92.693027709999996</v>
      </c>
    </row>
    <row r="44" spans="1:11" x14ac:dyDescent="0.4">
      <c r="A44" s="10">
        <v>93</v>
      </c>
      <c r="B44" s="10" t="s">
        <v>62</v>
      </c>
      <c r="C44">
        <v>494</v>
      </c>
      <c r="D44">
        <v>477</v>
      </c>
      <c r="E44" s="10" t="s">
        <v>943</v>
      </c>
      <c r="F44" s="10" t="s">
        <v>392</v>
      </c>
      <c r="G44" s="10">
        <v>106.74489749999999</v>
      </c>
      <c r="H44" s="10">
        <v>103.78660910000001</v>
      </c>
      <c r="I44" s="10">
        <v>100</v>
      </c>
      <c r="J44" s="10">
        <v>96.252834719999996</v>
      </c>
      <c r="K44" s="10">
        <v>104.4965983</v>
      </c>
    </row>
    <row r="45" spans="1:11" x14ac:dyDescent="0.4">
      <c r="A45" s="10">
        <v>117</v>
      </c>
      <c r="B45" s="10" t="s">
        <v>977</v>
      </c>
      <c r="C45">
        <v>460</v>
      </c>
      <c r="D45">
        <v>484</v>
      </c>
      <c r="E45" s="10" t="s">
        <v>978</v>
      </c>
      <c r="F45" s="10" t="s">
        <v>985</v>
      </c>
      <c r="G45" s="10">
        <v>96.934137500000006</v>
      </c>
      <c r="H45" s="10">
        <v>92.900107890000001</v>
      </c>
      <c r="I45" s="10">
        <v>96.627551249999996</v>
      </c>
      <c r="J45" s="10">
        <v>98.501133890000006</v>
      </c>
      <c r="K45" s="10">
        <v>106.74489749999999</v>
      </c>
    </row>
    <row r="46" spans="1:11" x14ac:dyDescent="0.4">
      <c r="A46" s="10">
        <v>102</v>
      </c>
      <c r="B46" s="10" t="s">
        <v>95</v>
      </c>
      <c r="C46">
        <v>468</v>
      </c>
      <c r="D46">
        <v>476</v>
      </c>
      <c r="E46" s="10" t="s">
        <v>944</v>
      </c>
      <c r="F46" s="10" t="s">
        <v>395</v>
      </c>
      <c r="G46" s="10">
        <v>97.547309999999996</v>
      </c>
      <c r="H46" s="10">
        <v>95.266738599999996</v>
      </c>
      <c r="I46" s="10">
        <v>98.875850420000006</v>
      </c>
      <c r="J46" s="10">
        <v>96.252834719999996</v>
      </c>
      <c r="K46" s="10">
        <v>103.9345235</v>
      </c>
    </row>
  </sheetData>
  <phoneticPr fontId="1"/>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E4B187-C08E-4FED-B368-79154BAE834C}">
  <dimension ref="A1:K33"/>
  <sheetViews>
    <sheetView workbookViewId="0">
      <selection sqref="A1:K26"/>
    </sheetView>
  </sheetViews>
  <sheetFormatPr defaultRowHeight="16.5" x14ac:dyDescent="0.4"/>
  <cols>
    <col min="1" max="1" width="6.75" bestFit="1" customWidth="1"/>
    <col min="2" max="2" width="11.375" bestFit="1" customWidth="1"/>
    <col min="3" max="4" width="8.625" bestFit="1" customWidth="1"/>
    <col min="5" max="5" width="11.375" bestFit="1" customWidth="1"/>
    <col min="6" max="6" width="20.125" bestFit="1" customWidth="1"/>
    <col min="7" max="7" width="19.125" bestFit="1" customWidth="1"/>
    <col min="8" max="8" width="18.375" bestFit="1" customWidth="1"/>
    <col min="9" max="9" width="17.25" bestFit="1" customWidth="1"/>
    <col min="10" max="10" width="20.25" bestFit="1" customWidth="1"/>
    <col min="11" max="11" width="18.125" bestFit="1" customWidth="1"/>
    <col min="12" max="13" width="7.75" bestFit="1" customWidth="1"/>
    <col min="14" max="14" width="10.25" bestFit="1" customWidth="1"/>
    <col min="15" max="15" width="18.62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48</v>
      </c>
      <c r="D1" t="s">
        <v>49</v>
      </c>
      <c r="E1" t="s">
        <v>634</v>
      </c>
      <c r="F1" t="s">
        <v>346</v>
      </c>
      <c r="G1" t="s">
        <v>299</v>
      </c>
      <c r="H1" t="s">
        <v>300</v>
      </c>
      <c r="I1" t="s">
        <v>301</v>
      </c>
      <c r="J1" t="s">
        <v>302</v>
      </c>
      <c r="K1" t="s">
        <v>303</v>
      </c>
    </row>
    <row r="2" spans="1:11" x14ac:dyDescent="0.4">
      <c r="A2">
        <v>127</v>
      </c>
      <c r="B2" t="s">
        <v>32</v>
      </c>
      <c r="C2">
        <v>472</v>
      </c>
      <c r="D2">
        <v>476</v>
      </c>
      <c r="E2" t="s">
        <v>778</v>
      </c>
      <c r="F2" t="s">
        <v>407</v>
      </c>
      <c r="G2">
        <v>100.6131725</v>
      </c>
      <c r="H2">
        <v>95.740064739999994</v>
      </c>
      <c r="I2">
        <v>96.627551249999996</v>
      </c>
      <c r="J2">
        <v>94.753968610000001</v>
      </c>
      <c r="K2">
        <v>105.05867309999999</v>
      </c>
    </row>
    <row r="3" spans="1:11" x14ac:dyDescent="0.4">
      <c r="A3">
        <v>133</v>
      </c>
      <c r="B3" t="s">
        <v>32</v>
      </c>
      <c r="C3">
        <v>484</v>
      </c>
      <c r="D3">
        <v>478</v>
      </c>
      <c r="E3" t="s">
        <v>778</v>
      </c>
      <c r="F3" t="s">
        <v>410</v>
      </c>
      <c r="G3">
        <v>102.45269</v>
      </c>
      <c r="H3">
        <v>102.8399568</v>
      </c>
      <c r="I3">
        <v>98.875850420000006</v>
      </c>
      <c r="J3">
        <v>98.501133890000006</v>
      </c>
      <c r="K3">
        <v>103.3724488</v>
      </c>
    </row>
    <row r="4" spans="1:11" x14ac:dyDescent="0.4">
      <c r="A4">
        <v>141</v>
      </c>
      <c r="B4" t="s">
        <v>32</v>
      </c>
      <c r="C4">
        <v>481</v>
      </c>
      <c r="D4">
        <v>475</v>
      </c>
      <c r="E4" t="s">
        <v>778</v>
      </c>
      <c r="F4" t="s">
        <v>414</v>
      </c>
      <c r="G4">
        <v>96.934137500000006</v>
      </c>
      <c r="H4">
        <v>97.633369299999998</v>
      </c>
      <c r="I4">
        <v>108.9931967</v>
      </c>
      <c r="J4">
        <v>96.252834719999996</v>
      </c>
      <c r="K4">
        <v>103.3724488</v>
      </c>
    </row>
    <row r="5" spans="1:11" x14ac:dyDescent="0.4">
      <c r="A5">
        <v>147</v>
      </c>
      <c r="B5" t="s">
        <v>32</v>
      </c>
      <c r="C5">
        <v>469</v>
      </c>
      <c r="D5">
        <v>465</v>
      </c>
      <c r="E5" t="s">
        <v>778</v>
      </c>
      <c r="F5" t="s">
        <v>417</v>
      </c>
      <c r="G5">
        <v>98.160482500000001</v>
      </c>
      <c r="H5">
        <v>96.213390880000006</v>
      </c>
      <c r="I5">
        <v>96.627551249999996</v>
      </c>
      <c r="J5">
        <v>97.002267779999997</v>
      </c>
      <c r="K5">
        <v>97.189626039999993</v>
      </c>
    </row>
    <row r="6" spans="1:11" x14ac:dyDescent="0.4">
      <c r="A6">
        <v>148</v>
      </c>
      <c r="B6" t="s">
        <v>32</v>
      </c>
      <c r="C6">
        <v>473</v>
      </c>
      <c r="D6">
        <v>473</v>
      </c>
      <c r="E6" t="s">
        <v>778</v>
      </c>
      <c r="F6" t="s">
        <v>418</v>
      </c>
      <c r="G6">
        <v>98.773655000000005</v>
      </c>
      <c r="H6">
        <v>97.160043160000001</v>
      </c>
      <c r="I6">
        <v>97.751700830000004</v>
      </c>
      <c r="J6">
        <v>98.501133890000006</v>
      </c>
      <c r="K6">
        <v>100.5620748</v>
      </c>
    </row>
    <row r="7" spans="1:11" x14ac:dyDescent="0.4">
      <c r="A7">
        <v>150</v>
      </c>
      <c r="B7" t="s">
        <v>32</v>
      </c>
      <c r="C7">
        <v>456</v>
      </c>
      <c r="D7">
        <v>473</v>
      </c>
      <c r="E7" t="s">
        <v>778</v>
      </c>
      <c r="F7" t="s">
        <v>419</v>
      </c>
      <c r="G7">
        <v>95.707792499999996</v>
      </c>
      <c r="H7">
        <v>95.740064739999994</v>
      </c>
      <c r="I7">
        <v>96.627551249999996</v>
      </c>
      <c r="J7">
        <v>105.24603140000001</v>
      </c>
      <c r="K7">
        <v>95.503401670000002</v>
      </c>
    </row>
    <row r="8" spans="1:11" x14ac:dyDescent="0.4">
      <c r="A8">
        <v>152</v>
      </c>
      <c r="B8" t="s">
        <v>32</v>
      </c>
      <c r="C8">
        <v>472</v>
      </c>
      <c r="D8">
        <v>471</v>
      </c>
      <c r="E8" t="s">
        <v>778</v>
      </c>
      <c r="F8" t="s">
        <v>420</v>
      </c>
      <c r="G8">
        <v>100.6131725</v>
      </c>
      <c r="H8">
        <v>95.740064739999994</v>
      </c>
      <c r="I8">
        <v>96.627551249999996</v>
      </c>
      <c r="J8">
        <v>94.753968610000001</v>
      </c>
      <c r="K8">
        <v>102.24829920000001</v>
      </c>
    </row>
    <row r="9" spans="1:11" x14ac:dyDescent="0.4">
      <c r="A9">
        <v>153</v>
      </c>
      <c r="B9" t="s">
        <v>32</v>
      </c>
      <c r="C9">
        <v>472</v>
      </c>
      <c r="D9">
        <v>469</v>
      </c>
      <c r="E9" t="s">
        <v>778</v>
      </c>
      <c r="F9" t="s">
        <v>421</v>
      </c>
      <c r="G9">
        <v>94.481447500000002</v>
      </c>
      <c r="H9">
        <v>96.213390880000006</v>
      </c>
      <c r="I9">
        <v>106.74489749999999</v>
      </c>
      <c r="J9">
        <v>98.501133890000006</v>
      </c>
      <c r="K9">
        <v>98.313775629999995</v>
      </c>
    </row>
    <row r="10" spans="1:11" x14ac:dyDescent="0.4">
      <c r="A10">
        <v>155</v>
      </c>
      <c r="B10" t="s">
        <v>32</v>
      </c>
      <c r="C10">
        <v>473</v>
      </c>
      <c r="D10">
        <v>468</v>
      </c>
      <c r="E10" t="s">
        <v>778</v>
      </c>
      <c r="F10" t="s">
        <v>422</v>
      </c>
      <c r="G10">
        <v>98.160482500000001</v>
      </c>
      <c r="H10">
        <v>98.106695439999996</v>
      </c>
      <c r="I10">
        <v>96.627551249999996</v>
      </c>
      <c r="J10">
        <v>94.753968610000001</v>
      </c>
      <c r="K10">
        <v>100.5620748</v>
      </c>
    </row>
    <row r="11" spans="1:11" x14ac:dyDescent="0.4">
      <c r="A11">
        <v>157</v>
      </c>
      <c r="B11" t="s">
        <v>32</v>
      </c>
      <c r="C11">
        <v>468</v>
      </c>
      <c r="D11">
        <v>468</v>
      </c>
      <c r="E11" t="s">
        <v>778</v>
      </c>
      <c r="F11" t="s">
        <v>423</v>
      </c>
      <c r="G11">
        <v>97.547309999999996</v>
      </c>
      <c r="H11">
        <v>96.213390880000006</v>
      </c>
      <c r="I11">
        <v>96.627551249999996</v>
      </c>
      <c r="J11">
        <v>97.002267779999997</v>
      </c>
      <c r="K11">
        <v>98.875850420000006</v>
      </c>
    </row>
    <row r="12" spans="1:11" x14ac:dyDescent="0.4">
      <c r="A12">
        <v>136</v>
      </c>
      <c r="B12" t="s">
        <v>329</v>
      </c>
      <c r="C12">
        <v>491</v>
      </c>
      <c r="D12">
        <v>486</v>
      </c>
      <c r="E12" t="s">
        <v>947</v>
      </c>
      <c r="F12" t="s">
        <v>413</v>
      </c>
      <c r="G12">
        <v>106.131725</v>
      </c>
      <c r="H12">
        <v>102.8399568</v>
      </c>
      <c r="I12">
        <v>100</v>
      </c>
      <c r="J12">
        <v>98.501133890000006</v>
      </c>
      <c r="K12">
        <v>107.8690471</v>
      </c>
    </row>
    <row r="13" spans="1:11" x14ac:dyDescent="0.4">
      <c r="A13">
        <v>130</v>
      </c>
      <c r="B13" t="s">
        <v>565</v>
      </c>
      <c r="C13">
        <v>481</v>
      </c>
      <c r="D13">
        <v>491</v>
      </c>
      <c r="E13" t="s">
        <v>948</v>
      </c>
      <c r="F13" t="s">
        <v>568</v>
      </c>
      <c r="G13">
        <v>103.679035</v>
      </c>
      <c r="H13">
        <v>96.686717020000003</v>
      </c>
      <c r="I13">
        <v>98.875850420000006</v>
      </c>
      <c r="J13">
        <v>97.751700830000004</v>
      </c>
      <c r="K13">
        <v>111.2414958</v>
      </c>
    </row>
    <row r="14" spans="1:11" x14ac:dyDescent="0.4">
      <c r="A14">
        <v>128</v>
      </c>
      <c r="B14" t="s">
        <v>61</v>
      </c>
      <c r="C14">
        <v>478</v>
      </c>
      <c r="D14">
        <v>484</v>
      </c>
      <c r="E14" t="s">
        <v>779</v>
      </c>
      <c r="F14" t="s">
        <v>408</v>
      </c>
      <c r="G14">
        <v>102.45269</v>
      </c>
      <c r="H14">
        <v>96.686717020000003</v>
      </c>
      <c r="I14">
        <v>97.751700830000004</v>
      </c>
      <c r="J14">
        <v>96.252834719999996</v>
      </c>
      <c r="K14">
        <v>108.43112189999999</v>
      </c>
    </row>
    <row r="15" spans="1:11" x14ac:dyDescent="0.4">
      <c r="A15">
        <v>134</v>
      </c>
      <c r="B15" t="s">
        <v>61</v>
      </c>
      <c r="C15">
        <v>492</v>
      </c>
      <c r="D15">
        <v>484</v>
      </c>
      <c r="E15" t="s">
        <v>779</v>
      </c>
      <c r="F15" t="s">
        <v>411</v>
      </c>
      <c r="G15">
        <v>104.2922075</v>
      </c>
      <c r="H15">
        <v>104.7332614</v>
      </c>
      <c r="I15">
        <v>100</v>
      </c>
      <c r="J15">
        <v>100</v>
      </c>
      <c r="K15">
        <v>105.6207479</v>
      </c>
    </row>
    <row r="16" spans="1:11" x14ac:dyDescent="0.4">
      <c r="A16">
        <v>142</v>
      </c>
      <c r="B16" t="s">
        <v>61</v>
      </c>
      <c r="C16">
        <v>491</v>
      </c>
      <c r="D16">
        <v>479</v>
      </c>
      <c r="E16" t="s">
        <v>779</v>
      </c>
      <c r="F16" t="s">
        <v>415</v>
      </c>
      <c r="G16">
        <v>97.547309999999996</v>
      </c>
      <c r="H16">
        <v>100.47332609999999</v>
      </c>
      <c r="I16">
        <v>112.36564540000001</v>
      </c>
      <c r="J16">
        <v>97.751700830000004</v>
      </c>
      <c r="K16">
        <v>104.4965983</v>
      </c>
    </row>
    <row r="17" spans="1:11" x14ac:dyDescent="0.4">
      <c r="A17">
        <v>144</v>
      </c>
      <c r="B17" t="s">
        <v>635</v>
      </c>
      <c r="C17">
        <v>494</v>
      </c>
      <c r="D17">
        <v>485</v>
      </c>
      <c r="E17" t="s">
        <v>922</v>
      </c>
      <c r="F17" t="s">
        <v>642</v>
      </c>
      <c r="G17">
        <v>98.160482500000001</v>
      </c>
      <c r="H17">
        <v>100.47332609999999</v>
      </c>
      <c r="I17">
        <v>114.6139446</v>
      </c>
      <c r="J17">
        <v>98.501133890000006</v>
      </c>
      <c r="K17">
        <v>107.3069723</v>
      </c>
    </row>
    <row r="18" spans="1:11" x14ac:dyDescent="0.4">
      <c r="A18">
        <v>131</v>
      </c>
      <c r="B18" t="s">
        <v>669</v>
      </c>
      <c r="C18">
        <v>482</v>
      </c>
      <c r="D18">
        <v>491</v>
      </c>
      <c r="E18" t="s">
        <v>951</v>
      </c>
      <c r="F18" t="s">
        <v>676</v>
      </c>
      <c r="G18">
        <v>104.2922075</v>
      </c>
      <c r="H18">
        <v>96.686717020000003</v>
      </c>
      <c r="I18">
        <v>98.875850420000006</v>
      </c>
      <c r="J18">
        <v>100</v>
      </c>
      <c r="K18">
        <v>109.5552715</v>
      </c>
    </row>
    <row r="19" spans="1:11" x14ac:dyDescent="0.4">
      <c r="A19">
        <v>137</v>
      </c>
      <c r="B19" t="s">
        <v>669</v>
      </c>
      <c r="C19">
        <v>495</v>
      </c>
      <c r="D19">
        <v>483</v>
      </c>
      <c r="E19" t="s">
        <v>951</v>
      </c>
      <c r="F19" t="s">
        <v>670</v>
      </c>
      <c r="G19">
        <v>103.679035</v>
      </c>
      <c r="H19">
        <v>107.09989210000001</v>
      </c>
      <c r="I19">
        <v>98.875850420000006</v>
      </c>
      <c r="J19">
        <v>102.24829920000001</v>
      </c>
      <c r="K19">
        <v>103.3724488</v>
      </c>
    </row>
    <row r="20" spans="1:11" x14ac:dyDescent="0.4">
      <c r="A20">
        <v>156</v>
      </c>
      <c r="B20" t="s">
        <v>669</v>
      </c>
      <c r="C20">
        <v>479</v>
      </c>
      <c r="D20">
        <v>476</v>
      </c>
      <c r="E20" t="s">
        <v>951</v>
      </c>
      <c r="F20" t="s">
        <v>672</v>
      </c>
      <c r="G20">
        <v>100</v>
      </c>
      <c r="H20">
        <v>99.053347720000005</v>
      </c>
      <c r="I20">
        <v>97.751700830000004</v>
      </c>
      <c r="J20">
        <v>96.252834719999996</v>
      </c>
      <c r="K20">
        <v>103.9345235</v>
      </c>
    </row>
    <row r="21" spans="1:11" x14ac:dyDescent="0.4">
      <c r="A21">
        <v>129</v>
      </c>
      <c r="B21" t="s">
        <v>86</v>
      </c>
      <c r="C21">
        <v>480</v>
      </c>
      <c r="D21">
        <v>482</v>
      </c>
      <c r="E21" t="s">
        <v>927</v>
      </c>
      <c r="F21" t="s">
        <v>409</v>
      </c>
      <c r="G21">
        <v>103.679035</v>
      </c>
      <c r="H21">
        <v>96.686717020000003</v>
      </c>
      <c r="I21">
        <v>97.751700830000004</v>
      </c>
      <c r="J21">
        <v>96.252834719999996</v>
      </c>
      <c r="K21">
        <v>107.3069723</v>
      </c>
    </row>
    <row r="22" spans="1:11" x14ac:dyDescent="0.4">
      <c r="A22">
        <v>135</v>
      </c>
      <c r="B22" t="s">
        <v>86</v>
      </c>
      <c r="C22">
        <v>484</v>
      </c>
      <c r="D22">
        <v>492</v>
      </c>
      <c r="E22" t="s">
        <v>927</v>
      </c>
      <c r="F22" t="s">
        <v>412</v>
      </c>
      <c r="G22">
        <v>102.45269</v>
      </c>
      <c r="H22">
        <v>102.3666307</v>
      </c>
      <c r="I22">
        <v>100</v>
      </c>
      <c r="J22">
        <v>103.74716530000001</v>
      </c>
      <c r="K22">
        <v>107.3069723</v>
      </c>
    </row>
    <row r="23" spans="1:11" x14ac:dyDescent="0.4">
      <c r="A23">
        <v>138</v>
      </c>
      <c r="B23" t="s">
        <v>731</v>
      </c>
      <c r="C23">
        <v>495</v>
      </c>
      <c r="D23">
        <v>491</v>
      </c>
      <c r="E23" t="s">
        <v>929</v>
      </c>
      <c r="F23" t="s">
        <v>736</v>
      </c>
      <c r="G23">
        <v>105.5185525</v>
      </c>
      <c r="H23">
        <v>104.7332614</v>
      </c>
      <c r="I23">
        <v>101.1241496</v>
      </c>
      <c r="J23">
        <v>101.4988661</v>
      </c>
      <c r="K23">
        <v>108.43112189999999</v>
      </c>
    </row>
    <row r="24" spans="1:11" x14ac:dyDescent="0.4">
      <c r="A24">
        <v>151</v>
      </c>
      <c r="B24" t="s">
        <v>763</v>
      </c>
      <c r="C24">
        <v>462</v>
      </c>
      <c r="D24">
        <v>481</v>
      </c>
      <c r="E24" t="s">
        <v>952</v>
      </c>
      <c r="F24" t="s">
        <v>766</v>
      </c>
      <c r="G24">
        <v>96.320965000000001</v>
      </c>
      <c r="H24">
        <v>96.686717020000003</v>
      </c>
      <c r="I24">
        <v>100</v>
      </c>
      <c r="J24">
        <v>109.74262969999999</v>
      </c>
      <c r="K24">
        <v>96.627551249999996</v>
      </c>
    </row>
    <row r="25" spans="1:11" x14ac:dyDescent="0.4">
      <c r="A25">
        <v>139</v>
      </c>
      <c r="B25" t="s">
        <v>769</v>
      </c>
      <c r="C25">
        <v>497</v>
      </c>
      <c r="D25">
        <v>490</v>
      </c>
      <c r="E25" t="s">
        <v>933</v>
      </c>
      <c r="F25" t="s">
        <v>770</v>
      </c>
      <c r="G25">
        <v>106.74489749999999</v>
      </c>
      <c r="H25">
        <v>104.7332614</v>
      </c>
      <c r="I25">
        <v>101.1241496</v>
      </c>
      <c r="J25">
        <v>101.4988661</v>
      </c>
      <c r="K25">
        <v>107.8690471</v>
      </c>
    </row>
    <row r="26" spans="1:11" x14ac:dyDescent="0.4">
      <c r="A26">
        <v>149</v>
      </c>
      <c r="B26" t="s">
        <v>785</v>
      </c>
      <c r="C26">
        <v>481</v>
      </c>
      <c r="D26">
        <v>479</v>
      </c>
      <c r="E26" t="s">
        <v>950</v>
      </c>
      <c r="F26" t="s">
        <v>790</v>
      </c>
      <c r="G26">
        <v>100.6131725</v>
      </c>
      <c r="H26">
        <v>99.053347720000005</v>
      </c>
      <c r="I26">
        <v>98.875850420000006</v>
      </c>
      <c r="J26">
        <v>100</v>
      </c>
      <c r="K26">
        <v>102.810374</v>
      </c>
    </row>
    <row r="27" spans="1:11" x14ac:dyDescent="0.4">
      <c r="A27">
        <v>145</v>
      </c>
      <c r="B27" t="s">
        <v>801</v>
      </c>
      <c r="C27">
        <v>499</v>
      </c>
      <c r="D27">
        <v>482</v>
      </c>
      <c r="E27" t="s">
        <v>936</v>
      </c>
      <c r="F27" t="s">
        <v>809</v>
      </c>
      <c r="G27">
        <v>98.160482500000001</v>
      </c>
      <c r="H27">
        <v>101.89330459999999</v>
      </c>
      <c r="I27">
        <v>116.8622438</v>
      </c>
      <c r="J27">
        <v>100</v>
      </c>
      <c r="K27">
        <v>104.4965983</v>
      </c>
    </row>
    <row r="28" spans="1:11" x14ac:dyDescent="0.4">
      <c r="A28">
        <v>132</v>
      </c>
      <c r="B28" t="s">
        <v>854</v>
      </c>
      <c r="C28">
        <v>485</v>
      </c>
      <c r="D28">
        <v>497</v>
      </c>
      <c r="E28" t="s">
        <v>939</v>
      </c>
      <c r="F28" t="s">
        <v>858</v>
      </c>
      <c r="G28">
        <v>104.2922075</v>
      </c>
      <c r="H28">
        <v>97.633369299999998</v>
      </c>
      <c r="I28">
        <v>100</v>
      </c>
      <c r="J28">
        <v>99.250566939999999</v>
      </c>
      <c r="K28">
        <v>113.489795</v>
      </c>
    </row>
    <row r="29" spans="1:11" x14ac:dyDescent="0.4">
      <c r="A29">
        <v>140</v>
      </c>
      <c r="B29" t="s">
        <v>854</v>
      </c>
      <c r="C29">
        <v>499</v>
      </c>
      <c r="D29">
        <v>489</v>
      </c>
      <c r="E29" t="s">
        <v>939</v>
      </c>
      <c r="F29" t="s">
        <v>860</v>
      </c>
      <c r="G29">
        <v>104.90537999999999</v>
      </c>
      <c r="H29">
        <v>107.5732182</v>
      </c>
      <c r="I29">
        <v>100</v>
      </c>
      <c r="J29">
        <v>102.9977322</v>
      </c>
      <c r="K29">
        <v>106.1828227</v>
      </c>
    </row>
    <row r="30" spans="1:11" x14ac:dyDescent="0.4">
      <c r="A30">
        <v>154</v>
      </c>
      <c r="B30" t="s">
        <v>865</v>
      </c>
      <c r="C30">
        <v>482</v>
      </c>
      <c r="D30">
        <v>473</v>
      </c>
      <c r="E30" t="s">
        <v>940</v>
      </c>
      <c r="F30" t="s">
        <v>872</v>
      </c>
      <c r="G30">
        <v>95.094620000000006</v>
      </c>
      <c r="H30">
        <v>99.053347720000005</v>
      </c>
      <c r="I30">
        <v>110.11734629999999</v>
      </c>
      <c r="J30">
        <v>100</v>
      </c>
      <c r="K30">
        <v>99.437925210000003</v>
      </c>
    </row>
    <row r="31" spans="1:11" x14ac:dyDescent="0.4">
      <c r="A31">
        <v>146</v>
      </c>
      <c r="B31" t="s">
        <v>903</v>
      </c>
      <c r="C31">
        <v>498</v>
      </c>
      <c r="D31">
        <v>491</v>
      </c>
      <c r="E31" t="s">
        <v>942</v>
      </c>
      <c r="F31" t="s">
        <v>953</v>
      </c>
      <c r="G31">
        <v>98.773655000000005</v>
      </c>
      <c r="H31">
        <v>101.41997840000001</v>
      </c>
      <c r="I31">
        <v>115.73809420000001</v>
      </c>
      <c r="J31">
        <v>100</v>
      </c>
      <c r="K31">
        <v>109.5552715</v>
      </c>
    </row>
    <row r="32" spans="1:11" x14ac:dyDescent="0.4">
      <c r="A32">
        <v>158</v>
      </c>
      <c r="B32" t="s">
        <v>977</v>
      </c>
      <c r="C32">
        <v>476</v>
      </c>
      <c r="D32">
        <v>474</v>
      </c>
      <c r="E32" t="s">
        <v>978</v>
      </c>
      <c r="F32" t="s">
        <v>983</v>
      </c>
      <c r="G32">
        <v>99.386827499999995</v>
      </c>
      <c r="H32">
        <v>98.106695439999996</v>
      </c>
      <c r="I32">
        <v>97.751700830000004</v>
      </c>
      <c r="J32">
        <v>98.501133890000006</v>
      </c>
      <c r="K32">
        <v>101.1241496</v>
      </c>
    </row>
    <row r="33" spans="1:11" x14ac:dyDescent="0.4">
      <c r="A33">
        <v>143</v>
      </c>
      <c r="B33" t="s">
        <v>73</v>
      </c>
      <c r="C33">
        <v>497</v>
      </c>
      <c r="D33">
        <v>473</v>
      </c>
      <c r="E33" t="s">
        <v>945</v>
      </c>
      <c r="F33" t="s">
        <v>416</v>
      </c>
      <c r="G33">
        <v>98.773655000000005</v>
      </c>
      <c r="H33">
        <v>102.3666307</v>
      </c>
      <c r="I33">
        <v>112.36564540000001</v>
      </c>
      <c r="J33">
        <v>95.503401670000002</v>
      </c>
      <c r="K33">
        <v>102.810374</v>
      </c>
    </row>
  </sheetData>
  <phoneticPr fontId="1"/>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32BFB-3F3C-404E-863C-9B760BF168FE}">
  <dimension ref="A1:K46"/>
  <sheetViews>
    <sheetView topLeftCell="A10" workbookViewId="0">
      <selection sqref="A1:AE35"/>
    </sheetView>
  </sheetViews>
  <sheetFormatPr defaultRowHeight="16.5" x14ac:dyDescent="0.4"/>
  <cols>
    <col min="1" max="1" width="6.75" bestFit="1" customWidth="1"/>
    <col min="2" max="3" width="11.375" bestFit="1" customWidth="1"/>
    <col min="4" max="5" width="8.625" bestFit="1" customWidth="1"/>
    <col min="6" max="6" width="21.87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20.2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s="10">
        <v>159</v>
      </c>
      <c r="B2" s="10" t="s">
        <v>32</v>
      </c>
      <c r="C2" s="10" t="s">
        <v>778</v>
      </c>
      <c r="D2">
        <v>510</v>
      </c>
      <c r="E2">
        <v>459</v>
      </c>
      <c r="F2" s="10" t="s">
        <v>424</v>
      </c>
      <c r="G2" s="10">
        <v>104.2922075</v>
      </c>
      <c r="H2" s="10">
        <v>106.626566</v>
      </c>
      <c r="I2" s="10">
        <v>115.73809420000001</v>
      </c>
      <c r="J2" s="10">
        <v>94.753968610000001</v>
      </c>
      <c r="K2" s="10">
        <v>95.503401670000002</v>
      </c>
    </row>
    <row r="3" spans="1:11" x14ac:dyDescent="0.4">
      <c r="A3" s="10">
        <v>169</v>
      </c>
      <c r="B3" s="10" t="s">
        <v>32</v>
      </c>
      <c r="C3" s="10" t="s">
        <v>778</v>
      </c>
      <c r="D3">
        <v>482</v>
      </c>
      <c r="E3">
        <v>464</v>
      </c>
      <c r="F3" s="10" t="s">
        <v>429</v>
      </c>
      <c r="G3" s="10">
        <v>103.06586249999999</v>
      </c>
      <c r="H3" s="10">
        <v>101.41997840000001</v>
      </c>
      <c r="I3" s="10">
        <v>98.875850420000006</v>
      </c>
      <c r="J3" s="10">
        <v>95.503401670000002</v>
      </c>
      <c r="K3" s="10">
        <v>97.751700830000004</v>
      </c>
    </row>
    <row r="4" spans="1:11" x14ac:dyDescent="0.4">
      <c r="A4" s="10">
        <v>178</v>
      </c>
      <c r="B4" s="10" t="s">
        <v>32</v>
      </c>
      <c r="C4" s="10" t="s">
        <v>778</v>
      </c>
      <c r="D4">
        <v>459</v>
      </c>
      <c r="E4">
        <v>465</v>
      </c>
      <c r="F4" s="10" t="s">
        <v>433</v>
      </c>
      <c r="G4" s="10">
        <v>96.320965000000001</v>
      </c>
      <c r="H4" s="10">
        <v>92.900107890000001</v>
      </c>
      <c r="I4" s="10">
        <v>96.627551249999996</v>
      </c>
      <c r="J4" s="10">
        <v>94.753968610000001</v>
      </c>
      <c r="K4" s="10">
        <v>98.875850420000006</v>
      </c>
    </row>
    <row r="5" spans="1:11" x14ac:dyDescent="0.4">
      <c r="A5" s="10">
        <v>182</v>
      </c>
      <c r="B5" s="10" t="s">
        <v>32</v>
      </c>
      <c r="C5" s="10" t="s">
        <v>778</v>
      </c>
      <c r="D5">
        <v>484</v>
      </c>
      <c r="E5">
        <v>461</v>
      </c>
      <c r="F5" s="10" t="s">
        <v>435</v>
      </c>
      <c r="G5" s="10">
        <v>102.45269</v>
      </c>
      <c r="H5" s="10">
        <v>100</v>
      </c>
      <c r="I5" s="10">
        <v>96.627551249999996</v>
      </c>
      <c r="J5" s="10">
        <v>95.503401670000002</v>
      </c>
      <c r="K5" s="10">
        <v>96.065476459999999</v>
      </c>
    </row>
    <row r="6" spans="1:11" x14ac:dyDescent="0.4">
      <c r="A6" s="10">
        <v>185</v>
      </c>
      <c r="B6" s="10" t="s">
        <v>32</v>
      </c>
      <c r="C6" s="10" t="s">
        <v>778</v>
      </c>
      <c r="D6">
        <v>467</v>
      </c>
      <c r="E6">
        <v>462</v>
      </c>
      <c r="F6" s="10" t="s">
        <v>436</v>
      </c>
      <c r="G6" s="10">
        <v>96.934137500000006</v>
      </c>
      <c r="H6" s="10">
        <v>95.266738599999996</v>
      </c>
      <c r="I6" s="10">
        <v>98.875850420000006</v>
      </c>
      <c r="J6" s="10">
        <v>96.252834719999996</v>
      </c>
      <c r="K6" s="10">
        <v>96.065476459999999</v>
      </c>
    </row>
    <row r="7" spans="1:11" x14ac:dyDescent="0.4">
      <c r="A7" s="10">
        <v>192</v>
      </c>
      <c r="B7" s="10" t="s">
        <v>32</v>
      </c>
      <c r="C7" s="10" t="s">
        <v>778</v>
      </c>
      <c r="D7">
        <v>463</v>
      </c>
      <c r="E7">
        <v>475</v>
      </c>
      <c r="F7" s="10" t="s">
        <v>439</v>
      </c>
      <c r="G7" s="10">
        <v>95.707792499999996</v>
      </c>
      <c r="H7" s="10">
        <v>95.740064739999994</v>
      </c>
      <c r="I7" s="10">
        <v>104.4965983</v>
      </c>
      <c r="J7" s="10">
        <v>106.74489749999999</v>
      </c>
      <c r="K7" s="10">
        <v>95.503401670000002</v>
      </c>
    </row>
    <row r="8" spans="1:11" x14ac:dyDescent="0.4">
      <c r="A8" s="10">
        <v>193</v>
      </c>
      <c r="B8" s="10" t="s">
        <v>32</v>
      </c>
      <c r="C8" s="10" t="s">
        <v>778</v>
      </c>
      <c r="D8">
        <v>458</v>
      </c>
      <c r="E8">
        <v>465</v>
      </c>
      <c r="F8" s="10" t="s">
        <v>440</v>
      </c>
      <c r="G8" s="10">
        <v>95.094620000000006</v>
      </c>
      <c r="H8" s="10">
        <v>93.373434040000006</v>
      </c>
      <c r="I8" s="10">
        <v>96.627551249999996</v>
      </c>
      <c r="J8" s="10">
        <v>94.753968610000001</v>
      </c>
      <c r="K8" s="10">
        <v>98.875850420000006</v>
      </c>
    </row>
    <row r="9" spans="1:11" x14ac:dyDescent="0.4">
      <c r="A9" s="10">
        <v>197</v>
      </c>
      <c r="B9" s="10" t="s">
        <v>32</v>
      </c>
      <c r="C9" s="10" t="s">
        <v>778</v>
      </c>
      <c r="D9">
        <v>469</v>
      </c>
      <c r="E9">
        <v>467</v>
      </c>
      <c r="F9" s="10" t="s">
        <v>442</v>
      </c>
      <c r="G9" s="10">
        <v>96.320965000000001</v>
      </c>
      <c r="H9" s="10">
        <v>95.740064739999994</v>
      </c>
      <c r="I9" s="10">
        <v>101.1241496</v>
      </c>
      <c r="J9" s="10">
        <v>97.751700830000004</v>
      </c>
      <c r="K9" s="10">
        <v>97.751700830000004</v>
      </c>
    </row>
    <row r="10" spans="1:11" x14ac:dyDescent="0.4">
      <c r="A10" s="10">
        <v>202</v>
      </c>
      <c r="B10" s="10" t="s">
        <v>32</v>
      </c>
      <c r="C10" s="10" t="s">
        <v>778</v>
      </c>
      <c r="D10">
        <v>484</v>
      </c>
      <c r="E10">
        <v>464</v>
      </c>
      <c r="F10" s="10" t="s">
        <v>445</v>
      </c>
      <c r="G10" s="10">
        <v>98.773655000000005</v>
      </c>
      <c r="H10" s="10">
        <v>101.41997840000001</v>
      </c>
      <c r="I10" s="10">
        <v>108.9931967</v>
      </c>
      <c r="J10" s="10">
        <v>97.751700830000004</v>
      </c>
      <c r="K10" s="10">
        <v>96.065476459999999</v>
      </c>
    </row>
    <row r="11" spans="1:11" x14ac:dyDescent="0.4">
      <c r="A11" s="10">
        <v>161</v>
      </c>
      <c r="B11" s="10" t="s">
        <v>69</v>
      </c>
      <c r="C11" s="10" t="s">
        <v>912</v>
      </c>
      <c r="D11">
        <v>519</v>
      </c>
      <c r="E11">
        <v>465</v>
      </c>
      <c r="F11" s="10" t="s">
        <v>426</v>
      </c>
      <c r="G11" s="10">
        <v>106.131725</v>
      </c>
      <c r="H11" s="10">
        <v>106.626566</v>
      </c>
      <c r="I11" s="10">
        <v>122.4829917</v>
      </c>
      <c r="J11" s="10">
        <v>93.255102500000007</v>
      </c>
      <c r="K11" s="10">
        <v>100</v>
      </c>
    </row>
    <row r="12" spans="1:11" x14ac:dyDescent="0.4">
      <c r="A12" s="10">
        <v>179</v>
      </c>
      <c r="B12" s="10" t="s">
        <v>76</v>
      </c>
      <c r="C12" s="10" t="s">
        <v>914</v>
      </c>
      <c r="D12">
        <v>465</v>
      </c>
      <c r="E12">
        <v>473</v>
      </c>
      <c r="F12" s="10" t="s">
        <v>434</v>
      </c>
      <c r="G12" s="10">
        <v>98.160482500000001</v>
      </c>
      <c r="H12" s="10">
        <v>93.846760180000004</v>
      </c>
      <c r="I12" s="10">
        <v>97.751700830000004</v>
      </c>
      <c r="J12" s="10">
        <v>96.252834719999996</v>
      </c>
      <c r="K12" s="10">
        <v>102.24829920000001</v>
      </c>
    </row>
    <row r="13" spans="1:11" x14ac:dyDescent="0.4">
      <c r="A13" s="10">
        <v>172</v>
      </c>
      <c r="B13" s="10" t="s">
        <v>142</v>
      </c>
      <c r="C13" s="10" t="s">
        <v>916</v>
      </c>
      <c r="D13">
        <v>485</v>
      </c>
      <c r="E13">
        <v>476</v>
      </c>
      <c r="F13" s="10" t="s">
        <v>432</v>
      </c>
      <c r="G13" s="10">
        <v>104.2922075</v>
      </c>
      <c r="H13" s="10">
        <v>101.89330459999999</v>
      </c>
      <c r="I13" s="10">
        <v>98.875850420000006</v>
      </c>
      <c r="J13" s="10">
        <v>99.250566939999999</v>
      </c>
      <c r="K13" s="10">
        <v>101.6862244</v>
      </c>
    </row>
    <row r="14" spans="1:11" x14ac:dyDescent="0.4">
      <c r="A14" s="10">
        <v>163</v>
      </c>
      <c r="B14" s="10" t="s">
        <v>329</v>
      </c>
      <c r="C14" s="10" t="s">
        <v>947</v>
      </c>
      <c r="D14">
        <v>528</v>
      </c>
      <c r="E14">
        <v>465</v>
      </c>
      <c r="F14" s="10" t="s">
        <v>428</v>
      </c>
      <c r="G14" s="10">
        <v>105.5185525</v>
      </c>
      <c r="H14" s="10">
        <v>111.83315349999999</v>
      </c>
      <c r="I14" s="10">
        <v>121.3588421</v>
      </c>
      <c r="J14" s="10">
        <v>97.751700830000004</v>
      </c>
      <c r="K14" s="10">
        <v>96.627551249999996</v>
      </c>
    </row>
    <row r="15" spans="1:11" x14ac:dyDescent="0.4">
      <c r="A15" s="10">
        <v>187</v>
      </c>
      <c r="B15" s="10" t="s">
        <v>329</v>
      </c>
      <c r="C15" s="10" t="s">
        <v>947</v>
      </c>
      <c r="D15">
        <v>470</v>
      </c>
      <c r="E15">
        <v>475</v>
      </c>
      <c r="F15" s="10" t="s">
        <v>438</v>
      </c>
      <c r="G15" s="10">
        <v>98.160482500000001</v>
      </c>
      <c r="H15" s="10">
        <v>95.740064739999994</v>
      </c>
      <c r="I15" s="10">
        <v>98.875850420000006</v>
      </c>
      <c r="J15" s="10">
        <v>100</v>
      </c>
      <c r="K15" s="10">
        <v>100.5620748</v>
      </c>
    </row>
    <row r="16" spans="1:11" x14ac:dyDescent="0.4">
      <c r="A16" s="10">
        <v>199</v>
      </c>
      <c r="B16" s="10" t="s">
        <v>340</v>
      </c>
      <c r="C16" s="10" t="s">
        <v>918</v>
      </c>
      <c r="D16">
        <v>478</v>
      </c>
      <c r="E16">
        <v>473</v>
      </c>
      <c r="F16" s="10" t="s">
        <v>444</v>
      </c>
      <c r="G16" s="10">
        <v>100</v>
      </c>
      <c r="H16" s="10">
        <v>95.740064739999994</v>
      </c>
      <c r="I16" s="10">
        <v>104.4965983</v>
      </c>
      <c r="J16" s="10">
        <v>97.751700830000004</v>
      </c>
      <c r="K16" s="10">
        <v>101.1241496</v>
      </c>
    </row>
    <row r="17" spans="1:11" x14ac:dyDescent="0.4">
      <c r="A17" s="10">
        <v>183</v>
      </c>
      <c r="B17" s="10" t="s">
        <v>557</v>
      </c>
      <c r="C17" s="10" t="s">
        <v>919</v>
      </c>
      <c r="D17">
        <v>492</v>
      </c>
      <c r="E17">
        <v>467</v>
      </c>
      <c r="F17" s="10" t="s">
        <v>559</v>
      </c>
      <c r="G17" s="10">
        <v>104.2922075</v>
      </c>
      <c r="H17" s="10">
        <v>101.89330459999999</v>
      </c>
      <c r="I17" s="10">
        <v>97.751700830000004</v>
      </c>
      <c r="J17" s="10">
        <v>97.002267779999997</v>
      </c>
      <c r="K17" s="10">
        <v>98.313775629999995</v>
      </c>
    </row>
    <row r="18" spans="1:11" x14ac:dyDescent="0.4">
      <c r="A18" s="10">
        <v>203</v>
      </c>
      <c r="B18" s="10" t="s">
        <v>565</v>
      </c>
      <c r="C18" s="10" t="s">
        <v>948</v>
      </c>
      <c r="D18">
        <v>494</v>
      </c>
      <c r="E18">
        <v>468</v>
      </c>
      <c r="F18" s="10" t="s">
        <v>566</v>
      </c>
      <c r="G18" s="10">
        <v>99.386827499999995</v>
      </c>
      <c r="H18" s="10">
        <v>104.2599353</v>
      </c>
      <c r="I18" s="10">
        <v>112.36564540000001</v>
      </c>
      <c r="J18" s="10">
        <v>99.250566939999999</v>
      </c>
      <c r="K18" s="10">
        <v>97.189626039999993</v>
      </c>
    </row>
    <row r="19" spans="1:11" x14ac:dyDescent="0.4">
      <c r="A19" s="10">
        <v>162</v>
      </c>
      <c r="B19" s="10" t="s">
        <v>61</v>
      </c>
      <c r="C19" s="10" t="s">
        <v>779</v>
      </c>
      <c r="D19">
        <v>516</v>
      </c>
      <c r="E19">
        <v>467</v>
      </c>
      <c r="F19" s="10" t="s">
        <v>427</v>
      </c>
      <c r="G19" s="10">
        <v>106.74489749999999</v>
      </c>
      <c r="H19" s="10">
        <v>106.626566</v>
      </c>
      <c r="I19" s="10">
        <v>117.9863933</v>
      </c>
      <c r="J19" s="10">
        <v>96.252834719999996</v>
      </c>
      <c r="K19" s="10">
        <v>98.875850420000006</v>
      </c>
    </row>
    <row r="20" spans="1:11" x14ac:dyDescent="0.4">
      <c r="A20" s="10">
        <v>171</v>
      </c>
      <c r="B20" s="10" t="s">
        <v>61</v>
      </c>
      <c r="C20" s="10" t="s">
        <v>779</v>
      </c>
      <c r="D20">
        <v>492</v>
      </c>
      <c r="E20">
        <v>468</v>
      </c>
      <c r="F20" s="10" t="s">
        <v>431</v>
      </c>
      <c r="G20" s="10">
        <v>104.2922075</v>
      </c>
      <c r="H20" s="10">
        <v>105.2065875</v>
      </c>
      <c r="I20" s="10">
        <v>98.875850420000006</v>
      </c>
      <c r="J20" s="10">
        <v>98.501133890000006</v>
      </c>
      <c r="K20" s="10">
        <v>97.751700830000004</v>
      </c>
    </row>
    <row r="21" spans="1:11" x14ac:dyDescent="0.4">
      <c r="A21" s="10">
        <v>164</v>
      </c>
      <c r="B21" s="10" t="s">
        <v>579</v>
      </c>
      <c r="C21" s="10" t="s">
        <v>954</v>
      </c>
      <c r="D21">
        <v>524</v>
      </c>
      <c r="E21">
        <v>470</v>
      </c>
      <c r="F21" s="10" t="s">
        <v>584</v>
      </c>
      <c r="G21" s="10">
        <v>105.5185525</v>
      </c>
      <c r="H21" s="10">
        <v>109.46652280000001</v>
      </c>
      <c r="I21" s="10">
        <v>122.4829917</v>
      </c>
      <c r="J21" s="10">
        <v>98.501133890000006</v>
      </c>
      <c r="K21" s="10">
        <v>98.875850420000006</v>
      </c>
    </row>
    <row r="22" spans="1:11" x14ac:dyDescent="0.4">
      <c r="A22" s="10">
        <v>173</v>
      </c>
      <c r="B22" s="10" t="s">
        <v>579</v>
      </c>
      <c r="C22" s="10" t="s">
        <v>954</v>
      </c>
      <c r="D22">
        <v>486</v>
      </c>
      <c r="E22">
        <v>474</v>
      </c>
      <c r="F22" s="10" t="s">
        <v>580</v>
      </c>
      <c r="G22" s="10">
        <v>106.131725</v>
      </c>
      <c r="H22" s="10">
        <v>101.41997840000001</v>
      </c>
      <c r="I22" s="10">
        <v>97.751700830000004</v>
      </c>
      <c r="J22" s="10">
        <v>97.751700830000004</v>
      </c>
      <c r="K22" s="10">
        <v>101.6862244</v>
      </c>
    </row>
    <row r="23" spans="1:11" x14ac:dyDescent="0.4">
      <c r="A23" s="10">
        <v>195</v>
      </c>
      <c r="B23" s="10" t="s">
        <v>579</v>
      </c>
      <c r="C23" s="10" t="s">
        <v>954</v>
      </c>
      <c r="D23">
        <v>465</v>
      </c>
      <c r="E23">
        <v>474</v>
      </c>
      <c r="F23" s="10" t="s">
        <v>596</v>
      </c>
      <c r="G23" s="10">
        <v>96.320965000000001</v>
      </c>
      <c r="H23" s="10">
        <v>96.213390880000006</v>
      </c>
      <c r="I23" s="10">
        <v>95.503401670000002</v>
      </c>
      <c r="J23" s="10">
        <v>94.753968610000001</v>
      </c>
      <c r="K23" s="10">
        <v>103.9345235</v>
      </c>
    </row>
    <row r="24" spans="1:11" x14ac:dyDescent="0.4">
      <c r="A24" s="10">
        <v>180</v>
      </c>
      <c r="B24" s="10" t="s">
        <v>643</v>
      </c>
      <c r="C24" s="10" t="s">
        <v>955</v>
      </c>
      <c r="D24">
        <v>468</v>
      </c>
      <c r="E24">
        <v>472</v>
      </c>
      <c r="F24" s="10" t="s">
        <v>647</v>
      </c>
      <c r="G24" s="10">
        <v>97.547309999999996</v>
      </c>
      <c r="H24" s="10">
        <v>96.213390880000006</v>
      </c>
      <c r="I24" s="10">
        <v>96.627551249999996</v>
      </c>
      <c r="J24" s="10">
        <v>98.501133890000006</v>
      </c>
      <c r="K24" s="10">
        <v>100</v>
      </c>
    </row>
    <row r="25" spans="1:11" x14ac:dyDescent="0.4">
      <c r="A25" s="10">
        <v>188</v>
      </c>
      <c r="B25" s="10" t="s">
        <v>643</v>
      </c>
      <c r="C25" s="10" t="s">
        <v>955</v>
      </c>
      <c r="D25">
        <v>477</v>
      </c>
      <c r="E25">
        <v>468</v>
      </c>
      <c r="F25" s="10" t="s">
        <v>648</v>
      </c>
      <c r="G25" s="10">
        <v>101.22634499999999</v>
      </c>
      <c r="H25" s="10">
        <v>95.266738599999996</v>
      </c>
      <c r="I25" s="10">
        <v>102.24829920000001</v>
      </c>
      <c r="J25" s="10">
        <v>96.252834719999996</v>
      </c>
      <c r="K25" s="10">
        <v>99.437925210000003</v>
      </c>
    </row>
    <row r="26" spans="1:11" x14ac:dyDescent="0.4">
      <c r="A26" s="10">
        <v>160</v>
      </c>
      <c r="B26" s="10" t="s">
        <v>86</v>
      </c>
      <c r="C26" s="10" t="s">
        <v>927</v>
      </c>
      <c r="D26">
        <v>520</v>
      </c>
      <c r="E26">
        <v>463</v>
      </c>
      <c r="F26" s="10" t="s">
        <v>425</v>
      </c>
      <c r="G26" s="10">
        <v>104.90537999999999</v>
      </c>
      <c r="H26" s="10">
        <v>109.46652280000001</v>
      </c>
      <c r="I26" s="10">
        <v>119.1105429</v>
      </c>
      <c r="J26" s="10">
        <v>96.252834719999996</v>
      </c>
      <c r="K26" s="10">
        <v>96.627551249999996</v>
      </c>
    </row>
    <row r="27" spans="1:11" x14ac:dyDescent="0.4">
      <c r="A27" s="10">
        <v>170</v>
      </c>
      <c r="B27" s="10" t="s">
        <v>86</v>
      </c>
      <c r="C27" s="10" t="s">
        <v>927</v>
      </c>
      <c r="D27">
        <v>490</v>
      </c>
      <c r="E27">
        <v>470</v>
      </c>
      <c r="F27" s="10" t="s">
        <v>430</v>
      </c>
      <c r="G27" s="10">
        <v>104.90537999999999</v>
      </c>
      <c r="H27" s="10">
        <v>103.313283</v>
      </c>
      <c r="I27" s="10">
        <v>100</v>
      </c>
      <c r="J27" s="10">
        <v>97.002267779999997</v>
      </c>
      <c r="K27" s="10">
        <v>100</v>
      </c>
    </row>
    <row r="28" spans="1:11" x14ac:dyDescent="0.4">
      <c r="A28" s="10">
        <v>174</v>
      </c>
      <c r="B28" s="10" t="s">
        <v>724</v>
      </c>
      <c r="C28" s="10" t="s">
        <v>956</v>
      </c>
      <c r="D28">
        <v>494</v>
      </c>
      <c r="E28">
        <v>476</v>
      </c>
      <c r="F28" s="10" t="s">
        <v>729</v>
      </c>
      <c r="G28" s="10">
        <v>106.74489749999999</v>
      </c>
      <c r="H28" s="10">
        <v>103.313283</v>
      </c>
      <c r="I28" s="10">
        <v>101.1241496</v>
      </c>
      <c r="J28" s="10">
        <v>98.501133890000006</v>
      </c>
      <c r="K28" s="10">
        <v>102.24829920000001</v>
      </c>
    </row>
    <row r="29" spans="1:11" x14ac:dyDescent="0.4">
      <c r="A29" s="10">
        <v>165</v>
      </c>
      <c r="B29" s="10" t="s">
        <v>731</v>
      </c>
      <c r="C29" s="10" t="s">
        <v>929</v>
      </c>
      <c r="D29">
        <v>525</v>
      </c>
      <c r="E29">
        <v>470</v>
      </c>
      <c r="F29" s="10" t="s">
        <v>732</v>
      </c>
      <c r="G29" s="10">
        <v>106.74489749999999</v>
      </c>
      <c r="H29" s="10">
        <v>109.9398489</v>
      </c>
      <c r="I29" s="10">
        <v>120.23469249999999</v>
      </c>
      <c r="J29" s="10">
        <v>100</v>
      </c>
      <c r="K29" s="10">
        <v>97.751700830000004</v>
      </c>
    </row>
    <row r="30" spans="1:11" x14ac:dyDescent="0.4">
      <c r="A30" s="10">
        <v>200</v>
      </c>
      <c r="B30" s="10" t="s">
        <v>748</v>
      </c>
      <c r="C30" s="10" t="s">
        <v>931</v>
      </c>
      <c r="D30">
        <v>480</v>
      </c>
      <c r="E30">
        <v>472</v>
      </c>
      <c r="F30" s="10" t="s">
        <v>754</v>
      </c>
      <c r="G30" s="10">
        <v>97.547309999999996</v>
      </c>
      <c r="H30" s="10">
        <v>100</v>
      </c>
      <c r="I30" s="10">
        <v>101.1241496</v>
      </c>
      <c r="J30" s="10">
        <v>101.4988661</v>
      </c>
      <c r="K30" s="10">
        <v>97.751700830000004</v>
      </c>
    </row>
    <row r="31" spans="1:11" x14ac:dyDescent="0.4">
      <c r="A31" s="10">
        <v>181</v>
      </c>
      <c r="B31" s="10" t="s">
        <v>756</v>
      </c>
      <c r="C31" s="10" t="s">
        <v>932</v>
      </c>
      <c r="D31">
        <v>463</v>
      </c>
      <c r="E31">
        <v>478</v>
      </c>
      <c r="F31" s="10" t="s">
        <v>761</v>
      </c>
      <c r="G31" s="10">
        <v>99.386827499999995</v>
      </c>
      <c r="H31" s="10">
        <v>91.953455610000006</v>
      </c>
      <c r="I31" s="10">
        <v>97.751700830000004</v>
      </c>
      <c r="J31" s="10">
        <v>95.503401670000002</v>
      </c>
      <c r="K31" s="10">
        <v>105.6207479</v>
      </c>
    </row>
    <row r="32" spans="1:11" x14ac:dyDescent="0.4">
      <c r="A32" s="10">
        <v>189</v>
      </c>
      <c r="B32" s="10" t="s">
        <v>756</v>
      </c>
      <c r="C32" s="10" t="s">
        <v>932</v>
      </c>
      <c r="D32">
        <v>471</v>
      </c>
      <c r="E32">
        <v>485</v>
      </c>
      <c r="F32" s="10" t="s">
        <v>760</v>
      </c>
      <c r="G32" s="10">
        <v>98.160482500000001</v>
      </c>
      <c r="H32" s="10">
        <v>95.740064739999994</v>
      </c>
      <c r="I32" s="10">
        <v>100</v>
      </c>
      <c r="J32" s="10">
        <v>103.74716530000001</v>
      </c>
      <c r="K32" s="10">
        <v>103.3724488</v>
      </c>
    </row>
    <row r="33" spans="1:11" x14ac:dyDescent="0.4">
      <c r="A33" s="10">
        <v>184</v>
      </c>
      <c r="B33" s="10" t="s">
        <v>785</v>
      </c>
      <c r="C33" s="10" t="s">
        <v>950</v>
      </c>
      <c r="D33">
        <v>488</v>
      </c>
      <c r="E33">
        <v>473</v>
      </c>
      <c r="F33" s="10" t="s">
        <v>788</v>
      </c>
      <c r="G33" s="10">
        <v>106.131725</v>
      </c>
      <c r="H33" s="10">
        <v>99.526673900000006</v>
      </c>
      <c r="I33" s="10">
        <v>95.503401670000002</v>
      </c>
      <c r="J33" s="10">
        <v>98.501133890000006</v>
      </c>
      <c r="K33" s="10">
        <v>100.5620748</v>
      </c>
    </row>
    <row r="34" spans="1:11" x14ac:dyDescent="0.4">
      <c r="A34" s="10">
        <v>166</v>
      </c>
      <c r="B34" s="10" t="s">
        <v>793</v>
      </c>
      <c r="C34" s="10" t="s">
        <v>935</v>
      </c>
      <c r="D34">
        <v>534</v>
      </c>
      <c r="E34">
        <v>469</v>
      </c>
      <c r="F34" s="10" t="s">
        <v>797</v>
      </c>
      <c r="G34" s="10">
        <v>106.131725</v>
      </c>
      <c r="H34" s="10">
        <v>113.2531319</v>
      </c>
      <c r="I34" s="10">
        <v>123.60714129999999</v>
      </c>
      <c r="J34" s="10">
        <v>99.250566939999999</v>
      </c>
      <c r="K34" s="10">
        <v>97.751700830000004</v>
      </c>
    </row>
    <row r="35" spans="1:11" x14ac:dyDescent="0.4">
      <c r="A35" s="10">
        <v>175</v>
      </c>
      <c r="B35" s="10" t="s">
        <v>793</v>
      </c>
      <c r="C35" s="10" t="s">
        <v>935</v>
      </c>
      <c r="D35">
        <v>491</v>
      </c>
      <c r="E35">
        <v>480</v>
      </c>
      <c r="F35" s="10" t="s">
        <v>796</v>
      </c>
      <c r="G35" s="10">
        <v>105.5185525</v>
      </c>
      <c r="H35" s="10">
        <v>103.313283</v>
      </c>
      <c r="I35" s="10">
        <v>100</v>
      </c>
      <c r="J35" s="10">
        <v>100</v>
      </c>
      <c r="K35" s="10">
        <v>103.3724488</v>
      </c>
    </row>
    <row r="36" spans="1:11" x14ac:dyDescent="0.4">
      <c r="A36" s="10">
        <v>196</v>
      </c>
      <c r="B36" s="10" t="s">
        <v>801</v>
      </c>
      <c r="C36" s="10" t="s">
        <v>936</v>
      </c>
      <c r="D36">
        <v>468</v>
      </c>
      <c r="E36">
        <v>479</v>
      </c>
      <c r="F36" s="10" t="s">
        <v>803</v>
      </c>
      <c r="G36" s="10">
        <v>98.160482500000001</v>
      </c>
      <c r="H36" s="10">
        <v>94.320086320000001</v>
      </c>
      <c r="I36" s="10">
        <v>100</v>
      </c>
      <c r="J36" s="10">
        <v>97.002267779999997</v>
      </c>
      <c r="K36" s="10">
        <v>105.05867309999999</v>
      </c>
    </row>
    <row r="37" spans="1:11" x14ac:dyDescent="0.4">
      <c r="A37" s="10">
        <v>201</v>
      </c>
      <c r="B37" s="10" t="s">
        <v>801</v>
      </c>
      <c r="C37" s="10" t="s">
        <v>936</v>
      </c>
      <c r="D37">
        <v>482</v>
      </c>
      <c r="E37">
        <v>479</v>
      </c>
      <c r="F37" s="10" t="s">
        <v>808</v>
      </c>
      <c r="G37" s="10">
        <v>100.6131725</v>
      </c>
      <c r="H37" s="10">
        <v>97.633369299999998</v>
      </c>
      <c r="I37" s="10">
        <v>103.3724488</v>
      </c>
      <c r="J37" s="10">
        <v>100.7494331</v>
      </c>
      <c r="K37" s="10">
        <v>102.24829920000001</v>
      </c>
    </row>
    <row r="38" spans="1:11" x14ac:dyDescent="0.4">
      <c r="A38" s="10">
        <v>176</v>
      </c>
      <c r="B38" s="10" t="s">
        <v>854</v>
      </c>
      <c r="C38" s="10" t="s">
        <v>939</v>
      </c>
      <c r="D38">
        <v>499</v>
      </c>
      <c r="E38">
        <v>481</v>
      </c>
      <c r="F38" s="10" t="s">
        <v>859</v>
      </c>
      <c r="G38" s="10">
        <v>107.9712425</v>
      </c>
      <c r="H38" s="10">
        <v>104.2599353</v>
      </c>
      <c r="I38" s="10">
        <v>102.24829920000001</v>
      </c>
      <c r="J38" s="10">
        <v>100</v>
      </c>
      <c r="K38" s="10">
        <v>103.9345235</v>
      </c>
    </row>
    <row r="39" spans="1:11" x14ac:dyDescent="0.4">
      <c r="A39" s="10">
        <v>190</v>
      </c>
      <c r="B39" s="10" t="s">
        <v>865</v>
      </c>
      <c r="C39" s="10" t="s">
        <v>940</v>
      </c>
      <c r="D39">
        <v>481</v>
      </c>
      <c r="E39">
        <v>474</v>
      </c>
      <c r="F39" s="10" t="s">
        <v>868</v>
      </c>
      <c r="G39" s="10">
        <v>103.06586249999999</v>
      </c>
      <c r="H39" s="10">
        <v>95.266738599999996</v>
      </c>
      <c r="I39" s="10">
        <v>103.3724488</v>
      </c>
      <c r="J39" s="10">
        <v>97.751700830000004</v>
      </c>
      <c r="K39" s="10">
        <v>101.6862244</v>
      </c>
    </row>
    <row r="40" spans="1:11" x14ac:dyDescent="0.4">
      <c r="A40" s="10">
        <v>167</v>
      </c>
      <c r="B40" s="10" t="s">
        <v>875</v>
      </c>
      <c r="C40" s="10" t="s">
        <v>941</v>
      </c>
      <c r="D40">
        <v>534</v>
      </c>
      <c r="E40">
        <v>471</v>
      </c>
      <c r="F40" s="10" t="s">
        <v>890</v>
      </c>
      <c r="G40" s="10">
        <v>106.131725</v>
      </c>
      <c r="H40" s="10">
        <v>113.7264581</v>
      </c>
      <c r="I40" s="10">
        <v>122.4829917</v>
      </c>
      <c r="J40" s="10">
        <v>100.7494331</v>
      </c>
      <c r="K40" s="10">
        <v>97.751700830000004</v>
      </c>
    </row>
    <row r="41" spans="1:11" x14ac:dyDescent="0.4">
      <c r="A41" s="10">
        <v>168</v>
      </c>
      <c r="B41" s="10" t="s">
        <v>903</v>
      </c>
      <c r="C41" s="10" t="s">
        <v>942</v>
      </c>
      <c r="D41">
        <v>540</v>
      </c>
      <c r="E41">
        <v>473</v>
      </c>
      <c r="F41" s="10" t="s">
        <v>962</v>
      </c>
      <c r="G41" s="10">
        <v>106.74489749999999</v>
      </c>
      <c r="H41" s="10">
        <v>114.6731104</v>
      </c>
      <c r="I41" s="10">
        <v>125.85544040000001</v>
      </c>
      <c r="J41" s="10">
        <v>100.7494331</v>
      </c>
      <c r="K41" s="10">
        <v>98.875850420000006</v>
      </c>
    </row>
    <row r="42" spans="1:11" x14ac:dyDescent="0.4">
      <c r="A42" s="10">
        <v>177</v>
      </c>
      <c r="B42" s="10" t="s">
        <v>977</v>
      </c>
      <c r="C42" s="10" t="s">
        <v>978</v>
      </c>
      <c r="D42">
        <v>495</v>
      </c>
      <c r="E42">
        <v>488</v>
      </c>
      <c r="F42" s="10" t="s">
        <v>986</v>
      </c>
      <c r="G42" s="10">
        <v>106.131725</v>
      </c>
      <c r="H42" s="10">
        <v>104.2599353</v>
      </c>
      <c r="I42" s="10">
        <v>101.1241496</v>
      </c>
      <c r="J42" s="10">
        <v>102.9977322</v>
      </c>
      <c r="K42" s="10">
        <v>105.6207479</v>
      </c>
    </row>
    <row r="43" spans="1:11" x14ac:dyDescent="0.4">
      <c r="A43" s="10">
        <v>191</v>
      </c>
      <c r="B43" s="10" t="s">
        <v>977</v>
      </c>
      <c r="C43" s="10" t="s">
        <v>978</v>
      </c>
      <c r="D43">
        <v>477</v>
      </c>
      <c r="E43">
        <v>489</v>
      </c>
      <c r="F43" s="10" t="s">
        <v>984</v>
      </c>
      <c r="G43" s="10">
        <v>98.773655000000005</v>
      </c>
      <c r="H43" s="10">
        <v>97.633369299999998</v>
      </c>
      <c r="I43" s="10">
        <v>101.1241496</v>
      </c>
      <c r="J43" s="10">
        <v>105.24603140000001</v>
      </c>
      <c r="K43" s="10">
        <v>104.4965983</v>
      </c>
    </row>
    <row r="44" spans="1:11" x14ac:dyDescent="0.4">
      <c r="A44" s="10">
        <v>186</v>
      </c>
      <c r="B44" s="10" t="s">
        <v>73</v>
      </c>
      <c r="C44" s="10" t="s">
        <v>945</v>
      </c>
      <c r="D44">
        <v>475</v>
      </c>
      <c r="E44">
        <v>468</v>
      </c>
      <c r="F44" s="10" t="s">
        <v>437</v>
      </c>
      <c r="G44" s="10">
        <v>98.773655000000005</v>
      </c>
      <c r="H44" s="10">
        <v>97.160043160000001</v>
      </c>
      <c r="I44" s="10">
        <v>100</v>
      </c>
      <c r="J44" s="10">
        <v>97.751700830000004</v>
      </c>
      <c r="K44" s="10">
        <v>98.313775629999995</v>
      </c>
    </row>
    <row r="45" spans="1:11" x14ac:dyDescent="0.4">
      <c r="A45" s="10">
        <v>194</v>
      </c>
      <c r="B45" s="10" t="s">
        <v>153</v>
      </c>
      <c r="C45" s="10" t="s">
        <v>957</v>
      </c>
      <c r="D45">
        <v>464</v>
      </c>
      <c r="E45">
        <v>473</v>
      </c>
      <c r="F45" s="10" t="s">
        <v>441</v>
      </c>
      <c r="G45" s="10">
        <v>96.934137500000006</v>
      </c>
      <c r="H45" s="10">
        <v>94.320086320000001</v>
      </c>
      <c r="I45" s="10">
        <v>97.751700830000004</v>
      </c>
      <c r="J45" s="10">
        <v>96.252834719999996</v>
      </c>
      <c r="K45" s="10">
        <v>102.24829920000001</v>
      </c>
    </row>
    <row r="46" spans="1:11" x14ac:dyDescent="0.4">
      <c r="A46" s="10">
        <v>198</v>
      </c>
      <c r="B46" s="10" t="s">
        <v>153</v>
      </c>
      <c r="C46" s="10" t="s">
        <v>957</v>
      </c>
      <c r="D46">
        <v>477</v>
      </c>
      <c r="E46">
        <v>473</v>
      </c>
      <c r="F46" s="10" t="s">
        <v>443</v>
      </c>
      <c r="G46" s="10">
        <v>98.160482500000001</v>
      </c>
      <c r="H46" s="10">
        <v>97.633369299999998</v>
      </c>
      <c r="I46" s="10">
        <v>102.24829920000001</v>
      </c>
      <c r="J46" s="10">
        <v>99.250566939999999</v>
      </c>
      <c r="K46" s="10">
        <v>100</v>
      </c>
    </row>
  </sheetData>
  <phoneticPr fontId="1"/>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7E94-3617-4B39-BE4A-0B6AF62EF66A}">
  <dimension ref="A1:K10"/>
  <sheetViews>
    <sheetView workbookViewId="0">
      <selection sqref="A1:AE10"/>
    </sheetView>
  </sheetViews>
  <sheetFormatPr defaultRowHeight="16.5" x14ac:dyDescent="0.4"/>
  <cols>
    <col min="1" max="1" width="6.75" bestFit="1" customWidth="1"/>
    <col min="2" max="3" width="11.375" bestFit="1" customWidth="1"/>
    <col min="4" max="5" width="8.625" bestFit="1" customWidth="1"/>
    <col min="6" max="6" width="17.62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6.37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204</v>
      </c>
      <c r="B2" t="s">
        <v>32</v>
      </c>
      <c r="C2" t="s">
        <v>778</v>
      </c>
      <c r="D2">
        <v>468</v>
      </c>
      <c r="E2">
        <v>463</v>
      </c>
      <c r="F2" t="s">
        <v>446</v>
      </c>
      <c r="G2">
        <v>100.6131725</v>
      </c>
      <c r="H2">
        <v>96.686717020000003</v>
      </c>
      <c r="I2">
        <v>98.875850420000006</v>
      </c>
      <c r="J2">
        <v>95.503401670000002</v>
      </c>
      <c r="K2">
        <v>97.189626039999993</v>
      </c>
    </row>
    <row r="3" spans="1:11" x14ac:dyDescent="0.4">
      <c r="A3">
        <v>205</v>
      </c>
      <c r="B3" t="s">
        <v>32</v>
      </c>
      <c r="C3" t="s">
        <v>778</v>
      </c>
      <c r="D3">
        <v>462</v>
      </c>
      <c r="E3">
        <v>466</v>
      </c>
      <c r="F3" t="s">
        <v>447</v>
      </c>
      <c r="G3">
        <v>95.094620000000006</v>
      </c>
      <c r="H3">
        <v>94.793412459999999</v>
      </c>
      <c r="I3">
        <v>97.751700830000004</v>
      </c>
      <c r="J3">
        <v>95.503401670000002</v>
      </c>
      <c r="K3">
        <v>98.875850420000006</v>
      </c>
    </row>
    <row r="4" spans="1:11" x14ac:dyDescent="0.4">
      <c r="A4">
        <v>206</v>
      </c>
      <c r="B4" t="s">
        <v>32</v>
      </c>
      <c r="C4" t="s">
        <v>778</v>
      </c>
      <c r="D4">
        <v>464</v>
      </c>
      <c r="E4">
        <v>466</v>
      </c>
      <c r="F4" t="s">
        <v>448</v>
      </c>
      <c r="G4">
        <v>95.707792499999996</v>
      </c>
      <c r="H4">
        <v>94.793412459999999</v>
      </c>
      <c r="I4">
        <v>98.875850420000006</v>
      </c>
      <c r="J4">
        <v>97.002267779999997</v>
      </c>
      <c r="K4">
        <v>97.751700830000004</v>
      </c>
    </row>
    <row r="5" spans="1:11" x14ac:dyDescent="0.4">
      <c r="A5">
        <v>207</v>
      </c>
      <c r="B5" t="s">
        <v>32</v>
      </c>
      <c r="C5" t="s">
        <v>778</v>
      </c>
      <c r="D5">
        <v>458</v>
      </c>
      <c r="E5">
        <v>473</v>
      </c>
      <c r="F5" t="s">
        <v>449</v>
      </c>
      <c r="G5">
        <v>95.707792499999996</v>
      </c>
      <c r="H5">
        <v>96.213390880000006</v>
      </c>
      <c r="I5">
        <v>97.751700830000004</v>
      </c>
      <c r="J5">
        <v>105.9954644</v>
      </c>
      <c r="K5">
        <v>94.941326880000005</v>
      </c>
    </row>
    <row r="6" spans="1:11" x14ac:dyDescent="0.4">
      <c r="A6">
        <v>208</v>
      </c>
      <c r="B6" t="s">
        <v>32</v>
      </c>
      <c r="C6" t="s">
        <v>778</v>
      </c>
      <c r="D6">
        <v>477</v>
      </c>
      <c r="E6">
        <v>458</v>
      </c>
      <c r="F6" t="s">
        <v>450</v>
      </c>
      <c r="G6">
        <v>97.547309999999996</v>
      </c>
      <c r="H6">
        <v>96.213390880000006</v>
      </c>
      <c r="I6">
        <v>106.74489749999999</v>
      </c>
      <c r="J6">
        <v>94.004535559999994</v>
      </c>
      <c r="K6">
        <v>95.503401670000002</v>
      </c>
    </row>
    <row r="7" spans="1:11" x14ac:dyDescent="0.4">
      <c r="A7">
        <v>209</v>
      </c>
      <c r="B7" t="s">
        <v>32</v>
      </c>
      <c r="C7" t="s">
        <v>778</v>
      </c>
      <c r="D7">
        <v>460</v>
      </c>
      <c r="E7">
        <v>465</v>
      </c>
      <c r="F7" t="s">
        <v>451</v>
      </c>
      <c r="G7">
        <v>94.481447500000002</v>
      </c>
      <c r="H7">
        <v>94.793412459999999</v>
      </c>
      <c r="I7">
        <v>96.627551249999996</v>
      </c>
      <c r="J7">
        <v>94.753968610000001</v>
      </c>
      <c r="K7">
        <v>98.875850420000006</v>
      </c>
    </row>
    <row r="8" spans="1:11" x14ac:dyDescent="0.4">
      <c r="A8">
        <v>210</v>
      </c>
      <c r="B8" t="s">
        <v>32</v>
      </c>
      <c r="C8" t="s">
        <v>778</v>
      </c>
      <c r="D8">
        <v>467</v>
      </c>
      <c r="E8">
        <v>465</v>
      </c>
      <c r="F8" t="s">
        <v>452</v>
      </c>
      <c r="G8">
        <v>95.707792499999996</v>
      </c>
      <c r="H8">
        <v>96.213390880000006</v>
      </c>
      <c r="I8">
        <v>98.875850420000006</v>
      </c>
      <c r="J8">
        <v>96.252834719999996</v>
      </c>
      <c r="K8">
        <v>97.751700830000004</v>
      </c>
    </row>
    <row r="9" spans="1:11" x14ac:dyDescent="0.4">
      <c r="A9">
        <v>211</v>
      </c>
      <c r="B9" t="s">
        <v>674</v>
      </c>
      <c r="C9" t="s">
        <v>924</v>
      </c>
      <c r="D9">
        <v>475</v>
      </c>
      <c r="E9">
        <v>471</v>
      </c>
      <c r="F9" t="s">
        <v>678</v>
      </c>
      <c r="G9">
        <v>97.547309999999996</v>
      </c>
      <c r="H9">
        <v>98.106695439999996</v>
      </c>
      <c r="I9">
        <v>100</v>
      </c>
      <c r="J9">
        <v>97.751700830000004</v>
      </c>
      <c r="K9">
        <v>100</v>
      </c>
    </row>
    <row r="10" spans="1:11" x14ac:dyDescent="0.4">
      <c r="A10">
        <v>212</v>
      </c>
      <c r="B10" t="s">
        <v>741</v>
      </c>
      <c r="C10" t="s">
        <v>930</v>
      </c>
      <c r="D10">
        <v>478</v>
      </c>
      <c r="E10">
        <v>470</v>
      </c>
      <c r="F10" t="s">
        <v>744</v>
      </c>
      <c r="G10">
        <v>96.934137500000006</v>
      </c>
      <c r="H10">
        <v>100.47332609999999</v>
      </c>
      <c r="I10">
        <v>98.875850420000006</v>
      </c>
      <c r="J10">
        <v>100</v>
      </c>
      <c r="K10">
        <v>97.751700830000004</v>
      </c>
    </row>
  </sheetData>
  <phoneticPr fontId="1"/>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34040-F27D-489B-9603-51A584D66454}">
  <dimension ref="A1:K10"/>
  <sheetViews>
    <sheetView workbookViewId="0">
      <selection sqref="A1:AE10"/>
    </sheetView>
  </sheetViews>
  <sheetFormatPr defaultRowHeight="16.5" x14ac:dyDescent="0.4"/>
  <cols>
    <col min="1" max="1" width="6.75" bestFit="1" customWidth="1"/>
    <col min="2" max="3" width="11.375" bestFit="1" customWidth="1"/>
    <col min="4" max="5" width="8.625" bestFit="1" customWidth="1"/>
    <col min="6" max="6" width="17.62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6.37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213</v>
      </c>
      <c r="B2" t="s">
        <v>32</v>
      </c>
      <c r="C2" t="s">
        <v>778</v>
      </c>
      <c r="D2">
        <v>472</v>
      </c>
      <c r="E2">
        <v>465</v>
      </c>
      <c r="F2" t="s">
        <v>453</v>
      </c>
      <c r="G2">
        <v>98.160482500000001</v>
      </c>
      <c r="H2">
        <v>96.686717020000003</v>
      </c>
      <c r="I2">
        <v>98.875850420000006</v>
      </c>
      <c r="J2">
        <v>96.252834719999996</v>
      </c>
      <c r="K2">
        <v>97.751700830000004</v>
      </c>
    </row>
    <row r="3" spans="1:11" x14ac:dyDescent="0.4">
      <c r="A3">
        <v>214</v>
      </c>
      <c r="B3" t="s">
        <v>32</v>
      </c>
      <c r="C3" t="s">
        <v>778</v>
      </c>
      <c r="D3">
        <v>460</v>
      </c>
      <c r="E3">
        <v>465</v>
      </c>
      <c r="F3" t="s">
        <v>454</v>
      </c>
      <c r="G3">
        <v>95.094620000000006</v>
      </c>
      <c r="H3">
        <v>94.320086320000001</v>
      </c>
      <c r="I3">
        <v>96.627551249999996</v>
      </c>
      <c r="J3">
        <v>94.753968610000001</v>
      </c>
      <c r="K3">
        <v>98.875850420000006</v>
      </c>
    </row>
    <row r="4" spans="1:11" x14ac:dyDescent="0.4">
      <c r="A4">
        <v>215</v>
      </c>
      <c r="B4" t="s">
        <v>32</v>
      </c>
      <c r="C4" t="s">
        <v>778</v>
      </c>
      <c r="D4">
        <v>473</v>
      </c>
      <c r="E4">
        <v>468</v>
      </c>
      <c r="F4" t="s">
        <v>455</v>
      </c>
      <c r="G4">
        <v>98.160482500000001</v>
      </c>
      <c r="H4">
        <v>97.160043160000001</v>
      </c>
      <c r="I4">
        <v>98.875850420000006</v>
      </c>
      <c r="J4">
        <v>97.751700830000004</v>
      </c>
      <c r="K4">
        <v>98.313775629999995</v>
      </c>
    </row>
    <row r="5" spans="1:11" x14ac:dyDescent="0.4">
      <c r="A5">
        <v>216</v>
      </c>
      <c r="B5" t="s">
        <v>32</v>
      </c>
      <c r="C5" t="s">
        <v>778</v>
      </c>
      <c r="D5">
        <v>467</v>
      </c>
      <c r="E5">
        <v>466</v>
      </c>
      <c r="F5" t="s">
        <v>456</v>
      </c>
      <c r="G5">
        <v>96.320965000000001</v>
      </c>
      <c r="H5">
        <v>95.740064739999994</v>
      </c>
      <c r="I5">
        <v>98.875850420000006</v>
      </c>
      <c r="J5">
        <v>96.252834719999996</v>
      </c>
      <c r="K5">
        <v>98.313775629999995</v>
      </c>
    </row>
    <row r="6" spans="1:11" x14ac:dyDescent="0.4">
      <c r="A6">
        <v>217</v>
      </c>
      <c r="B6" t="s">
        <v>32</v>
      </c>
      <c r="C6" t="s">
        <v>778</v>
      </c>
      <c r="D6">
        <v>468</v>
      </c>
      <c r="E6">
        <v>465</v>
      </c>
      <c r="F6" t="s">
        <v>457</v>
      </c>
      <c r="G6">
        <v>96.320965000000001</v>
      </c>
      <c r="H6">
        <v>97.160043160000001</v>
      </c>
      <c r="I6">
        <v>96.627551249999996</v>
      </c>
      <c r="J6">
        <v>94.753968610000001</v>
      </c>
      <c r="K6">
        <v>98.875850420000006</v>
      </c>
    </row>
    <row r="7" spans="1:11" x14ac:dyDescent="0.4">
      <c r="A7">
        <v>219</v>
      </c>
      <c r="B7" t="s">
        <v>32</v>
      </c>
      <c r="C7" t="s">
        <v>778</v>
      </c>
      <c r="D7">
        <v>458</v>
      </c>
      <c r="E7">
        <v>470</v>
      </c>
      <c r="F7" t="s">
        <v>458</v>
      </c>
      <c r="G7">
        <v>95.707792499999996</v>
      </c>
      <c r="H7">
        <v>96.213390880000006</v>
      </c>
      <c r="I7">
        <v>97.751700830000004</v>
      </c>
      <c r="J7">
        <v>103.74716530000001</v>
      </c>
      <c r="K7">
        <v>94.941326880000005</v>
      </c>
    </row>
    <row r="8" spans="1:11" x14ac:dyDescent="0.4">
      <c r="A8">
        <v>220</v>
      </c>
      <c r="B8" t="s">
        <v>32</v>
      </c>
      <c r="C8" t="s">
        <v>778</v>
      </c>
      <c r="D8">
        <v>472</v>
      </c>
      <c r="E8">
        <v>463</v>
      </c>
      <c r="F8" t="s">
        <v>459</v>
      </c>
      <c r="G8">
        <v>95.707792499999996</v>
      </c>
      <c r="H8">
        <v>95.740064739999994</v>
      </c>
      <c r="I8">
        <v>105.6207479</v>
      </c>
      <c r="J8">
        <v>94.753968610000001</v>
      </c>
      <c r="K8">
        <v>97.751700830000004</v>
      </c>
    </row>
    <row r="9" spans="1:11" x14ac:dyDescent="0.4">
      <c r="A9">
        <v>221</v>
      </c>
      <c r="B9" t="s">
        <v>32</v>
      </c>
      <c r="C9" t="s">
        <v>778</v>
      </c>
      <c r="D9">
        <v>484</v>
      </c>
      <c r="E9">
        <v>472</v>
      </c>
      <c r="F9" t="s">
        <v>460</v>
      </c>
      <c r="G9">
        <v>95.707792499999996</v>
      </c>
      <c r="H9">
        <v>99.526673900000006</v>
      </c>
      <c r="I9">
        <v>110.11734629999999</v>
      </c>
      <c r="J9">
        <v>100</v>
      </c>
      <c r="K9">
        <v>98.875850420000006</v>
      </c>
    </row>
    <row r="10" spans="1:11" x14ac:dyDescent="0.4">
      <c r="A10">
        <v>218</v>
      </c>
      <c r="B10" t="s">
        <v>776</v>
      </c>
      <c r="C10" t="s">
        <v>949</v>
      </c>
      <c r="D10">
        <v>474</v>
      </c>
      <c r="E10">
        <v>473</v>
      </c>
      <c r="F10" t="s">
        <v>781</v>
      </c>
      <c r="G10">
        <v>98.160482500000001</v>
      </c>
      <c r="H10">
        <v>98.106695439999996</v>
      </c>
      <c r="I10">
        <v>97.751700830000004</v>
      </c>
      <c r="J10">
        <v>96.252834719999996</v>
      </c>
      <c r="K10">
        <v>102.24829920000001</v>
      </c>
    </row>
  </sheetData>
  <phoneticPr fontId="1"/>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FD9A9-AFAE-4AE5-8B5F-C34A6DD4B0CA}">
  <dimension ref="A1:K10"/>
  <sheetViews>
    <sheetView workbookViewId="0">
      <selection sqref="A1:AE10"/>
    </sheetView>
  </sheetViews>
  <sheetFormatPr defaultRowHeight="16.5" x14ac:dyDescent="0.4"/>
  <cols>
    <col min="1" max="1" width="6.75" bestFit="1" customWidth="1"/>
    <col min="2" max="3" width="11.375" bestFit="1" customWidth="1"/>
    <col min="4" max="5" width="8.625" bestFit="1" customWidth="1"/>
    <col min="6" max="6" width="18.37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7"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222</v>
      </c>
      <c r="B2" t="s">
        <v>32</v>
      </c>
      <c r="C2" t="s">
        <v>778</v>
      </c>
      <c r="D2">
        <v>484</v>
      </c>
      <c r="E2">
        <v>472</v>
      </c>
      <c r="F2" t="s">
        <v>461</v>
      </c>
      <c r="G2">
        <v>100.6131725</v>
      </c>
      <c r="H2">
        <v>100.47332609999999</v>
      </c>
      <c r="I2">
        <v>107.8690471</v>
      </c>
      <c r="J2">
        <v>99.250566939999999</v>
      </c>
      <c r="K2">
        <v>99.437925210000003</v>
      </c>
    </row>
    <row r="3" spans="1:11" x14ac:dyDescent="0.4">
      <c r="A3">
        <v>224</v>
      </c>
      <c r="B3" t="s">
        <v>32</v>
      </c>
      <c r="C3" t="s">
        <v>778</v>
      </c>
      <c r="D3">
        <v>465</v>
      </c>
      <c r="E3">
        <v>466</v>
      </c>
      <c r="F3" t="s">
        <v>463</v>
      </c>
      <c r="G3">
        <v>96.320965000000001</v>
      </c>
      <c r="H3">
        <v>94.793412459999999</v>
      </c>
      <c r="I3">
        <v>98.875850420000006</v>
      </c>
      <c r="J3">
        <v>96.252834719999996</v>
      </c>
      <c r="K3">
        <v>98.313775629999995</v>
      </c>
    </row>
    <row r="4" spans="1:11" x14ac:dyDescent="0.4">
      <c r="A4">
        <v>225</v>
      </c>
      <c r="B4" t="s">
        <v>32</v>
      </c>
      <c r="C4" t="s">
        <v>778</v>
      </c>
      <c r="D4">
        <v>457</v>
      </c>
      <c r="E4">
        <v>470</v>
      </c>
      <c r="F4" t="s">
        <v>464</v>
      </c>
      <c r="G4">
        <v>95.094620000000006</v>
      </c>
      <c r="H4">
        <v>95.740064739999994</v>
      </c>
      <c r="I4">
        <v>98.875850420000006</v>
      </c>
      <c r="J4">
        <v>103.74716530000001</v>
      </c>
      <c r="K4">
        <v>94.941326880000005</v>
      </c>
    </row>
    <row r="5" spans="1:11" x14ac:dyDescent="0.4">
      <c r="A5">
        <v>226</v>
      </c>
      <c r="B5" t="s">
        <v>32</v>
      </c>
      <c r="C5" t="s">
        <v>778</v>
      </c>
      <c r="D5">
        <v>464</v>
      </c>
      <c r="E5">
        <v>467</v>
      </c>
      <c r="F5" t="s">
        <v>465</v>
      </c>
      <c r="G5">
        <v>95.094620000000006</v>
      </c>
      <c r="H5">
        <v>96.213390880000006</v>
      </c>
      <c r="I5">
        <v>96.627551249999996</v>
      </c>
      <c r="J5">
        <v>95.503401670000002</v>
      </c>
      <c r="K5">
        <v>99.437925210000003</v>
      </c>
    </row>
    <row r="6" spans="1:11" x14ac:dyDescent="0.4">
      <c r="A6">
        <v>227</v>
      </c>
      <c r="B6" t="s">
        <v>32</v>
      </c>
      <c r="C6" t="s">
        <v>778</v>
      </c>
      <c r="D6">
        <v>468</v>
      </c>
      <c r="E6">
        <v>461</v>
      </c>
      <c r="F6" t="s">
        <v>466</v>
      </c>
      <c r="G6">
        <v>97.547309999999996</v>
      </c>
      <c r="H6">
        <v>95.266738599999996</v>
      </c>
      <c r="I6">
        <v>98.875850420000006</v>
      </c>
      <c r="J6">
        <v>94.753968610000001</v>
      </c>
      <c r="K6">
        <v>96.627551249999996</v>
      </c>
    </row>
    <row r="7" spans="1:11" x14ac:dyDescent="0.4">
      <c r="A7">
        <v>228</v>
      </c>
      <c r="B7" t="s">
        <v>32</v>
      </c>
      <c r="C7" t="s">
        <v>778</v>
      </c>
      <c r="D7">
        <v>462</v>
      </c>
      <c r="E7">
        <v>468</v>
      </c>
      <c r="F7" t="s">
        <v>467</v>
      </c>
      <c r="G7">
        <v>94.481447500000002</v>
      </c>
      <c r="H7">
        <v>95.740064739999994</v>
      </c>
      <c r="I7">
        <v>96.627551249999996</v>
      </c>
      <c r="J7">
        <v>95.503401670000002</v>
      </c>
      <c r="K7">
        <v>100</v>
      </c>
    </row>
    <row r="8" spans="1:11" x14ac:dyDescent="0.4">
      <c r="A8">
        <v>229</v>
      </c>
      <c r="B8" t="s">
        <v>32</v>
      </c>
      <c r="C8" t="s">
        <v>778</v>
      </c>
      <c r="D8">
        <v>469</v>
      </c>
      <c r="E8">
        <v>463</v>
      </c>
      <c r="F8" t="s">
        <v>468</v>
      </c>
      <c r="G8">
        <v>96.934137500000006</v>
      </c>
      <c r="H8">
        <v>95.740064739999994</v>
      </c>
      <c r="I8">
        <v>100</v>
      </c>
      <c r="J8">
        <v>95.503401670000002</v>
      </c>
      <c r="K8">
        <v>97.189626039999993</v>
      </c>
    </row>
    <row r="9" spans="1:11" x14ac:dyDescent="0.4">
      <c r="A9">
        <v>223</v>
      </c>
      <c r="B9" t="s">
        <v>76</v>
      </c>
      <c r="C9" t="s">
        <v>914</v>
      </c>
      <c r="D9">
        <v>494</v>
      </c>
      <c r="E9">
        <v>476</v>
      </c>
      <c r="F9" t="s">
        <v>462</v>
      </c>
      <c r="G9">
        <v>101.22634499999999</v>
      </c>
      <c r="H9">
        <v>103.313283</v>
      </c>
      <c r="I9">
        <v>111.2414958</v>
      </c>
      <c r="J9">
        <v>100.7494331</v>
      </c>
      <c r="K9">
        <v>100.5620748</v>
      </c>
    </row>
    <row r="10" spans="1:11" x14ac:dyDescent="0.4">
      <c r="A10">
        <v>230</v>
      </c>
      <c r="B10" t="s">
        <v>73</v>
      </c>
      <c r="C10" t="s">
        <v>945</v>
      </c>
      <c r="D10">
        <v>477</v>
      </c>
      <c r="E10">
        <v>469</v>
      </c>
      <c r="F10" t="s">
        <v>469</v>
      </c>
      <c r="G10">
        <v>98.773655000000005</v>
      </c>
      <c r="H10">
        <v>97.633369299999998</v>
      </c>
      <c r="I10">
        <v>101.1241496</v>
      </c>
      <c r="J10">
        <v>97.002267779999997</v>
      </c>
      <c r="K10">
        <v>99.437925210000003</v>
      </c>
    </row>
  </sheetData>
  <phoneticPr fontId="1"/>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EFE56-535C-4D7B-AD02-6B40A3491E3F}">
  <dimension ref="A1:K15"/>
  <sheetViews>
    <sheetView workbookViewId="0">
      <selection sqref="A1:AE14"/>
    </sheetView>
  </sheetViews>
  <sheetFormatPr defaultRowHeight="16.5" x14ac:dyDescent="0.4"/>
  <cols>
    <col min="1" max="1" width="6.75" bestFit="1" customWidth="1"/>
    <col min="2" max="3" width="11.375" bestFit="1" customWidth="1"/>
    <col min="4" max="5" width="8.625" bestFit="1" customWidth="1"/>
    <col min="6" max="6" width="17.62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6.37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231</v>
      </c>
      <c r="B2" t="s">
        <v>32</v>
      </c>
      <c r="C2" t="s">
        <v>778</v>
      </c>
      <c r="D2">
        <v>479</v>
      </c>
      <c r="E2">
        <v>467</v>
      </c>
      <c r="F2" t="s">
        <v>470</v>
      </c>
      <c r="G2">
        <v>101.22634499999999</v>
      </c>
      <c r="H2">
        <v>101.41997840000001</v>
      </c>
      <c r="I2">
        <v>98.875850420000006</v>
      </c>
      <c r="J2">
        <v>98.501133890000006</v>
      </c>
      <c r="K2">
        <v>97.189626039999993</v>
      </c>
    </row>
    <row r="3" spans="1:11" x14ac:dyDescent="0.4">
      <c r="A3">
        <v>237</v>
      </c>
      <c r="B3" t="s">
        <v>32</v>
      </c>
      <c r="C3" t="s">
        <v>778</v>
      </c>
      <c r="D3">
        <v>464</v>
      </c>
      <c r="E3">
        <v>470</v>
      </c>
      <c r="F3" t="s">
        <v>473</v>
      </c>
      <c r="G3">
        <v>95.707792499999996</v>
      </c>
      <c r="H3">
        <v>95.740064739999994</v>
      </c>
      <c r="I3">
        <v>96.627551249999996</v>
      </c>
      <c r="J3">
        <v>96.252834719999996</v>
      </c>
      <c r="K3">
        <v>100.5620748</v>
      </c>
    </row>
    <row r="4" spans="1:11" x14ac:dyDescent="0.4">
      <c r="A4">
        <v>239</v>
      </c>
      <c r="B4" t="s">
        <v>32</v>
      </c>
      <c r="C4" t="s">
        <v>778</v>
      </c>
      <c r="D4">
        <v>469</v>
      </c>
      <c r="E4">
        <v>464</v>
      </c>
      <c r="F4" t="s">
        <v>474</v>
      </c>
      <c r="G4">
        <v>94.481447500000002</v>
      </c>
      <c r="H4">
        <v>95.266738599999996</v>
      </c>
      <c r="I4">
        <v>105.6207479</v>
      </c>
      <c r="J4">
        <v>95.503401670000002</v>
      </c>
      <c r="K4">
        <v>97.751700830000004</v>
      </c>
    </row>
    <row r="5" spans="1:11" x14ac:dyDescent="0.4">
      <c r="A5">
        <v>241</v>
      </c>
      <c r="B5" t="s">
        <v>32</v>
      </c>
      <c r="C5" t="s">
        <v>778</v>
      </c>
      <c r="D5">
        <v>470</v>
      </c>
      <c r="E5">
        <v>462</v>
      </c>
      <c r="F5" t="s">
        <v>476</v>
      </c>
      <c r="G5">
        <v>97.547309999999996</v>
      </c>
      <c r="H5">
        <v>96.686717020000003</v>
      </c>
      <c r="I5">
        <v>97.751700830000004</v>
      </c>
      <c r="J5">
        <v>95.503401670000002</v>
      </c>
      <c r="K5">
        <v>96.627551249999996</v>
      </c>
    </row>
    <row r="6" spans="1:11" x14ac:dyDescent="0.4">
      <c r="A6">
        <v>242</v>
      </c>
      <c r="B6" t="s">
        <v>32</v>
      </c>
      <c r="C6" t="s">
        <v>778</v>
      </c>
      <c r="D6">
        <v>461</v>
      </c>
      <c r="E6">
        <v>469</v>
      </c>
      <c r="F6" t="s">
        <v>477</v>
      </c>
      <c r="G6">
        <v>95.094620000000006</v>
      </c>
      <c r="H6">
        <v>94.320086320000001</v>
      </c>
      <c r="I6">
        <v>97.751700830000004</v>
      </c>
      <c r="J6">
        <v>96.252834719999996</v>
      </c>
      <c r="K6">
        <v>100</v>
      </c>
    </row>
    <row r="7" spans="1:11" x14ac:dyDescent="0.4">
      <c r="A7">
        <v>243</v>
      </c>
      <c r="B7" t="s">
        <v>32</v>
      </c>
      <c r="C7" t="s">
        <v>778</v>
      </c>
      <c r="D7">
        <v>469</v>
      </c>
      <c r="E7">
        <v>470</v>
      </c>
      <c r="F7" t="s">
        <v>478</v>
      </c>
      <c r="G7">
        <v>96.320965000000001</v>
      </c>
      <c r="H7">
        <v>97.160043160000001</v>
      </c>
      <c r="I7">
        <v>97.751700830000004</v>
      </c>
      <c r="J7">
        <v>98.501133890000006</v>
      </c>
      <c r="K7">
        <v>98.875850420000006</v>
      </c>
    </row>
    <row r="8" spans="1:11" x14ac:dyDescent="0.4">
      <c r="A8">
        <v>244</v>
      </c>
      <c r="B8" t="s">
        <v>32</v>
      </c>
      <c r="C8" t="s">
        <v>778</v>
      </c>
      <c r="D8">
        <v>456</v>
      </c>
      <c r="E8">
        <v>469</v>
      </c>
      <c r="F8" t="s">
        <v>479</v>
      </c>
      <c r="G8">
        <v>95.094620000000006</v>
      </c>
      <c r="H8">
        <v>95.266738599999996</v>
      </c>
      <c r="I8">
        <v>98.875850420000006</v>
      </c>
      <c r="J8">
        <v>102.24829920000001</v>
      </c>
      <c r="K8">
        <v>95.503401670000002</v>
      </c>
    </row>
    <row r="9" spans="1:11" x14ac:dyDescent="0.4">
      <c r="A9">
        <v>233</v>
      </c>
      <c r="B9" t="s">
        <v>76</v>
      </c>
      <c r="C9" t="s">
        <v>914</v>
      </c>
      <c r="D9">
        <v>484</v>
      </c>
      <c r="E9">
        <v>476</v>
      </c>
      <c r="F9" t="s">
        <v>472</v>
      </c>
      <c r="G9">
        <v>104.90537999999999</v>
      </c>
      <c r="H9">
        <v>100.47332609999999</v>
      </c>
      <c r="I9">
        <v>100</v>
      </c>
      <c r="J9">
        <v>100</v>
      </c>
      <c r="K9">
        <v>101.1241496</v>
      </c>
    </row>
    <row r="10" spans="1:11" x14ac:dyDescent="0.4">
      <c r="A10">
        <v>232</v>
      </c>
      <c r="B10" t="s">
        <v>61</v>
      </c>
      <c r="C10" t="s">
        <v>779</v>
      </c>
      <c r="D10">
        <v>487</v>
      </c>
      <c r="E10">
        <v>473</v>
      </c>
      <c r="F10" t="s">
        <v>471</v>
      </c>
      <c r="G10">
        <v>103.06586249999999</v>
      </c>
      <c r="H10">
        <v>103.313283</v>
      </c>
      <c r="I10">
        <v>100</v>
      </c>
      <c r="J10">
        <v>100</v>
      </c>
      <c r="K10">
        <v>99.437925210000003</v>
      </c>
    </row>
    <row r="11" spans="1:11" x14ac:dyDescent="0.4">
      <c r="A11">
        <v>240</v>
      </c>
      <c r="B11" t="s">
        <v>61</v>
      </c>
      <c r="C11" t="s">
        <v>779</v>
      </c>
      <c r="D11">
        <v>479</v>
      </c>
      <c r="E11">
        <v>468</v>
      </c>
      <c r="F11" t="s">
        <v>475</v>
      </c>
      <c r="G11">
        <v>95.094620000000006</v>
      </c>
      <c r="H11">
        <v>98.106695439999996</v>
      </c>
      <c r="I11">
        <v>108.9931967</v>
      </c>
      <c r="J11">
        <v>97.002267779999997</v>
      </c>
      <c r="K11">
        <v>98.875850420000006</v>
      </c>
    </row>
    <row r="12" spans="1:11" x14ac:dyDescent="0.4">
      <c r="A12">
        <v>234</v>
      </c>
      <c r="B12" t="s">
        <v>635</v>
      </c>
      <c r="C12" t="s">
        <v>922</v>
      </c>
      <c r="D12">
        <v>493</v>
      </c>
      <c r="E12">
        <v>477</v>
      </c>
      <c r="F12" t="s">
        <v>636</v>
      </c>
      <c r="G12">
        <v>103.679035</v>
      </c>
      <c r="H12">
        <v>105.6799137</v>
      </c>
      <c r="I12">
        <v>100</v>
      </c>
      <c r="J12">
        <v>102.24829920000001</v>
      </c>
      <c r="K12">
        <v>100</v>
      </c>
    </row>
    <row r="13" spans="1:11" x14ac:dyDescent="0.4">
      <c r="A13">
        <v>235</v>
      </c>
      <c r="B13" t="s">
        <v>748</v>
      </c>
      <c r="C13" t="s">
        <v>931</v>
      </c>
      <c r="D13">
        <v>491</v>
      </c>
      <c r="E13">
        <v>480</v>
      </c>
      <c r="F13" t="s">
        <v>753</v>
      </c>
      <c r="G13">
        <v>104.90537999999999</v>
      </c>
      <c r="H13">
        <v>103.78660910000001</v>
      </c>
      <c r="I13">
        <v>100</v>
      </c>
      <c r="J13">
        <v>102.24829920000001</v>
      </c>
      <c r="K13">
        <v>101.6862244</v>
      </c>
    </row>
    <row r="14" spans="1:11" x14ac:dyDescent="0.4">
      <c r="A14">
        <v>238</v>
      </c>
      <c r="B14" t="s">
        <v>769</v>
      </c>
      <c r="C14" t="s">
        <v>933</v>
      </c>
      <c r="D14">
        <v>470</v>
      </c>
      <c r="E14">
        <v>478</v>
      </c>
      <c r="F14" t="s">
        <v>771</v>
      </c>
      <c r="G14">
        <v>97.547309999999996</v>
      </c>
      <c r="H14">
        <v>96.686717020000003</v>
      </c>
      <c r="I14">
        <v>97.751700830000004</v>
      </c>
      <c r="J14">
        <v>97.751700830000004</v>
      </c>
      <c r="K14">
        <v>103.9345235</v>
      </c>
    </row>
    <row r="15" spans="1:11" x14ac:dyDescent="0.4">
      <c r="A15">
        <v>236</v>
      </c>
      <c r="B15" t="s">
        <v>903</v>
      </c>
      <c r="C15" t="s">
        <v>942</v>
      </c>
      <c r="D15">
        <v>499</v>
      </c>
      <c r="E15">
        <v>482</v>
      </c>
      <c r="F15" t="s">
        <v>960</v>
      </c>
      <c r="G15">
        <v>104.2922075</v>
      </c>
      <c r="H15">
        <v>107.5732182</v>
      </c>
      <c r="I15">
        <v>101.1241496</v>
      </c>
      <c r="J15">
        <v>104.4965983</v>
      </c>
      <c r="K15">
        <v>101.1241496</v>
      </c>
    </row>
  </sheetData>
  <phoneticPr fontId="1"/>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80790-5060-448C-AE9E-563521DA7371}">
  <dimension ref="A1:K11"/>
  <sheetViews>
    <sheetView workbookViewId="0">
      <selection sqref="A1:AE11"/>
    </sheetView>
  </sheetViews>
  <sheetFormatPr defaultRowHeight="16.5" x14ac:dyDescent="0.4"/>
  <cols>
    <col min="1" max="1" width="6.75" bestFit="1" customWidth="1"/>
    <col min="2" max="3" width="11.375" bestFit="1" customWidth="1"/>
    <col min="4" max="5" width="8.625" bestFit="1" customWidth="1"/>
    <col min="6" max="6" width="17.62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6.37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245</v>
      </c>
      <c r="B2" t="s">
        <v>32</v>
      </c>
      <c r="C2" t="s">
        <v>778</v>
      </c>
      <c r="D2">
        <v>478</v>
      </c>
      <c r="E2">
        <v>471</v>
      </c>
      <c r="F2" t="s">
        <v>480</v>
      </c>
      <c r="G2">
        <v>99.386827499999995</v>
      </c>
      <c r="H2">
        <v>99.053347720000005</v>
      </c>
      <c r="I2">
        <v>97.751700830000004</v>
      </c>
      <c r="J2">
        <v>99.250566939999999</v>
      </c>
      <c r="K2">
        <v>98.875850420000006</v>
      </c>
    </row>
    <row r="3" spans="1:11" x14ac:dyDescent="0.4">
      <c r="A3">
        <v>247</v>
      </c>
      <c r="B3" t="s">
        <v>32</v>
      </c>
      <c r="C3" t="s">
        <v>778</v>
      </c>
      <c r="D3">
        <v>465</v>
      </c>
      <c r="E3">
        <v>459</v>
      </c>
      <c r="F3" t="s">
        <v>481</v>
      </c>
      <c r="G3">
        <v>96.934137500000006</v>
      </c>
      <c r="H3">
        <v>94.793412459999999</v>
      </c>
      <c r="I3">
        <v>97.751700830000004</v>
      </c>
      <c r="J3">
        <v>95.503401670000002</v>
      </c>
      <c r="K3">
        <v>94.941326880000005</v>
      </c>
    </row>
    <row r="4" spans="1:11" x14ac:dyDescent="0.4">
      <c r="A4">
        <v>248</v>
      </c>
      <c r="B4" t="s">
        <v>32</v>
      </c>
      <c r="C4" t="s">
        <v>778</v>
      </c>
      <c r="D4">
        <v>483</v>
      </c>
      <c r="E4">
        <v>474</v>
      </c>
      <c r="F4" t="s">
        <v>482</v>
      </c>
      <c r="G4">
        <v>96.934137500000006</v>
      </c>
      <c r="H4">
        <v>99.053347720000005</v>
      </c>
      <c r="I4">
        <v>107.8690471</v>
      </c>
      <c r="J4">
        <v>100</v>
      </c>
      <c r="K4">
        <v>100</v>
      </c>
    </row>
    <row r="5" spans="1:11" x14ac:dyDescent="0.4">
      <c r="A5">
        <v>249</v>
      </c>
      <c r="B5" t="s">
        <v>32</v>
      </c>
      <c r="C5" t="s">
        <v>778</v>
      </c>
      <c r="D5">
        <v>458</v>
      </c>
      <c r="E5">
        <v>469</v>
      </c>
      <c r="F5" t="s">
        <v>483</v>
      </c>
      <c r="G5">
        <v>93.868274999999997</v>
      </c>
      <c r="H5">
        <v>93.846760180000004</v>
      </c>
      <c r="I5">
        <v>97.751700830000004</v>
      </c>
      <c r="J5">
        <v>96.252834719999996</v>
      </c>
      <c r="K5">
        <v>100</v>
      </c>
    </row>
    <row r="6" spans="1:11" x14ac:dyDescent="0.4">
      <c r="A6">
        <v>250</v>
      </c>
      <c r="B6" t="s">
        <v>32</v>
      </c>
      <c r="C6" t="s">
        <v>778</v>
      </c>
      <c r="D6">
        <v>456</v>
      </c>
      <c r="E6">
        <v>470</v>
      </c>
      <c r="F6" t="s">
        <v>484</v>
      </c>
      <c r="G6">
        <v>95.094620000000006</v>
      </c>
      <c r="H6">
        <v>95.266738599999996</v>
      </c>
      <c r="I6">
        <v>98.875850420000006</v>
      </c>
      <c r="J6">
        <v>102.9977322</v>
      </c>
      <c r="K6">
        <v>95.503401670000002</v>
      </c>
    </row>
    <row r="7" spans="1:11" x14ac:dyDescent="0.4">
      <c r="A7">
        <v>251</v>
      </c>
      <c r="B7" t="s">
        <v>32</v>
      </c>
      <c r="C7" t="s">
        <v>778</v>
      </c>
      <c r="D7">
        <v>460</v>
      </c>
      <c r="E7">
        <v>471</v>
      </c>
      <c r="F7" t="s">
        <v>485</v>
      </c>
      <c r="G7">
        <v>93.868274999999997</v>
      </c>
      <c r="H7">
        <v>94.793412459999999</v>
      </c>
      <c r="I7">
        <v>97.751700830000004</v>
      </c>
      <c r="J7">
        <v>97.751700830000004</v>
      </c>
      <c r="K7">
        <v>100</v>
      </c>
    </row>
    <row r="8" spans="1:11" x14ac:dyDescent="0.4">
      <c r="A8">
        <v>253</v>
      </c>
      <c r="B8" t="s">
        <v>32</v>
      </c>
      <c r="C8" t="s">
        <v>778</v>
      </c>
      <c r="D8">
        <v>473</v>
      </c>
      <c r="E8">
        <v>468</v>
      </c>
      <c r="F8" t="s">
        <v>486</v>
      </c>
      <c r="G8">
        <v>100.6131725</v>
      </c>
      <c r="H8">
        <v>99.053347720000005</v>
      </c>
      <c r="I8">
        <v>98.875850420000006</v>
      </c>
      <c r="J8">
        <v>97.751700830000004</v>
      </c>
      <c r="K8">
        <v>98.313775629999995</v>
      </c>
    </row>
    <row r="9" spans="1:11" x14ac:dyDescent="0.4">
      <c r="A9">
        <v>246</v>
      </c>
      <c r="B9" t="s">
        <v>635</v>
      </c>
      <c r="C9" t="s">
        <v>922</v>
      </c>
      <c r="D9">
        <v>486</v>
      </c>
      <c r="E9">
        <v>477</v>
      </c>
      <c r="F9" t="s">
        <v>638</v>
      </c>
      <c r="G9">
        <v>101.22634499999999</v>
      </c>
      <c r="H9">
        <v>100.9466523</v>
      </c>
      <c r="I9">
        <v>98.875850420000006</v>
      </c>
      <c r="J9">
        <v>100.7494331</v>
      </c>
      <c r="K9">
        <v>101.1241496</v>
      </c>
    </row>
    <row r="10" spans="1:11" x14ac:dyDescent="0.4">
      <c r="A10">
        <v>252</v>
      </c>
      <c r="B10" t="s">
        <v>748</v>
      </c>
      <c r="C10" t="s">
        <v>931</v>
      </c>
      <c r="D10">
        <v>466</v>
      </c>
      <c r="E10">
        <v>479</v>
      </c>
      <c r="F10" t="s">
        <v>750</v>
      </c>
      <c r="G10">
        <v>95.707792499999996</v>
      </c>
      <c r="H10">
        <v>95.740064739999994</v>
      </c>
      <c r="I10">
        <v>98.875850420000006</v>
      </c>
      <c r="J10">
        <v>99.250566939999999</v>
      </c>
      <c r="K10">
        <v>103.3724488</v>
      </c>
    </row>
    <row r="11" spans="1:11" x14ac:dyDescent="0.4">
      <c r="A11">
        <v>254</v>
      </c>
      <c r="B11" t="s">
        <v>776</v>
      </c>
      <c r="C11" t="s">
        <v>949</v>
      </c>
      <c r="D11">
        <v>482</v>
      </c>
      <c r="E11">
        <v>477</v>
      </c>
      <c r="F11" t="s">
        <v>777</v>
      </c>
      <c r="G11">
        <v>103.06586249999999</v>
      </c>
      <c r="H11">
        <v>100.9466523</v>
      </c>
      <c r="I11">
        <v>100</v>
      </c>
      <c r="J11">
        <v>100.7494331</v>
      </c>
      <c r="K11">
        <v>101.1241496</v>
      </c>
    </row>
  </sheetData>
  <phoneticPr fontId="1"/>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71AA5-079F-4429-BF59-022D14F8322C}">
  <dimension ref="A1:K43"/>
  <sheetViews>
    <sheetView workbookViewId="0">
      <selection activeCell="A17" sqref="A17:XFD17"/>
    </sheetView>
  </sheetViews>
  <sheetFormatPr defaultRowHeight="16.5" x14ac:dyDescent="0.4"/>
  <cols>
    <col min="1" max="1" width="6.75" bestFit="1" customWidth="1"/>
    <col min="2" max="3" width="11.375" bestFit="1" customWidth="1"/>
    <col min="4" max="5" width="8.625" bestFit="1" customWidth="1"/>
    <col min="6" max="6" width="20.12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8.62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255</v>
      </c>
      <c r="B2" t="s">
        <v>32</v>
      </c>
      <c r="C2" t="s">
        <v>778</v>
      </c>
      <c r="D2">
        <v>497</v>
      </c>
      <c r="E2">
        <v>472</v>
      </c>
      <c r="F2" t="s">
        <v>487</v>
      </c>
      <c r="G2">
        <v>106.131725</v>
      </c>
      <c r="H2">
        <v>106.15323979999999</v>
      </c>
      <c r="I2">
        <v>98.875850420000006</v>
      </c>
      <c r="J2">
        <v>99.250566939999999</v>
      </c>
      <c r="K2">
        <v>99.437925210000003</v>
      </c>
    </row>
    <row r="3" spans="1:11" x14ac:dyDescent="0.4">
      <c r="A3">
        <v>264</v>
      </c>
      <c r="B3" t="s">
        <v>32</v>
      </c>
      <c r="C3" t="s">
        <v>778</v>
      </c>
      <c r="D3">
        <v>477</v>
      </c>
      <c r="E3">
        <v>474</v>
      </c>
      <c r="F3" t="s">
        <v>490</v>
      </c>
      <c r="G3">
        <v>99.386827499999995</v>
      </c>
      <c r="H3">
        <v>98.580021579999993</v>
      </c>
      <c r="I3">
        <v>97.751700830000004</v>
      </c>
      <c r="J3">
        <v>96.252834719999996</v>
      </c>
      <c r="K3">
        <v>102.810374</v>
      </c>
    </row>
    <row r="4" spans="1:11" x14ac:dyDescent="0.4">
      <c r="A4">
        <v>272</v>
      </c>
      <c r="B4" t="s">
        <v>32</v>
      </c>
      <c r="C4" t="s">
        <v>778</v>
      </c>
      <c r="D4">
        <v>484</v>
      </c>
      <c r="E4">
        <v>478</v>
      </c>
      <c r="F4" t="s">
        <v>493</v>
      </c>
      <c r="G4">
        <v>101.8395175</v>
      </c>
      <c r="H4">
        <v>101.41997840000001</v>
      </c>
      <c r="I4">
        <v>103.3724488</v>
      </c>
      <c r="J4">
        <v>101.4988661</v>
      </c>
      <c r="K4">
        <v>101.1241496</v>
      </c>
    </row>
    <row r="5" spans="1:11" x14ac:dyDescent="0.4">
      <c r="A5">
        <v>278</v>
      </c>
      <c r="B5" t="s">
        <v>32</v>
      </c>
      <c r="C5" t="s">
        <v>778</v>
      </c>
      <c r="D5">
        <v>489</v>
      </c>
      <c r="E5">
        <v>468</v>
      </c>
      <c r="F5" t="s">
        <v>495</v>
      </c>
      <c r="G5">
        <v>99.386827499999995</v>
      </c>
      <c r="H5">
        <v>101.41997840000001</v>
      </c>
      <c r="I5">
        <v>113.489795</v>
      </c>
      <c r="J5">
        <v>98.501133890000006</v>
      </c>
      <c r="K5">
        <v>97.751700830000004</v>
      </c>
    </row>
    <row r="6" spans="1:11" x14ac:dyDescent="0.4">
      <c r="A6">
        <v>285</v>
      </c>
      <c r="B6" t="s">
        <v>32</v>
      </c>
      <c r="C6" t="s">
        <v>778</v>
      </c>
      <c r="D6">
        <v>484</v>
      </c>
      <c r="E6">
        <v>478</v>
      </c>
      <c r="F6" t="s">
        <v>497</v>
      </c>
      <c r="G6">
        <v>99.386827499999995</v>
      </c>
      <c r="H6">
        <v>99.526673900000006</v>
      </c>
      <c r="I6">
        <v>103.3724488</v>
      </c>
      <c r="J6">
        <v>101.4988661</v>
      </c>
      <c r="K6">
        <v>101.1241496</v>
      </c>
    </row>
    <row r="7" spans="1:11" x14ac:dyDescent="0.4">
      <c r="A7">
        <v>287</v>
      </c>
      <c r="B7" t="s">
        <v>32</v>
      </c>
      <c r="C7" t="s">
        <v>778</v>
      </c>
      <c r="D7">
        <v>477</v>
      </c>
      <c r="E7">
        <v>470</v>
      </c>
      <c r="F7" t="s">
        <v>498</v>
      </c>
      <c r="G7">
        <v>101.8395175</v>
      </c>
      <c r="H7">
        <v>100.47332609999999</v>
      </c>
      <c r="I7">
        <v>97.751700830000004</v>
      </c>
      <c r="J7">
        <v>96.252834719999996</v>
      </c>
      <c r="K7">
        <v>100.5620748</v>
      </c>
    </row>
    <row r="8" spans="1:11" x14ac:dyDescent="0.4">
      <c r="A8">
        <v>290</v>
      </c>
      <c r="B8" t="s">
        <v>32</v>
      </c>
      <c r="C8" t="s">
        <v>778</v>
      </c>
      <c r="D8">
        <v>479</v>
      </c>
      <c r="E8">
        <v>469</v>
      </c>
      <c r="F8" t="s">
        <v>500</v>
      </c>
      <c r="G8">
        <v>98.160482500000001</v>
      </c>
      <c r="H8">
        <v>100.47332609999999</v>
      </c>
      <c r="I8">
        <v>106.74489749999999</v>
      </c>
      <c r="J8">
        <v>98.501133890000006</v>
      </c>
      <c r="K8">
        <v>98.313775629999995</v>
      </c>
    </row>
    <row r="9" spans="1:11" x14ac:dyDescent="0.4">
      <c r="A9">
        <v>296</v>
      </c>
      <c r="B9" t="s">
        <v>32</v>
      </c>
      <c r="C9" t="s">
        <v>778</v>
      </c>
      <c r="D9">
        <v>456</v>
      </c>
      <c r="E9">
        <v>470</v>
      </c>
      <c r="F9" t="s">
        <v>502</v>
      </c>
      <c r="G9">
        <v>95.094620000000006</v>
      </c>
      <c r="H9">
        <v>95.266738599999996</v>
      </c>
      <c r="I9">
        <v>98.875850420000006</v>
      </c>
      <c r="J9">
        <v>102.9977322</v>
      </c>
      <c r="K9">
        <v>95.503401670000002</v>
      </c>
    </row>
    <row r="10" spans="1:11" x14ac:dyDescent="0.4">
      <c r="A10">
        <v>257</v>
      </c>
      <c r="B10" t="s">
        <v>83</v>
      </c>
      <c r="C10" t="s">
        <v>913</v>
      </c>
      <c r="D10">
        <v>511</v>
      </c>
      <c r="E10">
        <v>472</v>
      </c>
      <c r="F10" t="s">
        <v>489</v>
      </c>
      <c r="G10">
        <v>109.81076</v>
      </c>
      <c r="H10">
        <v>109.46652280000001</v>
      </c>
      <c r="I10">
        <v>100</v>
      </c>
      <c r="J10">
        <v>98.501133890000006</v>
      </c>
      <c r="K10">
        <v>100</v>
      </c>
    </row>
    <row r="11" spans="1:11" x14ac:dyDescent="0.4">
      <c r="A11">
        <v>291</v>
      </c>
      <c r="B11" t="s">
        <v>76</v>
      </c>
      <c r="C11" t="s">
        <v>914</v>
      </c>
      <c r="D11">
        <v>489</v>
      </c>
      <c r="E11">
        <v>473</v>
      </c>
      <c r="F11" t="s">
        <v>501</v>
      </c>
      <c r="G11">
        <v>98.773655000000005</v>
      </c>
      <c r="H11">
        <v>103.313283</v>
      </c>
      <c r="I11">
        <v>110.11734629999999</v>
      </c>
      <c r="J11">
        <v>100</v>
      </c>
      <c r="K11">
        <v>99.437925210000003</v>
      </c>
    </row>
    <row r="12" spans="1:11" x14ac:dyDescent="0.4">
      <c r="A12">
        <v>288</v>
      </c>
      <c r="B12" t="s">
        <v>329</v>
      </c>
      <c r="C12" t="s">
        <v>947</v>
      </c>
      <c r="D12">
        <v>483</v>
      </c>
      <c r="E12">
        <v>478</v>
      </c>
      <c r="F12" t="s">
        <v>499</v>
      </c>
      <c r="G12">
        <v>103.679035</v>
      </c>
      <c r="H12">
        <v>101.41997840000001</v>
      </c>
      <c r="I12">
        <v>98.875850420000006</v>
      </c>
      <c r="J12">
        <v>97.751700830000004</v>
      </c>
      <c r="K12">
        <v>103.9345235</v>
      </c>
    </row>
    <row r="13" spans="1:11" x14ac:dyDescent="0.4">
      <c r="A13">
        <v>258</v>
      </c>
      <c r="B13" t="s">
        <v>61</v>
      </c>
      <c r="C13" t="s">
        <v>779</v>
      </c>
      <c r="D13">
        <v>512</v>
      </c>
      <c r="E13">
        <v>481</v>
      </c>
      <c r="F13" t="s">
        <v>563</v>
      </c>
      <c r="G13">
        <v>109.1975875</v>
      </c>
      <c r="H13">
        <v>110.4131751</v>
      </c>
      <c r="I13">
        <v>100</v>
      </c>
      <c r="J13">
        <v>102.24829920000001</v>
      </c>
      <c r="K13">
        <v>102.24829920000001</v>
      </c>
    </row>
    <row r="14" spans="1:11" x14ac:dyDescent="0.4">
      <c r="A14">
        <v>267</v>
      </c>
      <c r="B14" t="s">
        <v>61</v>
      </c>
      <c r="C14" t="s">
        <v>779</v>
      </c>
      <c r="D14">
        <v>486</v>
      </c>
      <c r="E14">
        <v>480</v>
      </c>
      <c r="F14" t="s">
        <v>564</v>
      </c>
      <c r="G14">
        <v>103.06586249999999</v>
      </c>
      <c r="H14">
        <v>98.580021579999993</v>
      </c>
      <c r="I14">
        <v>101.1241496</v>
      </c>
      <c r="J14">
        <v>94.753968610000001</v>
      </c>
      <c r="K14">
        <v>107.3069723</v>
      </c>
    </row>
    <row r="15" spans="1:11" x14ac:dyDescent="0.4">
      <c r="A15">
        <v>274</v>
      </c>
      <c r="B15" t="s">
        <v>61</v>
      </c>
      <c r="C15" t="s">
        <v>779</v>
      </c>
      <c r="D15">
        <v>497</v>
      </c>
      <c r="E15">
        <v>480</v>
      </c>
      <c r="F15" t="s">
        <v>561</v>
      </c>
      <c r="G15">
        <v>104.90537999999999</v>
      </c>
      <c r="H15">
        <v>105.6799137</v>
      </c>
      <c r="I15">
        <v>102.24829920000001</v>
      </c>
      <c r="J15">
        <v>102.9977322</v>
      </c>
      <c r="K15">
        <v>101.1241496</v>
      </c>
    </row>
    <row r="16" spans="1:11" x14ac:dyDescent="0.4">
      <c r="A16">
        <v>280</v>
      </c>
      <c r="B16" t="s">
        <v>61</v>
      </c>
      <c r="C16" t="s">
        <v>779</v>
      </c>
      <c r="D16">
        <v>504</v>
      </c>
      <c r="E16">
        <v>468</v>
      </c>
      <c r="F16" t="s">
        <v>562</v>
      </c>
      <c r="G16">
        <v>98.773655000000005</v>
      </c>
      <c r="H16">
        <v>106.626566</v>
      </c>
      <c r="I16">
        <v>119.1105429</v>
      </c>
      <c r="J16">
        <v>100</v>
      </c>
      <c r="K16">
        <v>96.627551249999996</v>
      </c>
    </row>
    <row r="17" spans="1:11" x14ac:dyDescent="0.4">
      <c r="A17">
        <v>275</v>
      </c>
      <c r="B17" t="s">
        <v>579</v>
      </c>
      <c r="C17" t="s">
        <v>954</v>
      </c>
      <c r="D17">
        <v>489</v>
      </c>
      <c r="E17">
        <v>489</v>
      </c>
      <c r="F17" t="s">
        <v>605</v>
      </c>
      <c r="G17">
        <v>105.5185525</v>
      </c>
      <c r="H17">
        <v>101.41997840000001</v>
      </c>
      <c r="I17">
        <v>102.24829920000001</v>
      </c>
      <c r="J17">
        <v>103.74716530000001</v>
      </c>
      <c r="K17">
        <v>105.6207479</v>
      </c>
    </row>
    <row r="18" spans="1:11" x14ac:dyDescent="0.4">
      <c r="A18">
        <v>281</v>
      </c>
      <c r="B18" t="s">
        <v>579</v>
      </c>
      <c r="C18" t="s">
        <v>954</v>
      </c>
      <c r="D18">
        <v>494</v>
      </c>
      <c r="E18">
        <v>477</v>
      </c>
      <c r="F18" t="s">
        <v>581</v>
      </c>
      <c r="G18">
        <v>97.547309999999996</v>
      </c>
      <c r="H18">
        <v>102.3666307</v>
      </c>
      <c r="I18">
        <v>120.23469249999999</v>
      </c>
      <c r="J18">
        <v>102.24829920000001</v>
      </c>
      <c r="K18">
        <v>100</v>
      </c>
    </row>
    <row r="19" spans="1:11" x14ac:dyDescent="0.4">
      <c r="A19">
        <v>292</v>
      </c>
      <c r="B19" t="s">
        <v>579</v>
      </c>
      <c r="C19" t="s">
        <v>954</v>
      </c>
      <c r="D19">
        <v>492</v>
      </c>
      <c r="E19">
        <v>471</v>
      </c>
      <c r="F19" t="s">
        <v>606</v>
      </c>
      <c r="G19">
        <v>97.547309999999996</v>
      </c>
      <c r="H19">
        <v>105.6799137</v>
      </c>
      <c r="I19">
        <v>110.11734629999999</v>
      </c>
      <c r="J19">
        <v>101.4988661</v>
      </c>
      <c r="K19">
        <v>97.189626039999993</v>
      </c>
    </row>
    <row r="20" spans="1:11" x14ac:dyDescent="0.4">
      <c r="A20">
        <v>268</v>
      </c>
      <c r="B20" t="s">
        <v>651</v>
      </c>
      <c r="C20" t="s">
        <v>923</v>
      </c>
      <c r="D20">
        <v>486</v>
      </c>
      <c r="E20">
        <v>489</v>
      </c>
      <c r="F20" t="s">
        <v>661</v>
      </c>
      <c r="G20">
        <v>102.45269</v>
      </c>
      <c r="H20">
        <v>99.526673900000006</v>
      </c>
      <c r="I20">
        <v>100</v>
      </c>
      <c r="J20">
        <v>99.250566939999999</v>
      </c>
      <c r="K20">
        <v>108.9931967</v>
      </c>
    </row>
    <row r="21" spans="1:11" x14ac:dyDescent="0.4">
      <c r="A21">
        <v>259</v>
      </c>
      <c r="B21" t="s">
        <v>674</v>
      </c>
      <c r="C21" t="s">
        <v>924</v>
      </c>
      <c r="D21">
        <v>511</v>
      </c>
      <c r="E21">
        <v>482</v>
      </c>
      <c r="F21" t="s">
        <v>680</v>
      </c>
      <c r="G21">
        <v>109.81076</v>
      </c>
      <c r="H21">
        <v>108.9931967</v>
      </c>
      <c r="I21">
        <v>101.1241496</v>
      </c>
      <c r="J21">
        <v>100.7494331</v>
      </c>
      <c r="K21">
        <v>103.9345235</v>
      </c>
    </row>
    <row r="22" spans="1:11" x14ac:dyDescent="0.4">
      <c r="A22">
        <v>276</v>
      </c>
      <c r="B22" t="s">
        <v>693</v>
      </c>
      <c r="C22" t="s">
        <v>926</v>
      </c>
      <c r="D22">
        <v>495</v>
      </c>
      <c r="E22">
        <v>491</v>
      </c>
      <c r="F22" t="s">
        <v>697</v>
      </c>
      <c r="G22">
        <v>104.90537999999999</v>
      </c>
      <c r="H22">
        <v>103.313283</v>
      </c>
      <c r="I22">
        <v>105.6207479</v>
      </c>
      <c r="J22">
        <v>104.4965983</v>
      </c>
      <c r="K22">
        <v>106.1828227</v>
      </c>
    </row>
    <row r="23" spans="1:11" x14ac:dyDescent="0.4">
      <c r="A23">
        <v>282</v>
      </c>
      <c r="B23" t="s">
        <v>724</v>
      </c>
      <c r="C23" t="s">
        <v>956</v>
      </c>
      <c r="D23">
        <v>507</v>
      </c>
      <c r="E23">
        <v>474</v>
      </c>
      <c r="F23" t="s">
        <v>730</v>
      </c>
      <c r="G23">
        <v>100.6131725</v>
      </c>
      <c r="H23">
        <v>106.15323979999999</v>
      </c>
      <c r="I23">
        <v>120.23469249999999</v>
      </c>
      <c r="J23">
        <v>101.4988661</v>
      </c>
      <c r="K23">
        <v>98.875850420000006</v>
      </c>
    </row>
    <row r="24" spans="1:11" x14ac:dyDescent="0.4">
      <c r="A24">
        <v>269</v>
      </c>
      <c r="B24" t="s">
        <v>741</v>
      </c>
      <c r="C24" t="s">
        <v>930</v>
      </c>
      <c r="D24">
        <v>486</v>
      </c>
      <c r="E24">
        <v>490</v>
      </c>
      <c r="F24" t="s">
        <v>745</v>
      </c>
      <c r="G24">
        <v>102.45269</v>
      </c>
      <c r="H24">
        <v>100</v>
      </c>
      <c r="I24">
        <v>98.875850420000006</v>
      </c>
      <c r="J24">
        <v>99.250566939999999</v>
      </c>
      <c r="K24">
        <v>109.5552715</v>
      </c>
    </row>
    <row r="25" spans="1:11" x14ac:dyDescent="0.4">
      <c r="A25">
        <v>260</v>
      </c>
      <c r="B25" t="s">
        <v>748</v>
      </c>
      <c r="C25" t="s">
        <v>931</v>
      </c>
      <c r="D25">
        <v>518</v>
      </c>
      <c r="E25">
        <v>486</v>
      </c>
      <c r="F25" t="s">
        <v>751</v>
      </c>
      <c r="G25">
        <v>109.81076</v>
      </c>
      <c r="H25">
        <v>112.3064796</v>
      </c>
      <c r="I25">
        <v>101.1241496</v>
      </c>
      <c r="J25">
        <v>104.4965983</v>
      </c>
      <c r="K25">
        <v>103.3724488</v>
      </c>
    </row>
    <row r="26" spans="1:11" x14ac:dyDescent="0.4">
      <c r="A26">
        <v>293</v>
      </c>
      <c r="B26" t="s">
        <v>769</v>
      </c>
      <c r="C26" t="s">
        <v>933</v>
      </c>
      <c r="D26">
        <v>489</v>
      </c>
      <c r="E26">
        <v>475</v>
      </c>
      <c r="F26" t="s">
        <v>772</v>
      </c>
      <c r="G26">
        <v>99.386827499999995</v>
      </c>
      <c r="H26">
        <v>101.41997840000001</v>
      </c>
      <c r="I26">
        <v>113.489795</v>
      </c>
      <c r="J26">
        <v>102.9977322</v>
      </c>
      <c r="K26">
        <v>98.313775629999995</v>
      </c>
    </row>
    <row r="27" spans="1:11" x14ac:dyDescent="0.4">
      <c r="A27">
        <v>277</v>
      </c>
      <c r="B27" t="s">
        <v>776</v>
      </c>
      <c r="C27" t="s">
        <v>949</v>
      </c>
      <c r="D27">
        <v>497</v>
      </c>
      <c r="E27">
        <v>490</v>
      </c>
      <c r="F27" t="s">
        <v>783</v>
      </c>
      <c r="G27">
        <v>103.679035</v>
      </c>
      <c r="H27">
        <v>105.2065875</v>
      </c>
      <c r="I27">
        <v>105.6207479</v>
      </c>
      <c r="J27">
        <v>106.74489749999999</v>
      </c>
      <c r="K27">
        <v>103.9345235</v>
      </c>
    </row>
    <row r="28" spans="1:11" x14ac:dyDescent="0.4">
      <c r="A28">
        <v>256</v>
      </c>
      <c r="B28" t="s">
        <v>72</v>
      </c>
      <c r="C28" t="s">
        <v>934</v>
      </c>
      <c r="D28">
        <v>505</v>
      </c>
      <c r="E28">
        <v>478</v>
      </c>
      <c r="F28" t="s">
        <v>488</v>
      </c>
      <c r="G28">
        <v>107.9712425</v>
      </c>
      <c r="H28">
        <v>108.0465444</v>
      </c>
      <c r="I28">
        <v>100</v>
      </c>
      <c r="J28">
        <v>100.7494331</v>
      </c>
      <c r="K28">
        <v>101.6862244</v>
      </c>
    </row>
    <row r="29" spans="1:11" x14ac:dyDescent="0.4">
      <c r="A29">
        <v>265</v>
      </c>
      <c r="B29" t="s">
        <v>72</v>
      </c>
      <c r="C29" t="s">
        <v>934</v>
      </c>
      <c r="D29">
        <v>483</v>
      </c>
      <c r="E29">
        <v>482</v>
      </c>
      <c r="F29" t="s">
        <v>491</v>
      </c>
      <c r="G29">
        <v>101.22634499999999</v>
      </c>
      <c r="H29">
        <v>99.526673900000006</v>
      </c>
      <c r="I29">
        <v>98.875850420000006</v>
      </c>
      <c r="J29">
        <v>97.751700830000004</v>
      </c>
      <c r="K29">
        <v>106.1828227</v>
      </c>
    </row>
    <row r="30" spans="1:11" x14ac:dyDescent="0.4">
      <c r="A30">
        <v>261</v>
      </c>
      <c r="B30" t="s">
        <v>811</v>
      </c>
      <c r="C30" t="s">
        <v>937</v>
      </c>
      <c r="D30">
        <v>516</v>
      </c>
      <c r="E30">
        <v>488</v>
      </c>
      <c r="F30" t="s">
        <v>842</v>
      </c>
      <c r="G30">
        <v>111.037105</v>
      </c>
      <c r="H30">
        <v>109.9398489</v>
      </c>
      <c r="I30">
        <v>102.24829920000001</v>
      </c>
      <c r="J30">
        <v>102.24829920000001</v>
      </c>
      <c r="K30">
        <v>106.1828227</v>
      </c>
    </row>
    <row r="31" spans="1:11" x14ac:dyDescent="0.4">
      <c r="A31">
        <v>283</v>
      </c>
      <c r="B31" t="s">
        <v>845</v>
      </c>
      <c r="C31" t="s">
        <v>938</v>
      </c>
      <c r="D31">
        <v>506</v>
      </c>
      <c r="E31">
        <v>477</v>
      </c>
      <c r="F31" t="s">
        <v>848</v>
      </c>
      <c r="G31">
        <v>100.6131725</v>
      </c>
      <c r="H31">
        <v>107.09989210000001</v>
      </c>
      <c r="I31">
        <v>116.8622438</v>
      </c>
      <c r="J31">
        <v>102.9977322</v>
      </c>
      <c r="K31">
        <v>99.437925210000003</v>
      </c>
    </row>
    <row r="32" spans="1:11" x14ac:dyDescent="0.4">
      <c r="A32">
        <v>294</v>
      </c>
      <c r="B32" t="s">
        <v>845</v>
      </c>
      <c r="C32" t="s">
        <v>938</v>
      </c>
      <c r="D32">
        <v>497</v>
      </c>
      <c r="E32">
        <v>475</v>
      </c>
      <c r="F32" t="s">
        <v>846</v>
      </c>
      <c r="G32">
        <v>99.386827499999995</v>
      </c>
      <c r="H32">
        <v>105.6799137</v>
      </c>
      <c r="I32">
        <v>112.36564540000001</v>
      </c>
      <c r="J32">
        <v>101.4988661</v>
      </c>
      <c r="K32">
        <v>99.437925210000003</v>
      </c>
    </row>
    <row r="33" spans="1:11" x14ac:dyDescent="0.4">
      <c r="A33">
        <v>262</v>
      </c>
      <c r="B33" t="s">
        <v>854</v>
      </c>
      <c r="C33" t="s">
        <v>939</v>
      </c>
      <c r="D33">
        <v>524</v>
      </c>
      <c r="E33">
        <v>490</v>
      </c>
      <c r="F33" t="s">
        <v>861</v>
      </c>
      <c r="G33">
        <v>110.42393250000001</v>
      </c>
      <c r="H33">
        <v>114.1997842</v>
      </c>
      <c r="I33">
        <v>102.24829920000001</v>
      </c>
      <c r="J33">
        <v>105.9954644</v>
      </c>
      <c r="K33">
        <v>104.4965983</v>
      </c>
    </row>
    <row r="34" spans="1:11" x14ac:dyDescent="0.4">
      <c r="A34">
        <v>270</v>
      </c>
      <c r="B34" t="s">
        <v>854</v>
      </c>
      <c r="C34" t="s">
        <v>939</v>
      </c>
      <c r="D34">
        <v>491</v>
      </c>
      <c r="E34">
        <v>494</v>
      </c>
      <c r="F34" t="s">
        <v>862</v>
      </c>
      <c r="G34">
        <v>103.679035</v>
      </c>
      <c r="H34">
        <v>100.47332609999999</v>
      </c>
      <c r="I34">
        <v>101.1241496</v>
      </c>
      <c r="J34">
        <v>100.7494331</v>
      </c>
      <c r="K34">
        <v>110.679421</v>
      </c>
    </row>
    <row r="35" spans="1:11" x14ac:dyDescent="0.4">
      <c r="A35">
        <v>289</v>
      </c>
      <c r="B35" t="s">
        <v>865</v>
      </c>
      <c r="C35" t="s">
        <v>940</v>
      </c>
      <c r="D35">
        <v>480</v>
      </c>
      <c r="E35">
        <v>482</v>
      </c>
      <c r="F35" t="s">
        <v>870</v>
      </c>
      <c r="G35">
        <v>104.2922075</v>
      </c>
      <c r="H35">
        <v>99.526673900000006</v>
      </c>
      <c r="I35">
        <v>98.875850420000006</v>
      </c>
      <c r="J35">
        <v>97.002267779999997</v>
      </c>
      <c r="K35">
        <v>106.74489749999999</v>
      </c>
    </row>
    <row r="36" spans="1:11" x14ac:dyDescent="0.4">
      <c r="A36">
        <v>263</v>
      </c>
      <c r="B36" t="s">
        <v>893</v>
      </c>
      <c r="C36" t="s">
        <v>958</v>
      </c>
      <c r="D36">
        <v>522</v>
      </c>
      <c r="E36">
        <v>493</v>
      </c>
      <c r="F36" t="s">
        <v>896</v>
      </c>
      <c r="G36">
        <v>112.8766225</v>
      </c>
      <c r="H36">
        <v>110.8865012</v>
      </c>
      <c r="I36">
        <v>103.3724488</v>
      </c>
      <c r="J36">
        <v>104.4965983</v>
      </c>
      <c r="K36">
        <v>107.3069723</v>
      </c>
    </row>
    <row r="37" spans="1:11" x14ac:dyDescent="0.4">
      <c r="A37">
        <v>284</v>
      </c>
      <c r="B37" t="s">
        <v>893</v>
      </c>
      <c r="C37" t="s">
        <v>958</v>
      </c>
      <c r="D37">
        <v>513</v>
      </c>
      <c r="E37">
        <v>478</v>
      </c>
      <c r="F37" t="s">
        <v>897</v>
      </c>
      <c r="G37">
        <v>101.22634499999999</v>
      </c>
      <c r="H37">
        <v>107.5732182</v>
      </c>
      <c r="I37">
        <v>122.4829917</v>
      </c>
      <c r="J37">
        <v>102.9977322</v>
      </c>
      <c r="K37">
        <v>100</v>
      </c>
    </row>
    <row r="38" spans="1:11" x14ac:dyDescent="0.4">
      <c r="A38">
        <v>295</v>
      </c>
      <c r="B38" t="s">
        <v>893</v>
      </c>
      <c r="C38" t="s">
        <v>958</v>
      </c>
      <c r="D38">
        <v>503</v>
      </c>
      <c r="E38">
        <v>479</v>
      </c>
      <c r="F38" t="s">
        <v>898</v>
      </c>
      <c r="G38">
        <v>100</v>
      </c>
      <c r="H38">
        <v>107.5732182</v>
      </c>
      <c r="I38">
        <v>113.489795</v>
      </c>
      <c r="J38">
        <v>102.9977322</v>
      </c>
      <c r="K38">
        <v>100.5620748</v>
      </c>
    </row>
    <row r="39" spans="1:11" x14ac:dyDescent="0.4">
      <c r="A39">
        <v>286</v>
      </c>
      <c r="B39" t="s">
        <v>903</v>
      </c>
      <c r="C39" t="s">
        <v>942</v>
      </c>
      <c r="D39">
        <v>488</v>
      </c>
      <c r="E39">
        <v>488</v>
      </c>
      <c r="F39" t="s">
        <v>961</v>
      </c>
      <c r="G39">
        <v>102.45269</v>
      </c>
      <c r="H39">
        <v>99.526673900000006</v>
      </c>
      <c r="I39">
        <v>102.24829920000001</v>
      </c>
      <c r="J39">
        <v>102.9977322</v>
      </c>
      <c r="K39">
        <v>105.6207479</v>
      </c>
    </row>
    <row r="40" spans="1:11" x14ac:dyDescent="0.4">
      <c r="A40">
        <v>271</v>
      </c>
      <c r="B40" t="s">
        <v>964</v>
      </c>
      <c r="C40" t="s">
        <v>965</v>
      </c>
      <c r="D40">
        <v>490</v>
      </c>
      <c r="E40">
        <v>496</v>
      </c>
      <c r="F40" t="s">
        <v>974</v>
      </c>
      <c r="G40">
        <v>103.06586249999999</v>
      </c>
      <c r="H40">
        <v>100.9466523</v>
      </c>
      <c r="I40">
        <v>100</v>
      </c>
      <c r="J40">
        <v>100.7494331</v>
      </c>
      <c r="K40">
        <v>111.8035706</v>
      </c>
    </row>
    <row r="41" spans="1:11" x14ac:dyDescent="0.4">
      <c r="A41">
        <v>279</v>
      </c>
      <c r="B41" t="s">
        <v>95</v>
      </c>
      <c r="C41" t="s">
        <v>944</v>
      </c>
      <c r="D41">
        <v>499</v>
      </c>
      <c r="E41">
        <v>472</v>
      </c>
      <c r="F41" t="s">
        <v>496</v>
      </c>
      <c r="G41">
        <v>100</v>
      </c>
      <c r="H41">
        <v>104.2599353</v>
      </c>
      <c r="I41">
        <v>116.8622438</v>
      </c>
      <c r="J41">
        <v>100</v>
      </c>
      <c r="K41">
        <v>98.875850420000006</v>
      </c>
    </row>
    <row r="42" spans="1:11" x14ac:dyDescent="0.4">
      <c r="A42">
        <v>273</v>
      </c>
      <c r="B42" t="s">
        <v>73</v>
      </c>
      <c r="C42" t="s">
        <v>945</v>
      </c>
      <c r="D42">
        <v>492</v>
      </c>
      <c r="E42">
        <v>484</v>
      </c>
      <c r="F42" t="s">
        <v>494</v>
      </c>
      <c r="G42">
        <v>103.679035</v>
      </c>
      <c r="H42">
        <v>103.313283</v>
      </c>
      <c r="I42">
        <v>104.4965983</v>
      </c>
      <c r="J42">
        <v>102.9977322</v>
      </c>
      <c r="K42">
        <v>103.3724488</v>
      </c>
    </row>
    <row r="43" spans="1:11" x14ac:dyDescent="0.4">
      <c r="A43">
        <v>266</v>
      </c>
      <c r="B43" t="s">
        <v>87</v>
      </c>
      <c r="C43" t="s">
        <v>946</v>
      </c>
      <c r="D43">
        <v>480</v>
      </c>
      <c r="E43">
        <v>485</v>
      </c>
      <c r="F43" t="s">
        <v>492</v>
      </c>
      <c r="G43">
        <v>101.8395175</v>
      </c>
      <c r="H43">
        <v>97.633369299999998</v>
      </c>
      <c r="I43">
        <v>98.875850420000006</v>
      </c>
      <c r="J43">
        <v>97.002267779999997</v>
      </c>
      <c r="K43">
        <v>108.43112189999999</v>
      </c>
    </row>
  </sheetData>
  <phoneticPr fontId="1"/>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1555F-83CB-42AD-9FE3-E4DF00FB2B84}">
  <dimension ref="A1:K8"/>
  <sheetViews>
    <sheetView workbookViewId="0">
      <selection sqref="A1:AE8"/>
    </sheetView>
  </sheetViews>
  <sheetFormatPr defaultRowHeight="16.5" x14ac:dyDescent="0.4"/>
  <cols>
    <col min="1" max="1" width="6.75" bestFit="1" customWidth="1"/>
    <col min="2" max="3" width="11.375" bestFit="1" customWidth="1"/>
    <col min="4" max="5" width="8.625" bestFit="1" customWidth="1"/>
    <col min="6" max="6" width="12.87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2"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1"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297</v>
      </c>
      <c r="B2" t="s">
        <v>32</v>
      </c>
      <c r="C2" t="s">
        <v>778</v>
      </c>
      <c r="D2">
        <v>479</v>
      </c>
      <c r="E2">
        <v>476</v>
      </c>
      <c r="F2" t="s">
        <v>600</v>
      </c>
      <c r="G2">
        <v>99.386827499999995</v>
      </c>
      <c r="H2">
        <v>101.89330459999999</v>
      </c>
      <c r="I2">
        <v>101.1241496</v>
      </c>
      <c r="J2">
        <v>100</v>
      </c>
      <c r="K2">
        <v>101.1241496</v>
      </c>
    </row>
    <row r="3" spans="1:11" x14ac:dyDescent="0.4">
      <c r="A3">
        <v>298</v>
      </c>
      <c r="B3" t="s">
        <v>32</v>
      </c>
      <c r="C3" t="s">
        <v>778</v>
      </c>
      <c r="D3">
        <v>473</v>
      </c>
      <c r="E3">
        <v>462</v>
      </c>
      <c r="F3" t="s">
        <v>604</v>
      </c>
      <c r="G3">
        <v>99.386827499999995</v>
      </c>
      <c r="H3">
        <v>97.633369299999998</v>
      </c>
      <c r="I3">
        <v>104.4965983</v>
      </c>
      <c r="J3">
        <v>94.753968610000001</v>
      </c>
      <c r="K3">
        <v>97.189626039999993</v>
      </c>
    </row>
    <row r="4" spans="1:11" x14ac:dyDescent="0.4">
      <c r="A4">
        <v>299</v>
      </c>
      <c r="B4" t="s">
        <v>32</v>
      </c>
      <c r="C4" t="s">
        <v>778</v>
      </c>
      <c r="D4">
        <v>468</v>
      </c>
      <c r="E4">
        <v>465</v>
      </c>
      <c r="F4" t="s">
        <v>609</v>
      </c>
      <c r="G4">
        <v>96.320965000000001</v>
      </c>
      <c r="H4">
        <v>97.160043160000001</v>
      </c>
      <c r="I4">
        <v>96.627551249999996</v>
      </c>
      <c r="J4">
        <v>94.753968610000001</v>
      </c>
      <c r="K4">
        <v>98.875850420000006</v>
      </c>
    </row>
    <row r="5" spans="1:11" x14ac:dyDescent="0.4">
      <c r="A5">
        <v>300</v>
      </c>
      <c r="B5" t="s">
        <v>32</v>
      </c>
      <c r="C5" t="s">
        <v>778</v>
      </c>
      <c r="D5">
        <v>457</v>
      </c>
      <c r="E5">
        <v>470</v>
      </c>
      <c r="F5" t="s">
        <v>656</v>
      </c>
      <c r="G5">
        <v>94.481447500000002</v>
      </c>
      <c r="H5">
        <v>95.740064739999994</v>
      </c>
      <c r="I5">
        <v>100</v>
      </c>
      <c r="J5">
        <v>102.9977322</v>
      </c>
      <c r="K5">
        <v>95.503401670000002</v>
      </c>
    </row>
    <row r="6" spans="1:11" x14ac:dyDescent="0.4">
      <c r="A6">
        <v>301</v>
      </c>
      <c r="B6" t="s">
        <v>32</v>
      </c>
      <c r="C6" t="s">
        <v>778</v>
      </c>
      <c r="D6">
        <v>467</v>
      </c>
      <c r="E6">
        <v>458</v>
      </c>
      <c r="F6" t="s">
        <v>659</v>
      </c>
      <c r="G6">
        <v>92.641930000000002</v>
      </c>
      <c r="H6">
        <v>96.213390880000006</v>
      </c>
      <c r="I6">
        <v>104.4965983</v>
      </c>
      <c r="J6">
        <v>94.004535559999994</v>
      </c>
      <c r="K6">
        <v>95.503401670000002</v>
      </c>
    </row>
    <row r="7" spans="1:11" x14ac:dyDescent="0.4">
      <c r="A7">
        <v>302</v>
      </c>
      <c r="B7" t="s">
        <v>32</v>
      </c>
      <c r="C7" t="s">
        <v>778</v>
      </c>
      <c r="D7">
        <v>460</v>
      </c>
      <c r="E7">
        <v>465</v>
      </c>
      <c r="F7" t="s">
        <v>665</v>
      </c>
      <c r="G7">
        <v>95.707792499999996</v>
      </c>
      <c r="H7">
        <v>93.846760180000004</v>
      </c>
      <c r="I7">
        <v>96.627551249999996</v>
      </c>
      <c r="J7">
        <v>94.753968610000001</v>
      </c>
      <c r="K7">
        <v>98.875850420000006</v>
      </c>
    </row>
    <row r="8" spans="1:11" x14ac:dyDescent="0.4">
      <c r="A8">
        <v>303</v>
      </c>
      <c r="B8" t="s">
        <v>32</v>
      </c>
      <c r="C8" t="s">
        <v>778</v>
      </c>
      <c r="D8">
        <v>475</v>
      </c>
      <c r="E8">
        <v>473</v>
      </c>
      <c r="F8" t="s">
        <v>668</v>
      </c>
      <c r="G8">
        <v>100</v>
      </c>
      <c r="H8">
        <v>99.526673900000006</v>
      </c>
      <c r="I8">
        <v>101.1241496</v>
      </c>
      <c r="J8">
        <v>97.751700830000004</v>
      </c>
      <c r="K8">
        <v>101.1241496</v>
      </c>
    </row>
  </sheetData>
  <phoneticPr fontId="1"/>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0B1AC-FC9C-4D35-A7C7-7EFB6661D42C}">
  <dimension ref="A1:K8"/>
  <sheetViews>
    <sheetView topLeftCell="A2" workbookViewId="0">
      <selection sqref="A1:AE8"/>
    </sheetView>
  </sheetViews>
  <sheetFormatPr defaultRowHeight="16.5" x14ac:dyDescent="0.4"/>
  <cols>
    <col min="1" max="1" width="6.75" bestFit="1" customWidth="1"/>
    <col min="2" max="3" width="11.375" bestFit="1" customWidth="1"/>
    <col min="4" max="5" width="8.625" bestFit="1" customWidth="1"/>
    <col min="6" max="6" width="12.87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2"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1"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304</v>
      </c>
      <c r="B2" t="s">
        <v>32</v>
      </c>
      <c r="C2" t="s">
        <v>778</v>
      </c>
      <c r="D2">
        <v>480</v>
      </c>
      <c r="E2">
        <v>475</v>
      </c>
      <c r="F2" t="s">
        <v>686</v>
      </c>
      <c r="G2">
        <v>103.06586249999999</v>
      </c>
      <c r="H2">
        <v>100</v>
      </c>
      <c r="I2">
        <v>100</v>
      </c>
      <c r="J2">
        <v>96.252834719999996</v>
      </c>
      <c r="K2">
        <v>103.3724488</v>
      </c>
    </row>
    <row r="3" spans="1:11" x14ac:dyDescent="0.4">
      <c r="A3">
        <v>305</v>
      </c>
      <c r="B3" t="s">
        <v>32</v>
      </c>
      <c r="C3" t="s">
        <v>778</v>
      </c>
      <c r="D3">
        <v>479</v>
      </c>
      <c r="E3">
        <v>469</v>
      </c>
      <c r="F3" t="s">
        <v>691</v>
      </c>
      <c r="G3">
        <v>101.8395175</v>
      </c>
      <c r="H3">
        <v>99.053347720000005</v>
      </c>
      <c r="I3">
        <v>103.3724488</v>
      </c>
      <c r="J3">
        <v>97.751700830000004</v>
      </c>
      <c r="K3">
        <v>98.875850420000006</v>
      </c>
    </row>
    <row r="4" spans="1:11" x14ac:dyDescent="0.4">
      <c r="A4">
        <v>306</v>
      </c>
      <c r="B4" t="s">
        <v>32</v>
      </c>
      <c r="C4" t="s">
        <v>778</v>
      </c>
      <c r="D4">
        <v>457</v>
      </c>
      <c r="E4">
        <v>470</v>
      </c>
      <c r="F4" t="s">
        <v>701</v>
      </c>
      <c r="G4">
        <v>94.481447500000002</v>
      </c>
      <c r="H4">
        <v>94.793412459999999</v>
      </c>
      <c r="I4">
        <v>102.24829920000001</v>
      </c>
      <c r="J4">
        <v>103.74716530000001</v>
      </c>
      <c r="K4">
        <v>94.941326880000005</v>
      </c>
    </row>
    <row r="5" spans="1:11" x14ac:dyDescent="0.4">
      <c r="A5">
        <v>307</v>
      </c>
      <c r="B5" t="s">
        <v>32</v>
      </c>
      <c r="C5" t="s">
        <v>778</v>
      </c>
      <c r="D5">
        <v>466</v>
      </c>
      <c r="E5">
        <v>467</v>
      </c>
      <c r="F5" t="s">
        <v>706</v>
      </c>
      <c r="G5">
        <v>96.934137500000006</v>
      </c>
      <c r="H5">
        <v>95.740064739999994</v>
      </c>
      <c r="I5">
        <v>96.627551249999996</v>
      </c>
      <c r="J5">
        <v>98.501133890000006</v>
      </c>
      <c r="K5">
        <v>97.189626039999993</v>
      </c>
    </row>
    <row r="6" spans="1:11" x14ac:dyDescent="0.4">
      <c r="A6">
        <v>308</v>
      </c>
      <c r="B6" t="s">
        <v>32</v>
      </c>
      <c r="C6" t="s">
        <v>778</v>
      </c>
      <c r="D6">
        <v>471</v>
      </c>
      <c r="E6">
        <v>464</v>
      </c>
      <c r="F6" t="s">
        <v>710</v>
      </c>
      <c r="G6">
        <v>94.481447500000002</v>
      </c>
      <c r="H6">
        <v>96.213390880000006</v>
      </c>
      <c r="I6">
        <v>105.6207479</v>
      </c>
      <c r="J6">
        <v>97.751700830000004</v>
      </c>
      <c r="K6">
        <v>96.065476459999999</v>
      </c>
    </row>
    <row r="7" spans="1:11" x14ac:dyDescent="0.4">
      <c r="A7">
        <v>309</v>
      </c>
      <c r="B7" t="s">
        <v>32</v>
      </c>
      <c r="C7" t="s">
        <v>778</v>
      </c>
      <c r="D7">
        <v>463</v>
      </c>
      <c r="E7">
        <v>461</v>
      </c>
      <c r="F7" t="s">
        <v>713</v>
      </c>
      <c r="G7">
        <v>95.707792499999996</v>
      </c>
      <c r="H7">
        <v>92.900107890000001</v>
      </c>
      <c r="I7">
        <v>102.24829920000001</v>
      </c>
      <c r="J7">
        <v>94.004535559999994</v>
      </c>
      <c r="K7">
        <v>97.189626039999993</v>
      </c>
    </row>
    <row r="8" spans="1:11" x14ac:dyDescent="0.4">
      <c r="A8">
        <v>310</v>
      </c>
      <c r="B8" t="s">
        <v>32</v>
      </c>
      <c r="C8" t="s">
        <v>778</v>
      </c>
      <c r="D8">
        <v>459</v>
      </c>
      <c r="E8">
        <v>462</v>
      </c>
      <c r="F8" t="s">
        <v>719</v>
      </c>
      <c r="G8">
        <v>94.481447500000002</v>
      </c>
      <c r="H8">
        <v>93.846760180000004</v>
      </c>
      <c r="I8">
        <v>97.751700830000004</v>
      </c>
      <c r="J8">
        <v>94.004535559999994</v>
      </c>
      <c r="K8">
        <v>97.751700830000004</v>
      </c>
    </row>
  </sheetData>
  <phoneticPr fontId="1"/>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80DA-8788-4AD5-BB6A-86897EA6050C}">
  <dimension ref="A1:K44"/>
  <sheetViews>
    <sheetView workbookViewId="0">
      <selection activeCell="G23" sqref="G23"/>
    </sheetView>
  </sheetViews>
  <sheetFormatPr defaultRowHeight="16.5" x14ac:dyDescent="0.4"/>
  <cols>
    <col min="1" max="1" width="6.75" bestFit="1" customWidth="1"/>
    <col min="2" max="3" width="11.375" bestFit="1" customWidth="1"/>
    <col min="4" max="5" width="8.625" bestFit="1" customWidth="1"/>
    <col min="6" max="6" width="19.37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8.12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311</v>
      </c>
      <c r="B2" t="s">
        <v>32</v>
      </c>
      <c r="C2" t="s">
        <v>778</v>
      </c>
      <c r="D2">
        <v>506</v>
      </c>
      <c r="E2">
        <v>465</v>
      </c>
      <c r="F2" t="s">
        <v>503</v>
      </c>
      <c r="G2">
        <v>100</v>
      </c>
      <c r="H2">
        <v>107.5732182</v>
      </c>
      <c r="I2">
        <v>116.8622438</v>
      </c>
      <c r="J2">
        <v>100</v>
      </c>
      <c r="K2">
        <v>94.941326880000005</v>
      </c>
    </row>
    <row r="3" spans="1:11" x14ac:dyDescent="0.4">
      <c r="A3">
        <v>320</v>
      </c>
      <c r="B3" t="s">
        <v>32</v>
      </c>
      <c r="C3" t="s">
        <v>778</v>
      </c>
      <c r="D3">
        <v>484</v>
      </c>
      <c r="E3">
        <v>483</v>
      </c>
      <c r="F3" t="s">
        <v>506</v>
      </c>
      <c r="G3">
        <v>104.2922075</v>
      </c>
      <c r="H3">
        <v>100.47332609999999</v>
      </c>
      <c r="I3">
        <v>101.1241496</v>
      </c>
      <c r="J3">
        <v>100.7494331</v>
      </c>
      <c r="K3">
        <v>104.4965983</v>
      </c>
    </row>
    <row r="4" spans="1:11" x14ac:dyDescent="0.4">
      <c r="A4">
        <v>328</v>
      </c>
      <c r="B4" t="s">
        <v>32</v>
      </c>
      <c r="C4" t="s">
        <v>778</v>
      </c>
      <c r="D4">
        <v>477</v>
      </c>
      <c r="E4">
        <v>476</v>
      </c>
      <c r="F4" t="s">
        <v>508</v>
      </c>
      <c r="G4">
        <v>103.679035</v>
      </c>
      <c r="H4">
        <v>99.526673900000006</v>
      </c>
      <c r="I4">
        <v>96.627551249999996</v>
      </c>
      <c r="J4">
        <v>95.503401670000002</v>
      </c>
      <c r="K4">
        <v>104.4965983</v>
      </c>
    </row>
    <row r="5" spans="1:11" x14ac:dyDescent="0.4">
      <c r="A5">
        <v>336</v>
      </c>
      <c r="B5" t="s">
        <v>32</v>
      </c>
      <c r="C5" t="s">
        <v>778</v>
      </c>
      <c r="D5">
        <v>478</v>
      </c>
      <c r="E5">
        <v>480</v>
      </c>
      <c r="F5" t="s">
        <v>510</v>
      </c>
      <c r="G5">
        <v>100.6131725</v>
      </c>
      <c r="H5">
        <v>97.160043160000001</v>
      </c>
      <c r="I5">
        <v>100</v>
      </c>
      <c r="J5">
        <v>103.74716530000001</v>
      </c>
      <c r="K5">
        <v>100.5620748</v>
      </c>
    </row>
    <row r="6" spans="1:11" x14ac:dyDescent="0.4">
      <c r="A6">
        <v>344</v>
      </c>
      <c r="B6" t="s">
        <v>32</v>
      </c>
      <c r="C6" t="s">
        <v>778</v>
      </c>
      <c r="D6">
        <v>479</v>
      </c>
      <c r="E6">
        <v>467</v>
      </c>
      <c r="F6" t="s">
        <v>512</v>
      </c>
      <c r="G6">
        <v>104.2922075</v>
      </c>
      <c r="H6">
        <v>99.526673900000006</v>
      </c>
      <c r="I6">
        <v>97.751700830000004</v>
      </c>
      <c r="J6">
        <v>94.753968610000001</v>
      </c>
      <c r="K6">
        <v>100</v>
      </c>
    </row>
    <row r="7" spans="1:11" x14ac:dyDescent="0.4">
      <c r="A7">
        <v>347</v>
      </c>
      <c r="B7" t="s">
        <v>32</v>
      </c>
      <c r="C7" t="s">
        <v>778</v>
      </c>
      <c r="D7">
        <v>464</v>
      </c>
      <c r="E7">
        <v>474</v>
      </c>
      <c r="F7" t="s">
        <v>514</v>
      </c>
      <c r="G7">
        <v>97.547309999999996</v>
      </c>
      <c r="H7">
        <v>96.213390880000006</v>
      </c>
      <c r="I7">
        <v>101.1241496</v>
      </c>
      <c r="J7">
        <v>106.74489749999999</v>
      </c>
      <c r="K7">
        <v>94.941326880000005</v>
      </c>
    </row>
    <row r="8" spans="1:11" x14ac:dyDescent="0.4">
      <c r="A8">
        <v>349</v>
      </c>
      <c r="B8" t="s">
        <v>32</v>
      </c>
      <c r="C8" t="s">
        <v>778</v>
      </c>
      <c r="D8">
        <v>466</v>
      </c>
      <c r="E8">
        <v>476</v>
      </c>
      <c r="F8" t="s">
        <v>515</v>
      </c>
      <c r="G8">
        <v>96.320965000000001</v>
      </c>
      <c r="H8">
        <v>95.266738599999996</v>
      </c>
      <c r="I8">
        <v>98.875850420000006</v>
      </c>
      <c r="J8">
        <v>96.252834719999996</v>
      </c>
      <c r="K8">
        <v>103.9345235</v>
      </c>
    </row>
    <row r="9" spans="1:11" x14ac:dyDescent="0.4">
      <c r="A9">
        <v>351</v>
      </c>
      <c r="B9" t="s">
        <v>32</v>
      </c>
      <c r="C9" t="s">
        <v>778</v>
      </c>
      <c r="D9">
        <v>474</v>
      </c>
      <c r="E9">
        <v>465</v>
      </c>
      <c r="F9" t="s">
        <v>516</v>
      </c>
      <c r="G9">
        <v>98.160482500000001</v>
      </c>
      <c r="H9">
        <v>98.580021579999993</v>
      </c>
      <c r="I9">
        <v>96.627551249999996</v>
      </c>
      <c r="J9">
        <v>96.252834719999996</v>
      </c>
      <c r="K9">
        <v>97.751700830000004</v>
      </c>
    </row>
    <row r="10" spans="1:11" x14ac:dyDescent="0.4">
      <c r="A10">
        <v>352</v>
      </c>
      <c r="B10" t="s">
        <v>32</v>
      </c>
      <c r="C10" t="s">
        <v>778</v>
      </c>
      <c r="D10">
        <v>470</v>
      </c>
      <c r="E10">
        <v>469</v>
      </c>
      <c r="F10" t="s">
        <v>517</v>
      </c>
      <c r="G10">
        <v>101.22634499999999</v>
      </c>
      <c r="H10">
        <v>97.633369299999998</v>
      </c>
      <c r="I10">
        <v>97.751700830000004</v>
      </c>
      <c r="J10">
        <v>98.501133890000006</v>
      </c>
      <c r="K10">
        <v>98.313775629999995</v>
      </c>
    </row>
    <row r="11" spans="1:11" x14ac:dyDescent="0.4">
      <c r="A11">
        <v>337</v>
      </c>
      <c r="B11" t="s">
        <v>69</v>
      </c>
      <c r="C11" t="s">
        <v>912</v>
      </c>
      <c r="D11">
        <v>486</v>
      </c>
      <c r="E11">
        <v>486</v>
      </c>
      <c r="F11" t="s">
        <v>511</v>
      </c>
      <c r="G11">
        <v>102.45269</v>
      </c>
      <c r="H11">
        <v>99.053347720000005</v>
      </c>
      <c r="I11">
        <v>101.1241496</v>
      </c>
      <c r="J11">
        <v>105.24603140000001</v>
      </c>
      <c r="K11">
        <v>102.810374</v>
      </c>
    </row>
    <row r="12" spans="1:11" x14ac:dyDescent="0.4">
      <c r="A12">
        <v>345</v>
      </c>
      <c r="B12" t="s">
        <v>76</v>
      </c>
      <c r="C12" t="s">
        <v>914</v>
      </c>
      <c r="D12">
        <v>487</v>
      </c>
      <c r="E12">
        <v>473</v>
      </c>
      <c r="F12" t="s">
        <v>513</v>
      </c>
      <c r="G12">
        <v>106.131725</v>
      </c>
      <c r="H12">
        <v>101.41997840000001</v>
      </c>
      <c r="I12">
        <v>98.875850420000006</v>
      </c>
      <c r="J12">
        <v>96.252834719999996</v>
      </c>
      <c r="K12">
        <v>102.24829920000001</v>
      </c>
    </row>
    <row r="13" spans="1:11" x14ac:dyDescent="0.4">
      <c r="A13">
        <v>329</v>
      </c>
      <c r="B13" t="s">
        <v>142</v>
      </c>
      <c r="C13" t="s">
        <v>916</v>
      </c>
      <c r="D13">
        <v>483</v>
      </c>
      <c r="E13">
        <v>484</v>
      </c>
      <c r="F13" t="s">
        <v>509</v>
      </c>
      <c r="G13">
        <v>105.5185525</v>
      </c>
      <c r="H13">
        <v>100.47332609999999</v>
      </c>
      <c r="I13">
        <v>97.751700830000004</v>
      </c>
      <c r="J13">
        <v>97.002267779999997</v>
      </c>
      <c r="K13">
        <v>107.8690471</v>
      </c>
    </row>
    <row r="14" spans="1:11" x14ac:dyDescent="0.4">
      <c r="A14">
        <v>313</v>
      </c>
      <c r="B14" t="s">
        <v>298</v>
      </c>
      <c r="C14" t="s">
        <v>917</v>
      </c>
      <c r="D14">
        <v>516</v>
      </c>
      <c r="E14">
        <v>469</v>
      </c>
      <c r="F14" t="s">
        <v>505</v>
      </c>
      <c r="G14">
        <v>99.386827499999995</v>
      </c>
      <c r="H14">
        <v>111.83315349999999</v>
      </c>
      <c r="I14">
        <v>119.1105429</v>
      </c>
      <c r="J14">
        <v>103.74716530000001</v>
      </c>
      <c r="K14">
        <v>94.379252080000001</v>
      </c>
    </row>
    <row r="15" spans="1:11" x14ac:dyDescent="0.4">
      <c r="A15">
        <v>321</v>
      </c>
      <c r="B15" t="s">
        <v>298</v>
      </c>
      <c r="C15" t="s">
        <v>917</v>
      </c>
      <c r="D15">
        <v>492</v>
      </c>
      <c r="E15">
        <v>489</v>
      </c>
      <c r="F15" t="s">
        <v>507</v>
      </c>
      <c r="G15">
        <v>106.131725</v>
      </c>
      <c r="H15">
        <v>102.3666307</v>
      </c>
      <c r="I15">
        <v>102.24829920000001</v>
      </c>
      <c r="J15">
        <v>102.24829920000001</v>
      </c>
      <c r="K15">
        <v>106.74489749999999</v>
      </c>
    </row>
    <row r="16" spans="1:11" x14ac:dyDescent="0.4">
      <c r="A16">
        <v>317</v>
      </c>
      <c r="B16" t="s">
        <v>61</v>
      </c>
      <c r="C16" t="s">
        <v>779</v>
      </c>
      <c r="D16">
        <v>530</v>
      </c>
      <c r="E16">
        <v>475</v>
      </c>
      <c r="F16" t="s">
        <v>851</v>
      </c>
      <c r="G16">
        <v>101.8395175</v>
      </c>
      <c r="H16">
        <v>113.7264581</v>
      </c>
      <c r="I16">
        <v>125.85544040000001</v>
      </c>
      <c r="J16">
        <v>104.4965983</v>
      </c>
      <c r="K16">
        <v>97.189626039999993</v>
      </c>
    </row>
    <row r="17" spans="1:11" x14ac:dyDescent="0.4">
      <c r="A17">
        <v>325</v>
      </c>
      <c r="B17" t="s">
        <v>61</v>
      </c>
      <c r="C17" t="s">
        <v>779</v>
      </c>
      <c r="D17">
        <v>500</v>
      </c>
      <c r="E17">
        <v>495</v>
      </c>
      <c r="F17" t="s">
        <v>852</v>
      </c>
      <c r="G17">
        <v>106.74489749999999</v>
      </c>
      <c r="H17">
        <v>105.6799137</v>
      </c>
      <c r="I17">
        <v>102.24829920000001</v>
      </c>
      <c r="J17">
        <v>105.9954644</v>
      </c>
      <c r="K17">
        <v>107.3069723</v>
      </c>
    </row>
    <row r="18" spans="1:11" x14ac:dyDescent="0.4">
      <c r="A18">
        <v>333</v>
      </c>
      <c r="B18" t="s">
        <v>61</v>
      </c>
      <c r="C18" t="s">
        <v>779</v>
      </c>
      <c r="D18">
        <v>490</v>
      </c>
      <c r="E18">
        <v>489</v>
      </c>
      <c r="F18" t="s">
        <v>850</v>
      </c>
      <c r="G18">
        <v>106.131725</v>
      </c>
      <c r="H18">
        <v>103.313283</v>
      </c>
      <c r="I18">
        <v>97.751700830000004</v>
      </c>
      <c r="J18">
        <v>100</v>
      </c>
      <c r="K18">
        <v>108.43112189999999</v>
      </c>
    </row>
    <row r="19" spans="1:11" x14ac:dyDescent="0.4">
      <c r="A19">
        <v>341</v>
      </c>
      <c r="B19" t="s">
        <v>61</v>
      </c>
      <c r="C19" t="s">
        <v>779</v>
      </c>
      <c r="D19">
        <v>493</v>
      </c>
      <c r="E19">
        <v>491</v>
      </c>
      <c r="F19" t="s">
        <v>849</v>
      </c>
      <c r="G19">
        <v>103.06586249999999</v>
      </c>
      <c r="H19">
        <v>101.89330459999999</v>
      </c>
      <c r="I19">
        <v>101.1241496</v>
      </c>
      <c r="J19">
        <v>108.24376359999999</v>
      </c>
      <c r="K19">
        <v>103.3724488</v>
      </c>
    </row>
    <row r="20" spans="1:11" x14ac:dyDescent="0.4">
      <c r="A20">
        <v>330</v>
      </c>
      <c r="B20" t="s">
        <v>574</v>
      </c>
      <c r="C20" t="s">
        <v>921</v>
      </c>
      <c r="D20">
        <v>479</v>
      </c>
      <c r="E20">
        <v>489</v>
      </c>
      <c r="F20" t="s">
        <v>583</v>
      </c>
      <c r="G20">
        <v>106.74489749999999</v>
      </c>
      <c r="H20">
        <v>98.580021579999993</v>
      </c>
      <c r="I20">
        <v>95.503401670000002</v>
      </c>
      <c r="J20">
        <v>97.002267779999997</v>
      </c>
      <c r="K20">
        <v>110.679421</v>
      </c>
    </row>
    <row r="21" spans="1:11" x14ac:dyDescent="0.4">
      <c r="A21">
        <v>338</v>
      </c>
      <c r="B21" t="s">
        <v>635</v>
      </c>
      <c r="C21" t="s">
        <v>922</v>
      </c>
      <c r="D21">
        <v>489</v>
      </c>
      <c r="E21">
        <v>484</v>
      </c>
      <c r="F21" t="s">
        <v>641</v>
      </c>
      <c r="G21">
        <v>102.45269</v>
      </c>
      <c r="H21">
        <v>101.41997840000001</v>
      </c>
      <c r="I21">
        <v>98.875850420000006</v>
      </c>
      <c r="J21">
        <v>106.74489749999999</v>
      </c>
      <c r="K21">
        <v>100.5620748</v>
      </c>
    </row>
    <row r="22" spans="1:11" x14ac:dyDescent="0.4">
      <c r="A22">
        <v>314</v>
      </c>
      <c r="B22" t="s">
        <v>643</v>
      </c>
      <c r="C22" t="s">
        <v>955</v>
      </c>
      <c r="D22">
        <v>512</v>
      </c>
      <c r="E22">
        <v>475</v>
      </c>
      <c r="F22" t="s">
        <v>649</v>
      </c>
      <c r="G22">
        <v>101.8395175</v>
      </c>
      <c r="H22">
        <v>108.5198705</v>
      </c>
      <c r="I22">
        <v>117.9863933</v>
      </c>
      <c r="J22">
        <v>102.24829920000001</v>
      </c>
      <c r="K22">
        <v>98.875850420000006</v>
      </c>
    </row>
    <row r="23" spans="1:11" x14ac:dyDescent="0.4">
      <c r="A23">
        <v>322</v>
      </c>
      <c r="B23" t="s">
        <v>643</v>
      </c>
      <c r="C23" t="s">
        <v>955</v>
      </c>
      <c r="D23">
        <v>492</v>
      </c>
      <c r="E23">
        <v>491</v>
      </c>
      <c r="F23" t="s">
        <v>650</v>
      </c>
      <c r="G23">
        <v>106.74489749999999</v>
      </c>
      <c r="H23">
        <v>100.47332609999999</v>
      </c>
      <c r="I23">
        <v>105.6207479</v>
      </c>
      <c r="J23">
        <v>105.24603140000001</v>
      </c>
      <c r="K23">
        <v>105.6207479</v>
      </c>
    </row>
    <row r="24" spans="1:11" x14ac:dyDescent="0.4">
      <c r="A24">
        <v>348</v>
      </c>
      <c r="B24" t="s">
        <v>693</v>
      </c>
      <c r="C24" t="s">
        <v>926</v>
      </c>
      <c r="D24">
        <v>470</v>
      </c>
      <c r="E24">
        <v>482</v>
      </c>
      <c r="F24" t="s">
        <v>696</v>
      </c>
      <c r="G24">
        <v>98.160482500000001</v>
      </c>
      <c r="H24">
        <v>97.160043160000001</v>
      </c>
      <c r="I24">
        <v>104.4965983</v>
      </c>
      <c r="J24">
        <v>111.2414958</v>
      </c>
      <c r="K24">
        <v>96.065476459999999</v>
      </c>
    </row>
    <row r="25" spans="1:11" x14ac:dyDescent="0.4">
      <c r="A25">
        <v>353</v>
      </c>
      <c r="B25" t="s">
        <v>693</v>
      </c>
      <c r="C25" t="s">
        <v>926</v>
      </c>
      <c r="D25">
        <v>478</v>
      </c>
      <c r="E25">
        <v>475</v>
      </c>
      <c r="F25" t="s">
        <v>698</v>
      </c>
      <c r="G25">
        <v>103.06586249999999</v>
      </c>
      <c r="H25">
        <v>99.526673900000006</v>
      </c>
      <c r="I25">
        <v>98.875850420000006</v>
      </c>
      <c r="J25">
        <v>100</v>
      </c>
      <c r="K25">
        <v>100.5620748</v>
      </c>
    </row>
    <row r="26" spans="1:11" x14ac:dyDescent="0.4">
      <c r="A26">
        <v>315</v>
      </c>
      <c r="B26" t="s">
        <v>714</v>
      </c>
      <c r="C26" t="s">
        <v>928</v>
      </c>
      <c r="D26">
        <v>524</v>
      </c>
      <c r="E26">
        <v>471</v>
      </c>
      <c r="F26" t="s">
        <v>723</v>
      </c>
      <c r="G26">
        <v>101.22634499999999</v>
      </c>
      <c r="H26">
        <v>112.3064796</v>
      </c>
      <c r="I26">
        <v>123.60714129999999</v>
      </c>
      <c r="J26">
        <v>102.9977322</v>
      </c>
      <c r="K26">
        <v>96.065476459999999</v>
      </c>
    </row>
    <row r="27" spans="1:11" x14ac:dyDescent="0.4">
      <c r="A27">
        <v>339</v>
      </c>
      <c r="B27" t="s">
        <v>714</v>
      </c>
      <c r="C27" t="s">
        <v>928</v>
      </c>
      <c r="D27">
        <v>484</v>
      </c>
      <c r="E27">
        <v>490</v>
      </c>
      <c r="F27" t="s">
        <v>715</v>
      </c>
      <c r="G27">
        <v>104.2922075</v>
      </c>
      <c r="H27">
        <v>97.160043160000001</v>
      </c>
      <c r="I27">
        <v>100</v>
      </c>
      <c r="J27">
        <v>108.24376359999999</v>
      </c>
      <c r="K27">
        <v>102.810374</v>
      </c>
    </row>
    <row r="28" spans="1:11" x14ac:dyDescent="0.4">
      <c r="A28">
        <v>331</v>
      </c>
      <c r="B28" t="s">
        <v>724</v>
      </c>
      <c r="C28" t="s">
        <v>956</v>
      </c>
      <c r="D28">
        <v>491</v>
      </c>
      <c r="E28">
        <v>478</v>
      </c>
      <c r="F28" t="s">
        <v>725</v>
      </c>
      <c r="G28">
        <v>107.35807</v>
      </c>
      <c r="H28">
        <v>102.8399568</v>
      </c>
      <c r="I28">
        <v>97.751700830000004</v>
      </c>
      <c r="J28">
        <v>94.004535559999994</v>
      </c>
      <c r="K28">
        <v>106.74489749999999</v>
      </c>
    </row>
    <row r="29" spans="1:11" x14ac:dyDescent="0.4">
      <c r="A29">
        <v>323</v>
      </c>
      <c r="B29" t="s">
        <v>741</v>
      </c>
      <c r="C29" t="s">
        <v>930</v>
      </c>
      <c r="D29">
        <v>490</v>
      </c>
      <c r="E29">
        <v>494</v>
      </c>
      <c r="F29" t="s">
        <v>747</v>
      </c>
      <c r="G29">
        <v>107.9712425</v>
      </c>
      <c r="H29">
        <v>100.47332609999999</v>
      </c>
      <c r="I29">
        <v>101.1241496</v>
      </c>
      <c r="J29">
        <v>102.9977322</v>
      </c>
      <c r="K29">
        <v>108.9931967</v>
      </c>
    </row>
    <row r="30" spans="1:11" x14ac:dyDescent="0.4">
      <c r="A30">
        <v>340</v>
      </c>
      <c r="B30" t="s">
        <v>763</v>
      </c>
      <c r="C30" t="s">
        <v>952</v>
      </c>
      <c r="D30">
        <v>490</v>
      </c>
      <c r="E30">
        <v>492</v>
      </c>
      <c r="F30" t="s">
        <v>767</v>
      </c>
      <c r="G30">
        <v>104.2922075</v>
      </c>
      <c r="H30">
        <v>99.053347720000005</v>
      </c>
      <c r="I30">
        <v>102.24829920000001</v>
      </c>
      <c r="J30">
        <v>106.74489749999999</v>
      </c>
      <c r="K30">
        <v>105.05867309999999</v>
      </c>
    </row>
    <row r="31" spans="1:11" x14ac:dyDescent="0.4">
      <c r="A31">
        <v>316</v>
      </c>
      <c r="B31" t="s">
        <v>776</v>
      </c>
      <c r="C31" t="s">
        <v>949</v>
      </c>
      <c r="D31">
        <v>523</v>
      </c>
      <c r="E31">
        <v>473</v>
      </c>
      <c r="F31" t="s">
        <v>782</v>
      </c>
      <c r="G31">
        <v>101.22634499999999</v>
      </c>
      <c r="H31">
        <v>113.2531319</v>
      </c>
      <c r="I31">
        <v>120.23469249999999</v>
      </c>
      <c r="J31">
        <v>103.74716530000001</v>
      </c>
      <c r="K31">
        <v>96.627551249999996</v>
      </c>
    </row>
    <row r="32" spans="1:11" x14ac:dyDescent="0.4">
      <c r="A32">
        <v>332</v>
      </c>
      <c r="B32" t="s">
        <v>785</v>
      </c>
      <c r="C32" t="s">
        <v>950</v>
      </c>
      <c r="D32">
        <v>486</v>
      </c>
      <c r="E32">
        <v>491</v>
      </c>
      <c r="F32" t="s">
        <v>789</v>
      </c>
      <c r="G32">
        <v>106.74489749999999</v>
      </c>
      <c r="H32">
        <v>100.47332609999999</v>
      </c>
      <c r="I32">
        <v>98.875850420000006</v>
      </c>
      <c r="J32">
        <v>98.501133890000006</v>
      </c>
      <c r="K32">
        <v>110.679421</v>
      </c>
    </row>
    <row r="33" spans="1:11" x14ac:dyDescent="0.4">
      <c r="A33">
        <v>324</v>
      </c>
      <c r="B33" t="s">
        <v>793</v>
      </c>
      <c r="C33" t="s">
        <v>935</v>
      </c>
      <c r="D33">
        <v>497</v>
      </c>
      <c r="E33">
        <v>496</v>
      </c>
      <c r="F33" t="s">
        <v>799</v>
      </c>
      <c r="G33">
        <v>108.58441500000001</v>
      </c>
      <c r="H33">
        <v>102.8399568</v>
      </c>
      <c r="I33">
        <v>102.24829920000001</v>
      </c>
      <c r="J33">
        <v>105.24603140000001</v>
      </c>
      <c r="K33">
        <v>108.43112189999999</v>
      </c>
    </row>
    <row r="34" spans="1:11" x14ac:dyDescent="0.4">
      <c r="A34">
        <v>346</v>
      </c>
      <c r="B34" t="s">
        <v>793</v>
      </c>
      <c r="C34" t="s">
        <v>935</v>
      </c>
      <c r="D34">
        <v>490</v>
      </c>
      <c r="E34">
        <v>471</v>
      </c>
      <c r="F34" t="s">
        <v>798</v>
      </c>
      <c r="G34">
        <v>106.131725</v>
      </c>
      <c r="H34">
        <v>103.78660910000001</v>
      </c>
      <c r="I34">
        <v>96.627551249999996</v>
      </c>
      <c r="J34">
        <v>97.751700830000004</v>
      </c>
      <c r="K34">
        <v>100</v>
      </c>
    </row>
    <row r="35" spans="1:11" x14ac:dyDescent="0.4">
      <c r="A35">
        <v>334</v>
      </c>
      <c r="B35" t="s">
        <v>865</v>
      </c>
      <c r="C35" t="s">
        <v>940</v>
      </c>
      <c r="D35">
        <v>490</v>
      </c>
      <c r="E35">
        <v>497</v>
      </c>
      <c r="F35" t="s">
        <v>874</v>
      </c>
      <c r="G35">
        <v>107.35807</v>
      </c>
      <c r="H35">
        <v>101.41997840000001</v>
      </c>
      <c r="I35">
        <v>100</v>
      </c>
      <c r="J35">
        <v>100</v>
      </c>
      <c r="K35">
        <v>112.9277202</v>
      </c>
    </row>
    <row r="36" spans="1:11" x14ac:dyDescent="0.4">
      <c r="A36">
        <v>342</v>
      </c>
      <c r="B36" t="s">
        <v>875</v>
      </c>
      <c r="C36" t="s">
        <v>941</v>
      </c>
      <c r="D36">
        <v>495</v>
      </c>
      <c r="E36">
        <v>497</v>
      </c>
      <c r="F36" t="s">
        <v>892</v>
      </c>
      <c r="G36">
        <v>105.5185525</v>
      </c>
      <c r="H36">
        <v>100</v>
      </c>
      <c r="I36">
        <v>103.3724488</v>
      </c>
      <c r="J36">
        <v>108.24376359999999</v>
      </c>
      <c r="K36">
        <v>106.74489749999999</v>
      </c>
    </row>
    <row r="37" spans="1:11" x14ac:dyDescent="0.4">
      <c r="A37">
        <v>350</v>
      </c>
      <c r="B37" t="s">
        <v>875</v>
      </c>
      <c r="C37" t="s">
        <v>941</v>
      </c>
      <c r="D37">
        <v>472</v>
      </c>
      <c r="E37">
        <v>484</v>
      </c>
      <c r="F37" t="s">
        <v>891</v>
      </c>
      <c r="G37">
        <v>98.160482500000001</v>
      </c>
      <c r="H37">
        <v>96.213390880000006</v>
      </c>
      <c r="I37">
        <v>100</v>
      </c>
      <c r="J37">
        <v>97.751700830000004</v>
      </c>
      <c r="K37">
        <v>107.3069723</v>
      </c>
    </row>
    <row r="38" spans="1:11" x14ac:dyDescent="0.4">
      <c r="A38">
        <v>318</v>
      </c>
      <c r="B38" t="s">
        <v>893</v>
      </c>
      <c r="C38" t="s">
        <v>958</v>
      </c>
      <c r="D38">
        <v>536</v>
      </c>
      <c r="E38">
        <v>479</v>
      </c>
      <c r="F38" t="s">
        <v>899</v>
      </c>
      <c r="G38">
        <v>102.45269</v>
      </c>
      <c r="H38">
        <v>115.14643649999999</v>
      </c>
      <c r="I38">
        <v>128.10373960000001</v>
      </c>
      <c r="J38">
        <v>105.9954644</v>
      </c>
      <c r="K38">
        <v>98.313775629999995</v>
      </c>
    </row>
    <row r="39" spans="1:11" x14ac:dyDescent="0.4">
      <c r="A39">
        <v>326</v>
      </c>
      <c r="B39" t="s">
        <v>893</v>
      </c>
      <c r="C39" t="s">
        <v>958</v>
      </c>
      <c r="D39">
        <v>502</v>
      </c>
      <c r="E39">
        <v>501</v>
      </c>
      <c r="F39" t="s">
        <v>900</v>
      </c>
      <c r="G39">
        <v>109.81076</v>
      </c>
      <c r="H39">
        <v>103.78660910000001</v>
      </c>
      <c r="I39">
        <v>103.3724488</v>
      </c>
      <c r="J39">
        <v>106.74489749999999</v>
      </c>
      <c r="K39">
        <v>110.11734629999999</v>
      </c>
    </row>
    <row r="40" spans="1:11" x14ac:dyDescent="0.4">
      <c r="A40">
        <v>335</v>
      </c>
      <c r="B40" t="s">
        <v>893</v>
      </c>
      <c r="C40" t="s">
        <v>958</v>
      </c>
      <c r="D40">
        <v>492</v>
      </c>
      <c r="E40">
        <v>496</v>
      </c>
      <c r="F40" t="s">
        <v>902</v>
      </c>
      <c r="G40">
        <v>108.58441500000001</v>
      </c>
      <c r="H40">
        <v>101.41997840000001</v>
      </c>
      <c r="I40">
        <v>100</v>
      </c>
      <c r="J40">
        <v>100</v>
      </c>
      <c r="K40">
        <v>112.36564540000001</v>
      </c>
    </row>
    <row r="41" spans="1:11" x14ac:dyDescent="0.4">
      <c r="A41">
        <v>319</v>
      </c>
      <c r="B41" t="s">
        <v>964</v>
      </c>
      <c r="C41" t="s">
        <v>965</v>
      </c>
      <c r="D41">
        <v>535</v>
      </c>
      <c r="E41">
        <v>481</v>
      </c>
      <c r="F41" t="s">
        <v>975</v>
      </c>
      <c r="G41">
        <v>103.06586249999999</v>
      </c>
      <c r="H41">
        <v>114.6731104</v>
      </c>
      <c r="I41">
        <v>126.97959</v>
      </c>
      <c r="J41">
        <v>105.9954644</v>
      </c>
      <c r="K41">
        <v>99.437925210000003</v>
      </c>
    </row>
    <row r="42" spans="1:11" x14ac:dyDescent="0.4">
      <c r="A42">
        <v>327</v>
      </c>
      <c r="B42" t="s">
        <v>964</v>
      </c>
      <c r="C42" t="s">
        <v>965</v>
      </c>
      <c r="D42">
        <v>506</v>
      </c>
      <c r="E42">
        <v>499</v>
      </c>
      <c r="F42" t="s">
        <v>976</v>
      </c>
      <c r="G42">
        <v>107.35807</v>
      </c>
      <c r="H42">
        <v>107.09989210000001</v>
      </c>
      <c r="I42">
        <v>104.4965983</v>
      </c>
      <c r="J42">
        <v>107.4943306</v>
      </c>
      <c r="K42">
        <v>108.43112189999999</v>
      </c>
    </row>
    <row r="43" spans="1:11" x14ac:dyDescent="0.4">
      <c r="A43">
        <v>343</v>
      </c>
      <c r="B43" t="s">
        <v>964</v>
      </c>
      <c r="C43" t="s">
        <v>965</v>
      </c>
      <c r="D43">
        <v>499</v>
      </c>
      <c r="E43">
        <v>495</v>
      </c>
      <c r="F43" t="s">
        <v>969</v>
      </c>
      <c r="G43">
        <v>103.679035</v>
      </c>
      <c r="H43">
        <v>103.78660910000001</v>
      </c>
      <c r="I43">
        <v>102.24829920000001</v>
      </c>
      <c r="J43">
        <v>109.74262969999999</v>
      </c>
      <c r="K43">
        <v>104.4965983</v>
      </c>
    </row>
    <row r="44" spans="1:11" x14ac:dyDescent="0.4">
      <c r="A44">
        <v>312</v>
      </c>
      <c r="B44" t="s">
        <v>87</v>
      </c>
      <c r="C44" t="s">
        <v>946</v>
      </c>
      <c r="D44">
        <v>516</v>
      </c>
      <c r="E44">
        <v>469</v>
      </c>
      <c r="F44" t="s">
        <v>504</v>
      </c>
      <c r="G44">
        <v>100.6131725</v>
      </c>
      <c r="H44">
        <v>110.4131751</v>
      </c>
      <c r="I44">
        <v>120.23469249999999</v>
      </c>
      <c r="J44">
        <v>101.4988661</v>
      </c>
      <c r="K44">
        <v>96.065476459999999</v>
      </c>
    </row>
  </sheetData>
  <phoneticPr fontId="1"/>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D3F64-2CFF-4D17-BC1B-C31978D635F1}">
  <dimension ref="A1:K31"/>
  <sheetViews>
    <sheetView topLeftCell="A10" workbookViewId="0">
      <selection sqref="A1:AE22"/>
    </sheetView>
  </sheetViews>
  <sheetFormatPr defaultRowHeight="16.5" x14ac:dyDescent="0.4"/>
  <cols>
    <col min="1" max="1" width="6.75" bestFit="1" customWidth="1"/>
    <col min="2" max="3" width="11.375" bestFit="1" customWidth="1"/>
    <col min="4" max="5" width="8.625" bestFit="1" customWidth="1"/>
    <col min="6" max="6" width="20.12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8.62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354</v>
      </c>
      <c r="B2" t="s">
        <v>32</v>
      </c>
      <c r="C2" t="s">
        <v>778</v>
      </c>
      <c r="D2">
        <v>488</v>
      </c>
      <c r="E2">
        <v>481</v>
      </c>
      <c r="F2" t="s">
        <v>518</v>
      </c>
      <c r="G2">
        <v>104.90537999999999</v>
      </c>
      <c r="H2">
        <v>102.8399568</v>
      </c>
      <c r="I2">
        <v>98.875850420000006</v>
      </c>
      <c r="J2">
        <v>103.74716530000001</v>
      </c>
      <c r="K2">
        <v>101.1241496</v>
      </c>
    </row>
    <row r="3" spans="1:11" x14ac:dyDescent="0.4">
      <c r="A3">
        <v>363</v>
      </c>
      <c r="B3" t="s">
        <v>32</v>
      </c>
      <c r="C3" t="s">
        <v>778</v>
      </c>
      <c r="D3">
        <v>483</v>
      </c>
      <c r="E3">
        <v>479</v>
      </c>
      <c r="F3" t="s">
        <v>522</v>
      </c>
      <c r="G3">
        <v>101.8395175</v>
      </c>
      <c r="H3">
        <v>100</v>
      </c>
      <c r="I3">
        <v>105.6207479</v>
      </c>
      <c r="J3">
        <v>103.74716530000001</v>
      </c>
      <c r="K3">
        <v>100</v>
      </c>
    </row>
    <row r="4" spans="1:11" x14ac:dyDescent="0.4">
      <c r="A4">
        <v>368</v>
      </c>
      <c r="B4" t="s">
        <v>32</v>
      </c>
      <c r="C4" t="s">
        <v>778</v>
      </c>
      <c r="D4">
        <v>479</v>
      </c>
      <c r="E4">
        <v>483</v>
      </c>
      <c r="F4" t="s">
        <v>524</v>
      </c>
      <c r="G4">
        <v>99.386827499999995</v>
      </c>
      <c r="H4">
        <v>98.106695439999996</v>
      </c>
      <c r="I4">
        <v>101.1241496</v>
      </c>
      <c r="J4">
        <v>101.4988661</v>
      </c>
      <c r="K4">
        <v>103.9345235</v>
      </c>
    </row>
    <row r="5" spans="1:11" x14ac:dyDescent="0.4">
      <c r="A5">
        <v>370</v>
      </c>
      <c r="B5" t="s">
        <v>32</v>
      </c>
      <c r="C5" t="s">
        <v>778</v>
      </c>
      <c r="D5">
        <v>456</v>
      </c>
      <c r="E5">
        <v>474</v>
      </c>
      <c r="F5" t="s">
        <v>525</v>
      </c>
      <c r="G5">
        <v>95.707792499999996</v>
      </c>
      <c r="H5">
        <v>95.266738599999996</v>
      </c>
      <c r="I5">
        <v>97.751700830000004</v>
      </c>
      <c r="J5">
        <v>105.9954644</v>
      </c>
      <c r="K5">
        <v>95.503401670000002</v>
      </c>
    </row>
    <row r="6" spans="1:11" x14ac:dyDescent="0.4">
      <c r="A6">
        <v>372</v>
      </c>
      <c r="B6" t="s">
        <v>32</v>
      </c>
      <c r="C6" t="s">
        <v>778</v>
      </c>
      <c r="D6">
        <v>462</v>
      </c>
      <c r="E6">
        <v>463</v>
      </c>
      <c r="F6" t="s">
        <v>526</v>
      </c>
      <c r="G6">
        <v>95.707792499999996</v>
      </c>
      <c r="H6">
        <v>94.793412459999999</v>
      </c>
      <c r="I6">
        <v>96.627551249999996</v>
      </c>
      <c r="J6">
        <v>93.255102500000007</v>
      </c>
      <c r="K6">
        <v>98.875850420000006</v>
      </c>
    </row>
    <row r="7" spans="1:11" x14ac:dyDescent="0.4">
      <c r="A7">
        <v>373</v>
      </c>
      <c r="B7" t="s">
        <v>32</v>
      </c>
      <c r="C7" t="s">
        <v>778</v>
      </c>
      <c r="D7">
        <v>476</v>
      </c>
      <c r="E7">
        <v>471</v>
      </c>
      <c r="F7" t="s">
        <v>527</v>
      </c>
      <c r="G7">
        <v>98.160482500000001</v>
      </c>
      <c r="H7">
        <v>99.526673900000006</v>
      </c>
      <c r="I7">
        <v>96.627551249999996</v>
      </c>
      <c r="J7">
        <v>94.753968610000001</v>
      </c>
      <c r="K7">
        <v>102.24829920000001</v>
      </c>
    </row>
    <row r="8" spans="1:11" x14ac:dyDescent="0.4">
      <c r="A8">
        <v>375</v>
      </c>
      <c r="B8" t="s">
        <v>32</v>
      </c>
      <c r="C8" t="s">
        <v>778</v>
      </c>
      <c r="D8">
        <v>492</v>
      </c>
      <c r="E8">
        <v>472</v>
      </c>
      <c r="F8" t="s">
        <v>528</v>
      </c>
      <c r="G8">
        <v>99.386827499999995</v>
      </c>
      <c r="H8">
        <v>103.313283</v>
      </c>
      <c r="I8">
        <v>112.36564540000001</v>
      </c>
      <c r="J8">
        <v>102.24829920000001</v>
      </c>
      <c r="K8">
        <v>97.189626039999993</v>
      </c>
    </row>
    <row r="9" spans="1:11" x14ac:dyDescent="0.4">
      <c r="A9">
        <v>356</v>
      </c>
      <c r="B9" t="s">
        <v>69</v>
      </c>
      <c r="C9" t="s">
        <v>912</v>
      </c>
      <c r="D9">
        <v>494</v>
      </c>
      <c r="E9">
        <v>490</v>
      </c>
      <c r="F9" t="s">
        <v>520</v>
      </c>
      <c r="G9">
        <v>107.9712425</v>
      </c>
      <c r="H9">
        <v>102.8399568</v>
      </c>
      <c r="I9">
        <v>100</v>
      </c>
      <c r="J9">
        <v>104.4965983</v>
      </c>
      <c r="K9">
        <v>105.6207479</v>
      </c>
    </row>
    <row r="10" spans="1:11" x14ac:dyDescent="0.4">
      <c r="A10">
        <v>378</v>
      </c>
      <c r="B10" t="s">
        <v>340</v>
      </c>
      <c r="C10" t="s">
        <v>918</v>
      </c>
      <c r="D10">
        <v>498</v>
      </c>
      <c r="E10">
        <v>481</v>
      </c>
      <c r="F10" t="s">
        <v>531</v>
      </c>
      <c r="G10">
        <v>98.773655000000005</v>
      </c>
      <c r="H10">
        <v>104.2599353</v>
      </c>
      <c r="I10">
        <v>117.9863933</v>
      </c>
      <c r="J10">
        <v>103.74716530000001</v>
      </c>
      <c r="K10">
        <v>101.1241496</v>
      </c>
    </row>
    <row r="11" spans="1:11" x14ac:dyDescent="0.4">
      <c r="A11">
        <v>365</v>
      </c>
      <c r="B11" t="s">
        <v>557</v>
      </c>
      <c r="C11" t="s">
        <v>919</v>
      </c>
      <c r="D11">
        <v>489</v>
      </c>
      <c r="E11">
        <v>488</v>
      </c>
      <c r="F11" t="s">
        <v>558</v>
      </c>
      <c r="G11">
        <v>104.2922075</v>
      </c>
      <c r="H11">
        <v>99.526673900000006</v>
      </c>
      <c r="I11">
        <v>108.9931967</v>
      </c>
      <c r="J11">
        <v>108.9931967</v>
      </c>
      <c r="K11">
        <v>101.1241496</v>
      </c>
    </row>
    <row r="12" spans="1:11" x14ac:dyDescent="0.4">
      <c r="A12">
        <v>358</v>
      </c>
      <c r="B12" t="s">
        <v>565</v>
      </c>
      <c r="C12" t="s">
        <v>948</v>
      </c>
      <c r="D12">
        <v>500</v>
      </c>
      <c r="E12">
        <v>493</v>
      </c>
      <c r="F12" t="s">
        <v>569</v>
      </c>
      <c r="G12">
        <v>108.58441500000001</v>
      </c>
      <c r="H12">
        <v>105.2065875</v>
      </c>
      <c r="I12">
        <v>100</v>
      </c>
      <c r="J12">
        <v>107.4943306</v>
      </c>
      <c r="K12">
        <v>105.05867309999999</v>
      </c>
    </row>
    <row r="13" spans="1:11" x14ac:dyDescent="0.4">
      <c r="A13">
        <v>357</v>
      </c>
      <c r="B13" t="s">
        <v>61</v>
      </c>
      <c r="C13" t="s">
        <v>779</v>
      </c>
      <c r="D13">
        <v>493</v>
      </c>
      <c r="E13">
        <v>492</v>
      </c>
      <c r="F13" t="s">
        <v>521</v>
      </c>
      <c r="G13">
        <v>108.58441500000001</v>
      </c>
      <c r="H13">
        <v>101.89330459999999</v>
      </c>
      <c r="I13">
        <v>100</v>
      </c>
      <c r="J13">
        <v>108.9931967</v>
      </c>
      <c r="K13">
        <v>103.3724488</v>
      </c>
    </row>
    <row r="14" spans="1:11" x14ac:dyDescent="0.4">
      <c r="A14">
        <v>377</v>
      </c>
      <c r="B14" t="s">
        <v>61</v>
      </c>
      <c r="C14" t="s">
        <v>779</v>
      </c>
      <c r="D14">
        <v>507</v>
      </c>
      <c r="E14">
        <v>471</v>
      </c>
      <c r="F14" t="s">
        <v>530</v>
      </c>
      <c r="G14">
        <v>98.773655000000005</v>
      </c>
      <c r="H14">
        <v>108.0465444</v>
      </c>
      <c r="I14">
        <v>119.1105429</v>
      </c>
      <c r="J14">
        <v>103.74716530000001</v>
      </c>
      <c r="K14">
        <v>95.503401670000002</v>
      </c>
    </row>
    <row r="15" spans="1:11" x14ac:dyDescent="0.4">
      <c r="A15">
        <v>379</v>
      </c>
      <c r="B15" t="s">
        <v>651</v>
      </c>
      <c r="C15" t="s">
        <v>923</v>
      </c>
      <c r="D15">
        <v>510</v>
      </c>
      <c r="E15">
        <v>478</v>
      </c>
      <c r="F15" t="s">
        <v>652</v>
      </c>
      <c r="G15">
        <v>100.6131725</v>
      </c>
      <c r="H15">
        <v>108.0465444</v>
      </c>
      <c r="I15">
        <v>119.1105429</v>
      </c>
      <c r="J15">
        <v>105.24603140000001</v>
      </c>
      <c r="K15">
        <v>98.313775629999995</v>
      </c>
    </row>
    <row r="16" spans="1:11" x14ac:dyDescent="0.4">
      <c r="A16">
        <v>366</v>
      </c>
      <c r="B16" t="s">
        <v>724</v>
      </c>
      <c r="C16" t="s">
        <v>956</v>
      </c>
      <c r="D16">
        <v>485</v>
      </c>
      <c r="E16">
        <v>493</v>
      </c>
      <c r="F16" t="s">
        <v>726</v>
      </c>
      <c r="G16">
        <v>104.2922075</v>
      </c>
      <c r="H16">
        <v>99.526673900000006</v>
      </c>
      <c r="I16">
        <v>104.4965983</v>
      </c>
      <c r="J16">
        <v>107.4943306</v>
      </c>
      <c r="K16">
        <v>105.05867309999999</v>
      </c>
    </row>
    <row r="17" spans="1:11" x14ac:dyDescent="0.4">
      <c r="A17">
        <v>371</v>
      </c>
      <c r="B17" t="s">
        <v>724</v>
      </c>
      <c r="C17" t="s">
        <v>956</v>
      </c>
      <c r="D17">
        <v>462</v>
      </c>
      <c r="E17">
        <v>482</v>
      </c>
      <c r="F17" t="s">
        <v>727</v>
      </c>
      <c r="G17">
        <v>96.320965000000001</v>
      </c>
      <c r="H17">
        <v>96.213390880000006</v>
      </c>
      <c r="I17">
        <v>101.1241496</v>
      </c>
      <c r="J17">
        <v>110.4920628</v>
      </c>
      <c r="K17">
        <v>96.627551249999996</v>
      </c>
    </row>
    <row r="18" spans="1:11" x14ac:dyDescent="0.4">
      <c r="A18">
        <v>359</v>
      </c>
      <c r="B18" t="s">
        <v>731</v>
      </c>
      <c r="C18" t="s">
        <v>929</v>
      </c>
      <c r="D18">
        <v>497</v>
      </c>
      <c r="E18">
        <v>497</v>
      </c>
      <c r="F18" t="s">
        <v>737</v>
      </c>
      <c r="G18">
        <v>107.35807</v>
      </c>
      <c r="H18">
        <v>104.7332614</v>
      </c>
      <c r="I18">
        <v>100</v>
      </c>
      <c r="J18">
        <v>108.9931967</v>
      </c>
      <c r="K18">
        <v>106.1828227</v>
      </c>
    </row>
    <row r="19" spans="1:11" x14ac:dyDescent="0.4">
      <c r="A19">
        <v>380</v>
      </c>
      <c r="B19" t="s">
        <v>748</v>
      </c>
      <c r="C19" t="s">
        <v>931</v>
      </c>
      <c r="D19">
        <v>509</v>
      </c>
      <c r="E19">
        <v>480</v>
      </c>
      <c r="F19" t="s">
        <v>755</v>
      </c>
      <c r="G19">
        <v>100.6131725</v>
      </c>
      <c r="H19">
        <v>108.9931967</v>
      </c>
      <c r="I19">
        <v>115.73809420000001</v>
      </c>
      <c r="J19">
        <v>105.9954644</v>
      </c>
      <c r="K19">
        <v>98.875850420000006</v>
      </c>
    </row>
    <row r="20" spans="1:11" x14ac:dyDescent="0.4">
      <c r="A20">
        <v>367</v>
      </c>
      <c r="B20" t="s">
        <v>785</v>
      </c>
      <c r="C20" t="s">
        <v>950</v>
      </c>
      <c r="D20">
        <v>491</v>
      </c>
      <c r="E20">
        <v>495</v>
      </c>
      <c r="F20" t="s">
        <v>786</v>
      </c>
      <c r="G20">
        <v>103.679035</v>
      </c>
      <c r="H20">
        <v>101.89330459999999</v>
      </c>
      <c r="I20">
        <v>106.74489749999999</v>
      </c>
      <c r="J20">
        <v>108.9931967</v>
      </c>
      <c r="K20">
        <v>105.05867309999999</v>
      </c>
    </row>
    <row r="21" spans="1:11" x14ac:dyDescent="0.4">
      <c r="A21">
        <v>360</v>
      </c>
      <c r="B21" t="s">
        <v>801</v>
      </c>
      <c r="C21" t="s">
        <v>936</v>
      </c>
      <c r="D21">
        <v>506</v>
      </c>
      <c r="E21">
        <v>498</v>
      </c>
      <c r="F21" t="s">
        <v>802</v>
      </c>
      <c r="G21">
        <v>110.42393250000001</v>
      </c>
      <c r="H21">
        <v>106.15323979999999</v>
      </c>
      <c r="I21">
        <v>101.1241496</v>
      </c>
      <c r="J21">
        <v>108.9931967</v>
      </c>
      <c r="K21">
        <v>106.74489749999999</v>
      </c>
    </row>
    <row r="22" spans="1:11" x14ac:dyDescent="0.4">
      <c r="A22">
        <v>381</v>
      </c>
      <c r="B22" t="s">
        <v>801</v>
      </c>
      <c r="C22" t="s">
        <v>936</v>
      </c>
      <c r="D22">
        <v>516</v>
      </c>
      <c r="E22">
        <v>482</v>
      </c>
      <c r="F22" t="s">
        <v>805</v>
      </c>
      <c r="G22">
        <v>101.22634499999999</v>
      </c>
      <c r="H22">
        <v>109.46652280000001</v>
      </c>
      <c r="I22">
        <v>121.3588421</v>
      </c>
      <c r="J22">
        <v>106.74489749999999</v>
      </c>
      <c r="K22">
        <v>99.437925210000003</v>
      </c>
    </row>
    <row r="23" spans="1:11" x14ac:dyDescent="0.4">
      <c r="A23">
        <v>369</v>
      </c>
      <c r="B23" t="s">
        <v>811</v>
      </c>
      <c r="C23" t="s">
        <v>937</v>
      </c>
      <c r="D23">
        <v>487</v>
      </c>
      <c r="E23">
        <v>489</v>
      </c>
      <c r="F23" t="s">
        <v>825</v>
      </c>
      <c r="G23">
        <v>101.22634499999999</v>
      </c>
      <c r="H23">
        <v>100</v>
      </c>
      <c r="I23">
        <v>102.24829920000001</v>
      </c>
      <c r="J23">
        <v>102.9977322</v>
      </c>
      <c r="K23">
        <v>106.1828227</v>
      </c>
    </row>
    <row r="24" spans="1:11" x14ac:dyDescent="0.4">
      <c r="A24">
        <v>374</v>
      </c>
      <c r="B24" t="s">
        <v>811</v>
      </c>
      <c r="C24" t="s">
        <v>937</v>
      </c>
      <c r="D24">
        <v>482</v>
      </c>
      <c r="E24">
        <v>479</v>
      </c>
      <c r="F24" t="s">
        <v>839</v>
      </c>
      <c r="G24">
        <v>100</v>
      </c>
      <c r="H24">
        <v>100.47332609999999</v>
      </c>
      <c r="I24">
        <v>97.751700830000004</v>
      </c>
      <c r="J24">
        <v>96.252834719999996</v>
      </c>
      <c r="K24">
        <v>105.6207479</v>
      </c>
    </row>
    <row r="25" spans="1:11" x14ac:dyDescent="0.4">
      <c r="A25">
        <v>382</v>
      </c>
      <c r="B25" t="s">
        <v>854</v>
      </c>
      <c r="C25" t="s">
        <v>939</v>
      </c>
      <c r="D25">
        <v>516</v>
      </c>
      <c r="E25">
        <v>483</v>
      </c>
      <c r="F25" t="s">
        <v>855</v>
      </c>
      <c r="G25">
        <v>101.22634499999999</v>
      </c>
      <c r="H25">
        <v>109.9398489</v>
      </c>
      <c r="I25">
        <v>120.23469249999999</v>
      </c>
      <c r="J25">
        <v>107.4943306</v>
      </c>
      <c r="K25">
        <v>99.437925210000003</v>
      </c>
    </row>
    <row r="26" spans="1:11" x14ac:dyDescent="0.4">
      <c r="A26">
        <v>361</v>
      </c>
      <c r="B26" t="s">
        <v>893</v>
      </c>
      <c r="C26" t="s">
        <v>958</v>
      </c>
      <c r="D26">
        <v>512</v>
      </c>
      <c r="E26">
        <v>502</v>
      </c>
      <c r="F26" t="s">
        <v>894</v>
      </c>
      <c r="G26">
        <v>112.26345000000001</v>
      </c>
      <c r="H26">
        <v>107.09989210000001</v>
      </c>
      <c r="I26">
        <v>102.24829920000001</v>
      </c>
      <c r="J26">
        <v>110.4920628</v>
      </c>
      <c r="K26">
        <v>107.8690471</v>
      </c>
    </row>
    <row r="27" spans="1:11" x14ac:dyDescent="0.4">
      <c r="A27">
        <v>383</v>
      </c>
      <c r="B27" t="s">
        <v>893</v>
      </c>
      <c r="C27" t="s">
        <v>958</v>
      </c>
      <c r="D27">
        <v>521</v>
      </c>
      <c r="E27">
        <v>487</v>
      </c>
      <c r="F27" t="s">
        <v>895</v>
      </c>
      <c r="G27">
        <v>101.8395175</v>
      </c>
      <c r="H27">
        <v>110.4131751</v>
      </c>
      <c r="I27">
        <v>123.60714129999999</v>
      </c>
      <c r="J27">
        <v>108.9931967</v>
      </c>
      <c r="K27">
        <v>100.5620748</v>
      </c>
    </row>
    <row r="28" spans="1:11" x14ac:dyDescent="0.4">
      <c r="A28">
        <v>355</v>
      </c>
      <c r="B28" t="s">
        <v>62</v>
      </c>
      <c r="C28" t="s">
        <v>943</v>
      </c>
      <c r="D28">
        <v>496</v>
      </c>
      <c r="E28">
        <v>487</v>
      </c>
      <c r="F28" t="s">
        <v>519</v>
      </c>
      <c r="G28">
        <v>106.74489749999999</v>
      </c>
      <c r="H28">
        <v>104.7332614</v>
      </c>
      <c r="I28">
        <v>100</v>
      </c>
      <c r="J28">
        <v>105.24603140000001</v>
      </c>
      <c r="K28">
        <v>103.3724488</v>
      </c>
    </row>
    <row r="29" spans="1:11" x14ac:dyDescent="0.4">
      <c r="A29">
        <v>376</v>
      </c>
      <c r="B29" t="s">
        <v>62</v>
      </c>
      <c r="C29" t="s">
        <v>943</v>
      </c>
      <c r="D29">
        <v>502</v>
      </c>
      <c r="E29">
        <v>476</v>
      </c>
      <c r="F29" t="s">
        <v>529</v>
      </c>
      <c r="G29">
        <v>100</v>
      </c>
      <c r="H29">
        <v>106.15323979999999</v>
      </c>
      <c r="I29">
        <v>115.73809420000001</v>
      </c>
      <c r="J29">
        <v>103.74716530000001</v>
      </c>
      <c r="K29">
        <v>98.313775629999995</v>
      </c>
    </row>
    <row r="30" spans="1:11" x14ac:dyDescent="0.4">
      <c r="A30">
        <v>362</v>
      </c>
      <c r="B30" t="s">
        <v>977</v>
      </c>
      <c r="C30" t="s">
        <v>978</v>
      </c>
      <c r="D30">
        <v>510</v>
      </c>
      <c r="E30">
        <v>506</v>
      </c>
      <c r="F30" t="s">
        <v>979</v>
      </c>
      <c r="G30">
        <v>111.037105</v>
      </c>
      <c r="H30">
        <v>107.09989210000001</v>
      </c>
      <c r="I30">
        <v>102.24829920000001</v>
      </c>
      <c r="J30">
        <v>111.9909289</v>
      </c>
      <c r="K30">
        <v>108.9931967</v>
      </c>
    </row>
    <row r="31" spans="1:11" x14ac:dyDescent="0.4">
      <c r="A31">
        <v>364</v>
      </c>
      <c r="B31" t="s">
        <v>95</v>
      </c>
      <c r="C31" t="s">
        <v>944</v>
      </c>
      <c r="D31">
        <v>491</v>
      </c>
      <c r="E31">
        <v>485</v>
      </c>
      <c r="F31" t="s">
        <v>523</v>
      </c>
      <c r="G31">
        <v>103.679035</v>
      </c>
      <c r="H31">
        <v>101.89330459999999</v>
      </c>
      <c r="I31">
        <v>106.74489749999999</v>
      </c>
      <c r="J31">
        <v>105.24603140000001</v>
      </c>
      <c r="K31">
        <v>102.24829920000001</v>
      </c>
    </row>
  </sheetData>
  <phoneticPr fontId="1"/>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6427C-3092-41C3-8830-99C2698AAC86}">
  <dimension ref="A1:K9"/>
  <sheetViews>
    <sheetView workbookViewId="0">
      <selection sqref="A1:AE9"/>
    </sheetView>
  </sheetViews>
  <sheetFormatPr defaultRowHeight="16.5" x14ac:dyDescent="0.4"/>
  <cols>
    <col min="1" max="1" width="6.75" bestFit="1" customWidth="1"/>
    <col min="2" max="3" width="11.375" bestFit="1" customWidth="1"/>
    <col min="4" max="5" width="8.625" bestFit="1" customWidth="1"/>
    <col min="6" max="6" width="12.87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2"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384</v>
      </c>
      <c r="B2" t="s">
        <v>32</v>
      </c>
      <c r="C2" t="s">
        <v>778</v>
      </c>
      <c r="D2">
        <v>481</v>
      </c>
      <c r="E2">
        <v>463</v>
      </c>
      <c r="F2" t="s">
        <v>532</v>
      </c>
      <c r="G2">
        <v>98.773655000000005</v>
      </c>
      <c r="H2">
        <v>103.78660910000001</v>
      </c>
      <c r="I2">
        <v>100</v>
      </c>
      <c r="J2">
        <v>97.751700830000004</v>
      </c>
      <c r="K2">
        <v>95.503401670000002</v>
      </c>
    </row>
    <row r="3" spans="1:11" x14ac:dyDescent="0.4">
      <c r="A3">
        <v>386</v>
      </c>
      <c r="B3" t="s">
        <v>32</v>
      </c>
      <c r="C3" t="s">
        <v>778</v>
      </c>
      <c r="D3">
        <v>457</v>
      </c>
      <c r="E3">
        <v>469</v>
      </c>
      <c r="F3" t="s">
        <v>533</v>
      </c>
      <c r="G3">
        <v>93.868274999999997</v>
      </c>
      <c r="H3">
        <v>93.846760180000004</v>
      </c>
      <c r="I3">
        <v>96.627551249999996</v>
      </c>
      <c r="J3">
        <v>94.753968610000001</v>
      </c>
      <c r="K3">
        <v>101.1241496</v>
      </c>
    </row>
    <row r="4" spans="1:11" x14ac:dyDescent="0.4">
      <c r="A4">
        <v>387</v>
      </c>
      <c r="B4" t="s">
        <v>32</v>
      </c>
      <c r="C4" t="s">
        <v>778</v>
      </c>
      <c r="D4">
        <v>489</v>
      </c>
      <c r="E4">
        <v>468</v>
      </c>
      <c r="F4" t="s">
        <v>534</v>
      </c>
      <c r="G4">
        <v>98.773655000000005</v>
      </c>
      <c r="H4">
        <v>102.8399568</v>
      </c>
      <c r="I4">
        <v>111.2414958</v>
      </c>
      <c r="J4">
        <v>99.250566939999999</v>
      </c>
      <c r="K4">
        <v>97.189626039999993</v>
      </c>
    </row>
    <row r="5" spans="1:11" x14ac:dyDescent="0.4">
      <c r="A5">
        <v>388</v>
      </c>
      <c r="B5" t="s">
        <v>32</v>
      </c>
      <c r="C5" t="s">
        <v>778</v>
      </c>
      <c r="D5">
        <v>456</v>
      </c>
      <c r="E5">
        <v>473</v>
      </c>
      <c r="F5" t="s">
        <v>535</v>
      </c>
      <c r="G5">
        <v>95.707792499999996</v>
      </c>
      <c r="H5">
        <v>95.740064739999994</v>
      </c>
      <c r="I5">
        <v>96.627551249999996</v>
      </c>
      <c r="J5">
        <v>105.24603140000001</v>
      </c>
      <c r="K5">
        <v>95.503401670000002</v>
      </c>
    </row>
    <row r="6" spans="1:11" x14ac:dyDescent="0.4">
      <c r="A6">
        <v>389</v>
      </c>
      <c r="B6" t="s">
        <v>32</v>
      </c>
      <c r="C6" t="s">
        <v>778</v>
      </c>
      <c r="D6">
        <v>469</v>
      </c>
      <c r="E6">
        <v>471</v>
      </c>
      <c r="F6" t="s">
        <v>536</v>
      </c>
      <c r="G6">
        <v>100</v>
      </c>
      <c r="H6">
        <v>98.106695439999996</v>
      </c>
      <c r="I6">
        <v>97.751700830000004</v>
      </c>
      <c r="J6">
        <v>97.751700830000004</v>
      </c>
      <c r="K6">
        <v>100</v>
      </c>
    </row>
    <row r="7" spans="1:11" x14ac:dyDescent="0.4">
      <c r="A7">
        <v>390</v>
      </c>
      <c r="B7" t="s">
        <v>32</v>
      </c>
      <c r="C7" t="s">
        <v>778</v>
      </c>
      <c r="D7">
        <v>464</v>
      </c>
      <c r="E7">
        <v>470</v>
      </c>
      <c r="F7" t="s">
        <v>537</v>
      </c>
      <c r="G7">
        <v>97.547309999999996</v>
      </c>
      <c r="H7">
        <v>94.320086320000001</v>
      </c>
      <c r="I7">
        <v>96.627551249999996</v>
      </c>
      <c r="J7">
        <v>98.501133890000006</v>
      </c>
      <c r="K7">
        <v>98.875850420000006</v>
      </c>
    </row>
    <row r="8" spans="1:11" x14ac:dyDescent="0.4">
      <c r="A8">
        <v>391</v>
      </c>
      <c r="B8" t="s">
        <v>32</v>
      </c>
      <c r="C8" t="s">
        <v>778</v>
      </c>
      <c r="D8">
        <v>474</v>
      </c>
      <c r="E8">
        <v>465</v>
      </c>
      <c r="F8" t="s">
        <v>538</v>
      </c>
      <c r="G8">
        <v>101.8395175</v>
      </c>
      <c r="H8">
        <v>95.740064739999994</v>
      </c>
      <c r="I8">
        <v>96.627551249999996</v>
      </c>
      <c r="J8">
        <v>94.753968610000001</v>
      </c>
      <c r="K8">
        <v>98.875850420000006</v>
      </c>
    </row>
    <row r="9" spans="1:11" x14ac:dyDescent="0.4">
      <c r="A9">
        <v>385</v>
      </c>
      <c r="B9" t="s">
        <v>574</v>
      </c>
      <c r="C9" t="s">
        <v>921</v>
      </c>
      <c r="D9">
        <v>489</v>
      </c>
      <c r="E9">
        <v>469</v>
      </c>
      <c r="F9" t="s">
        <v>593</v>
      </c>
      <c r="G9">
        <v>100.6131725</v>
      </c>
      <c r="H9">
        <v>105.6799137</v>
      </c>
      <c r="I9">
        <v>101.1241496</v>
      </c>
      <c r="J9">
        <v>99.250566939999999</v>
      </c>
      <c r="K9">
        <v>97.751700830000004</v>
      </c>
    </row>
  </sheetData>
  <phoneticPr fontId="1"/>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F3228-BBD7-4034-B524-C6CB7DDA8DB1}">
  <dimension ref="A1:K11"/>
  <sheetViews>
    <sheetView workbookViewId="0">
      <selection sqref="A1:AE9"/>
    </sheetView>
  </sheetViews>
  <sheetFormatPr defaultRowHeight="16.5" x14ac:dyDescent="0.4"/>
  <cols>
    <col min="1" max="1" width="6.75" bestFit="1" customWidth="1"/>
    <col min="2" max="3" width="11.375" bestFit="1" customWidth="1"/>
    <col min="4" max="5" width="8.625" bestFit="1" customWidth="1"/>
    <col min="6" max="6" width="19.37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8.125"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392</v>
      </c>
      <c r="B2" t="s">
        <v>32</v>
      </c>
      <c r="C2" t="s">
        <v>778</v>
      </c>
      <c r="D2">
        <v>491</v>
      </c>
      <c r="E2">
        <v>483</v>
      </c>
      <c r="F2" t="s">
        <v>539</v>
      </c>
      <c r="G2">
        <v>106.131725</v>
      </c>
      <c r="H2">
        <v>102.8399568</v>
      </c>
      <c r="I2">
        <v>100</v>
      </c>
      <c r="J2">
        <v>101.4988661</v>
      </c>
      <c r="K2">
        <v>103.9345235</v>
      </c>
    </row>
    <row r="3" spans="1:11" x14ac:dyDescent="0.4">
      <c r="A3">
        <v>398</v>
      </c>
      <c r="B3" t="s">
        <v>32</v>
      </c>
      <c r="C3" t="s">
        <v>778</v>
      </c>
      <c r="D3">
        <v>480</v>
      </c>
      <c r="E3">
        <v>478</v>
      </c>
      <c r="F3" t="s">
        <v>542</v>
      </c>
      <c r="G3">
        <v>103.06586249999999</v>
      </c>
      <c r="H3">
        <v>101.41997840000001</v>
      </c>
      <c r="I3">
        <v>96.627551249999996</v>
      </c>
      <c r="J3">
        <v>96.252834719999996</v>
      </c>
      <c r="K3">
        <v>105.05867309999999</v>
      </c>
    </row>
    <row r="4" spans="1:11" x14ac:dyDescent="0.4">
      <c r="A4">
        <v>399</v>
      </c>
      <c r="B4" t="s">
        <v>69</v>
      </c>
      <c r="C4" t="s">
        <v>912</v>
      </c>
      <c r="D4">
        <v>486</v>
      </c>
      <c r="E4">
        <v>486</v>
      </c>
      <c r="F4" t="s">
        <v>543</v>
      </c>
      <c r="G4">
        <v>104.90537999999999</v>
      </c>
      <c r="H4">
        <v>102.3666307</v>
      </c>
      <c r="I4">
        <v>97.751700830000004</v>
      </c>
      <c r="J4">
        <v>97.751700830000004</v>
      </c>
      <c r="K4">
        <v>108.43112189999999</v>
      </c>
    </row>
    <row r="5" spans="1:11" x14ac:dyDescent="0.4">
      <c r="A5">
        <v>394</v>
      </c>
      <c r="B5" t="s">
        <v>142</v>
      </c>
      <c r="C5" t="s">
        <v>916</v>
      </c>
      <c r="D5">
        <v>500</v>
      </c>
      <c r="E5">
        <v>489</v>
      </c>
      <c r="F5" t="s">
        <v>541</v>
      </c>
      <c r="G5">
        <v>107.35807</v>
      </c>
      <c r="H5">
        <v>106.15323979999999</v>
      </c>
      <c r="I5">
        <v>100</v>
      </c>
      <c r="J5">
        <v>105.24603140000001</v>
      </c>
      <c r="K5">
        <v>104.4965983</v>
      </c>
    </row>
    <row r="6" spans="1:11" x14ac:dyDescent="0.4">
      <c r="A6">
        <v>395</v>
      </c>
      <c r="B6" t="s">
        <v>574</v>
      </c>
      <c r="C6" t="s">
        <v>921</v>
      </c>
      <c r="D6">
        <v>493</v>
      </c>
      <c r="E6">
        <v>497</v>
      </c>
      <c r="F6" t="s">
        <v>594</v>
      </c>
      <c r="G6">
        <v>107.9712425</v>
      </c>
      <c r="H6">
        <v>102.3666307</v>
      </c>
      <c r="I6">
        <v>100</v>
      </c>
      <c r="J6">
        <v>105.24603140000001</v>
      </c>
      <c r="K6">
        <v>108.9931967</v>
      </c>
    </row>
    <row r="7" spans="1:11" x14ac:dyDescent="0.4">
      <c r="A7">
        <v>396</v>
      </c>
      <c r="B7" t="s">
        <v>714</v>
      </c>
      <c r="C7" t="s">
        <v>928</v>
      </c>
      <c r="D7">
        <v>498</v>
      </c>
      <c r="E7">
        <v>493</v>
      </c>
      <c r="F7" t="s">
        <v>721</v>
      </c>
      <c r="G7">
        <v>109.81076</v>
      </c>
      <c r="H7">
        <v>102.8399568</v>
      </c>
      <c r="I7">
        <v>101.1241496</v>
      </c>
      <c r="J7">
        <v>102.9977322</v>
      </c>
      <c r="K7">
        <v>108.43112189999999</v>
      </c>
    </row>
    <row r="8" spans="1:11" x14ac:dyDescent="0.4">
      <c r="A8">
        <v>400</v>
      </c>
      <c r="B8" t="s">
        <v>763</v>
      </c>
      <c r="C8" t="s">
        <v>952</v>
      </c>
      <c r="D8">
        <v>483</v>
      </c>
      <c r="E8">
        <v>491</v>
      </c>
      <c r="F8" t="s">
        <v>765</v>
      </c>
      <c r="G8">
        <v>105.5185525</v>
      </c>
      <c r="H8">
        <v>100.47332609999999</v>
      </c>
      <c r="I8">
        <v>97.751700830000004</v>
      </c>
      <c r="J8">
        <v>97.002267779999997</v>
      </c>
      <c r="K8">
        <v>111.8035706</v>
      </c>
    </row>
    <row r="9" spans="1:11" x14ac:dyDescent="0.4">
      <c r="A9">
        <v>401</v>
      </c>
      <c r="B9" t="s">
        <v>865</v>
      </c>
      <c r="C9" t="s">
        <v>940</v>
      </c>
      <c r="D9">
        <v>487</v>
      </c>
      <c r="E9">
        <v>494</v>
      </c>
      <c r="F9" t="s">
        <v>871</v>
      </c>
      <c r="G9">
        <v>105.5185525</v>
      </c>
      <c r="H9">
        <v>102.3666307</v>
      </c>
      <c r="I9">
        <v>97.751700830000004</v>
      </c>
      <c r="J9">
        <v>100</v>
      </c>
      <c r="K9">
        <v>111.2414958</v>
      </c>
    </row>
    <row r="10" spans="1:11" x14ac:dyDescent="0.4">
      <c r="A10">
        <v>397</v>
      </c>
      <c r="B10" t="s">
        <v>903</v>
      </c>
      <c r="C10" t="s">
        <v>942</v>
      </c>
      <c r="D10">
        <v>506</v>
      </c>
      <c r="E10">
        <v>493</v>
      </c>
      <c r="F10" t="s">
        <v>959</v>
      </c>
      <c r="G10">
        <v>108.58441500000001</v>
      </c>
      <c r="H10">
        <v>107.5732182</v>
      </c>
      <c r="I10">
        <v>101.1241496</v>
      </c>
      <c r="J10">
        <v>105.24603140000001</v>
      </c>
      <c r="K10">
        <v>106.74489749999999</v>
      </c>
    </row>
    <row r="11" spans="1:11" x14ac:dyDescent="0.4">
      <c r="A11">
        <v>393</v>
      </c>
      <c r="B11" t="s">
        <v>87</v>
      </c>
      <c r="C11" t="s">
        <v>946</v>
      </c>
      <c r="D11">
        <v>499</v>
      </c>
      <c r="E11">
        <v>489</v>
      </c>
      <c r="F11" t="s">
        <v>540</v>
      </c>
      <c r="G11">
        <v>107.9712425</v>
      </c>
      <c r="H11">
        <v>104.7332614</v>
      </c>
      <c r="I11">
        <v>101.1241496</v>
      </c>
      <c r="J11">
        <v>102.9977322</v>
      </c>
      <c r="K11">
        <v>106.1828227</v>
      </c>
    </row>
  </sheetData>
  <phoneticPr fontId="1"/>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2FFFF-97A2-470E-9A69-B6BA2758278E}">
  <dimension ref="A1:K8"/>
  <sheetViews>
    <sheetView workbookViewId="0">
      <selection sqref="A1:AE6"/>
    </sheetView>
  </sheetViews>
  <sheetFormatPr defaultRowHeight="16.5" x14ac:dyDescent="0.4"/>
  <cols>
    <col min="1" max="1" width="6.75" bestFit="1" customWidth="1"/>
    <col min="2" max="3" width="11.375" bestFit="1" customWidth="1"/>
    <col min="4" max="5" width="8.625" bestFit="1" customWidth="1"/>
    <col min="6" max="6" width="20.12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7"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 min="33" max="33" width="11.125" bestFit="1" customWidth="1"/>
    <col min="34" max="34" width="11.5" bestFit="1" customWidth="1"/>
    <col min="35" max="35" width="10.875" bestFit="1" customWidth="1"/>
    <col min="36" max="36" width="9.875" bestFit="1" customWidth="1"/>
    <col min="37" max="37" width="10.5" bestFit="1" customWidth="1"/>
    <col min="38" max="38" width="12.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402</v>
      </c>
      <c r="B2" t="s">
        <v>32</v>
      </c>
      <c r="C2" t="s">
        <v>778</v>
      </c>
      <c r="D2">
        <v>490</v>
      </c>
      <c r="E2">
        <v>480</v>
      </c>
      <c r="F2" t="s">
        <v>544</v>
      </c>
      <c r="G2">
        <v>105.5185525</v>
      </c>
      <c r="H2">
        <v>103.313283</v>
      </c>
      <c r="I2">
        <v>98.875850420000006</v>
      </c>
      <c r="J2">
        <v>104.4965983</v>
      </c>
      <c r="K2">
        <v>100</v>
      </c>
    </row>
    <row r="3" spans="1:11" x14ac:dyDescent="0.4">
      <c r="A3">
        <v>406</v>
      </c>
      <c r="B3" t="s">
        <v>32</v>
      </c>
      <c r="C3" t="s">
        <v>778</v>
      </c>
      <c r="D3">
        <v>469</v>
      </c>
      <c r="E3">
        <v>478</v>
      </c>
      <c r="F3" t="s">
        <v>546</v>
      </c>
      <c r="G3">
        <v>96.934137500000006</v>
      </c>
      <c r="H3">
        <v>97.633369299999998</v>
      </c>
      <c r="I3">
        <v>104.4965983</v>
      </c>
      <c r="J3">
        <v>111.2414958</v>
      </c>
      <c r="K3">
        <v>93.817177290000004</v>
      </c>
    </row>
    <row r="4" spans="1:11" x14ac:dyDescent="0.4">
      <c r="A4">
        <v>403</v>
      </c>
      <c r="B4" t="s">
        <v>142</v>
      </c>
      <c r="C4" t="s">
        <v>916</v>
      </c>
      <c r="D4">
        <v>498</v>
      </c>
      <c r="E4">
        <v>486</v>
      </c>
      <c r="F4" t="s">
        <v>545</v>
      </c>
      <c r="G4">
        <v>107.35807</v>
      </c>
      <c r="H4">
        <v>105.2065875</v>
      </c>
      <c r="I4">
        <v>100</v>
      </c>
      <c r="J4">
        <v>105.9954644</v>
      </c>
      <c r="K4">
        <v>102.24829920000001</v>
      </c>
    </row>
    <row r="5" spans="1:11" x14ac:dyDescent="0.4">
      <c r="A5">
        <v>407</v>
      </c>
      <c r="B5" t="s">
        <v>565</v>
      </c>
      <c r="C5" t="s">
        <v>948</v>
      </c>
      <c r="D5">
        <v>475</v>
      </c>
      <c r="E5">
        <v>486</v>
      </c>
      <c r="F5" t="s">
        <v>567</v>
      </c>
      <c r="G5">
        <v>97.547309999999996</v>
      </c>
      <c r="H5">
        <v>98.580021579999993</v>
      </c>
      <c r="I5">
        <v>107.8690471</v>
      </c>
      <c r="J5">
        <v>115.73809420000001</v>
      </c>
      <c r="K5">
        <v>94.941326880000005</v>
      </c>
    </row>
    <row r="6" spans="1:11" x14ac:dyDescent="0.4">
      <c r="A6">
        <v>404</v>
      </c>
      <c r="B6" t="s">
        <v>714</v>
      </c>
      <c r="C6" t="s">
        <v>928</v>
      </c>
      <c r="D6">
        <v>497</v>
      </c>
      <c r="E6">
        <v>488</v>
      </c>
      <c r="F6" t="s">
        <v>722</v>
      </c>
      <c r="G6">
        <v>109.1975875</v>
      </c>
      <c r="H6">
        <v>103.313283</v>
      </c>
      <c r="I6">
        <v>100</v>
      </c>
      <c r="J6">
        <v>104.4965983</v>
      </c>
      <c r="K6">
        <v>104.4965983</v>
      </c>
    </row>
    <row r="7" spans="1:11" x14ac:dyDescent="0.4">
      <c r="A7">
        <v>408</v>
      </c>
      <c r="B7" t="s">
        <v>811</v>
      </c>
      <c r="C7" t="s">
        <v>937</v>
      </c>
      <c r="D7">
        <v>471</v>
      </c>
      <c r="E7">
        <v>491</v>
      </c>
      <c r="F7" t="s">
        <v>844</v>
      </c>
      <c r="G7">
        <v>96.320965000000001</v>
      </c>
      <c r="H7">
        <v>97.160043160000001</v>
      </c>
      <c r="I7">
        <v>108.9931967</v>
      </c>
      <c r="J7">
        <v>119.4852594</v>
      </c>
      <c r="K7">
        <v>94.941326880000005</v>
      </c>
    </row>
    <row r="8" spans="1:11" x14ac:dyDescent="0.4">
      <c r="A8">
        <v>405</v>
      </c>
      <c r="B8" t="s">
        <v>875</v>
      </c>
      <c r="C8" t="s">
        <v>941</v>
      </c>
      <c r="D8">
        <v>503</v>
      </c>
      <c r="E8">
        <v>492</v>
      </c>
      <c r="F8" t="s">
        <v>887</v>
      </c>
      <c r="G8">
        <v>109.81076</v>
      </c>
      <c r="H8">
        <v>105.6799137</v>
      </c>
      <c r="I8">
        <v>100</v>
      </c>
      <c r="J8">
        <v>108.24376359999999</v>
      </c>
      <c r="K8">
        <v>103.9345235</v>
      </c>
    </row>
  </sheetData>
  <phoneticPr fontId="1"/>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385E04-A5EF-4D9E-A77C-D1D6DCCF8447}">
  <dimension ref="A1:K16"/>
  <sheetViews>
    <sheetView topLeftCell="A2" workbookViewId="0">
      <selection sqref="A1:AE14"/>
    </sheetView>
  </sheetViews>
  <sheetFormatPr defaultRowHeight="16.5" x14ac:dyDescent="0.4"/>
  <cols>
    <col min="1" max="1" width="6.75" bestFit="1" customWidth="1"/>
    <col min="2" max="3" width="11.375" bestFit="1" customWidth="1"/>
    <col min="4" max="5" width="8.625" bestFit="1" customWidth="1"/>
    <col min="6" max="6" width="18.375" bestFit="1" customWidth="1"/>
    <col min="7" max="7" width="19.125" bestFit="1" customWidth="1"/>
    <col min="8" max="8" width="18.375" bestFit="1" customWidth="1"/>
    <col min="9" max="9" width="17.25" bestFit="1" customWidth="1"/>
    <col min="10" max="10" width="20.25" bestFit="1" customWidth="1"/>
    <col min="11" max="11" width="18.125" bestFit="1" customWidth="1"/>
    <col min="12" max="12" width="6.125" bestFit="1" customWidth="1"/>
    <col min="13" max="14" width="7.75" bestFit="1" customWidth="1"/>
    <col min="15" max="15" width="17" bestFit="1" customWidth="1"/>
    <col min="16" max="16" width="17.5" bestFit="1" customWidth="1"/>
    <col min="17" max="17" width="16.75" bestFit="1" customWidth="1"/>
    <col min="18" max="18" width="15.625" bestFit="1" customWidth="1"/>
    <col min="19" max="19" width="18.625" bestFit="1" customWidth="1"/>
    <col min="20" max="20" width="16.5" bestFit="1" customWidth="1"/>
    <col min="21" max="21" width="16.875" bestFit="1" customWidth="1"/>
    <col min="22" max="22" width="15.625" bestFit="1" customWidth="1"/>
    <col min="23" max="23" width="14" bestFit="1" customWidth="1"/>
    <col min="24" max="24" width="19" bestFit="1" customWidth="1"/>
    <col min="25" max="26" width="12.375" bestFit="1" customWidth="1"/>
    <col min="27" max="28" width="15.625" bestFit="1" customWidth="1"/>
    <col min="29" max="29" width="12.375" bestFit="1" customWidth="1"/>
    <col min="30" max="32" width="15.6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409</v>
      </c>
      <c r="B2" t="s">
        <v>32</v>
      </c>
      <c r="C2" t="s">
        <v>778</v>
      </c>
      <c r="D2">
        <v>483</v>
      </c>
      <c r="E2">
        <v>479</v>
      </c>
      <c r="F2" t="s">
        <v>547</v>
      </c>
      <c r="G2">
        <v>101.8395175</v>
      </c>
      <c r="H2">
        <v>100.9466523</v>
      </c>
      <c r="I2">
        <v>103.3724488</v>
      </c>
      <c r="J2">
        <v>102.24829920000001</v>
      </c>
      <c r="K2">
        <v>101.1241496</v>
      </c>
    </row>
    <row r="3" spans="1:11" x14ac:dyDescent="0.4">
      <c r="A3">
        <v>414</v>
      </c>
      <c r="B3" t="s">
        <v>32</v>
      </c>
      <c r="C3" t="s">
        <v>778</v>
      </c>
      <c r="D3">
        <v>479</v>
      </c>
      <c r="E3">
        <v>477</v>
      </c>
      <c r="F3" t="s">
        <v>549</v>
      </c>
      <c r="G3">
        <v>100.6131725</v>
      </c>
      <c r="H3">
        <v>97.160043160000001</v>
      </c>
      <c r="I3">
        <v>101.1241496</v>
      </c>
      <c r="J3">
        <v>100.7494331</v>
      </c>
      <c r="K3">
        <v>101.1241496</v>
      </c>
    </row>
    <row r="4" spans="1:11" x14ac:dyDescent="0.4">
      <c r="A4">
        <v>415</v>
      </c>
      <c r="B4" t="s">
        <v>32</v>
      </c>
      <c r="C4" t="s">
        <v>778</v>
      </c>
      <c r="D4">
        <v>476</v>
      </c>
      <c r="E4">
        <v>469</v>
      </c>
      <c r="F4" t="s">
        <v>550</v>
      </c>
      <c r="G4">
        <v>99.386827499999995</v>
      </c>
      <c r="H4">
        <v>97.633369299999998</v>
      </c>
      <c r="I4">
        <v>98.875850420000006</v>
      </c>
      <c r="J4">
        <v>96.252834719999996</v>
      </c>
      <c r="K4">
        <v>100</v>
      </c>
    </row>
    <row r="5" spans="1:11" x14ac:dyDescent="0.4">
      <c r="A5">
        <v>418</v>
      </c>
      <c r="B5" t="s">
        <v>32</v>
      </c>
      <c r="C5" t="s">
        <v>778</v>
      </c>
      <c r="D5">
        <v>476</v>
      </c>
      <c r="E5">
        <v>465</v>
      </c>
      <c r="F5" t="s">
        <v>552</v>
      </c>
      <c r="G5">
        <v>100.6131725</v>
      </c>
      <c r="H5">
        <v>100.47332609999999</v>
      </c>
      <c r="I5">
        <v>98.875850420000006</v>
      </c>
      <c r="J5">
        <v>95.503401670000002</v>
      </c>
      <c r="K5">
        <v>98.313775629999995</v>
      </c>
    </row>
    <row r="6" spans="1:11" x14ac:dyDescent="0.4">
      <c r="A6">
        <v>419</v>
      </c>
      <c r="B6" t="s">
        <v>32</v>
      </c>
      <c r="C6" t="s">
        <v>778</v>
      </c>
      <c r="D6">
        <v>466</v>
      </c>
      <c r="E6">
        <v>468</v>
      </c>
      <c r="F6" t="s">
        <v>553</v>
      </c>
      <c r="G6">
        <v>95.094620000000006</v>
      </c>
      <c r="H6">
        <v>97.160043160000001</v>
      </c>
      <c r="I6">
        <v>96.627551249999996</v>
      </c>
      <c r="J6">
        <v>95.503401670000002</v>
      </c>
      <c r="K6">
        <v>100</v>
      </c>
    </row>
    <row r="7" spans="1:11" x14ac:dyDescent="0.4">
      <c r="A7">
        <v>421</v>
      </c>
      <c r="B7" t="s">
        <v>32</v>
      </c>
      <c r="C7" t="s">
        <v>778</v>
      </c>
      <c r="D7">
        <v>471</v>
      </c>
      <c r="E7">
        <v>462</v>
      </c>
      <c r="F7" t="s">
        <v>554</v>
      </c>
      <c r="G7">
        <v>94.481447500000002</v>
      </c>
      <c r="H7">
        <v>96.213390880000006</v>
      </c>
      <c r="I7">
        <v>105.6207479</v>
      </c>
      <c r="J7">
        <v>95.503401670000002</v>
      </c>
      <c r="K7">
        <v>96.627551249999996</v>
      </c>
    </row>
    <row r="8" spans="1:11" x14ac:dyDescent="0.4">
      <c r="A8">
        <v>422</v>
      </c>
      <c r="B8" t="s">
        <v>32</v>
      </c>
      <c r="C8" t="s">
        <v>778</v>
      </c>
      <c r="D8">
        <v>458</v>
      </c>
      <c r="E8">
        <v>467</v>
      </c>
      <c r="F8" t="s">
        <v>555</v>
      </c>
      <c r="G8">
        <v>95.707792499999996</v>
      </c>
      <c r="H8">
        <v>92.900107890000001</v>
      </c>
      <c r="I8">
        <v>96.627551249999996</v>
      </c>
      <c r="J8">
        <v>94.753968610000001</v>
      </c>
      <c r="K8">
        <v>100</v>
      </c>
    </row>
    <row r="9" spans="1:11" x14ac:dyDescent="0.4">
      <c r="A9">
        <v>423</v>
      </c>
      <c r="B9" t="s">
        <v>32</v>
      </c>
      <c r="C9" t="s">
        <v>778</v>
      </c>
      <c r="D9">
        <v>456</v>
      </c>
      <c r="E9">
        <v>470</v>
      </c>
      <c r="F9" t="s">
        <v>556</v>
      </c>
      <c r="G9">
        <v>95.094620000000006</v>
      </c>
      <c r="H9">
        <v>95.266738599999996</v>
      </c>
      <c r="I9">
        <v>98.875850420000006</v>
      </c>
      <c r="J9">
        <v>102.9977322</v>
      </c>
      <c r="K9">
        <v>95.503401670000002</v>
      </c>
    </row>
    <row r="10" spans="1:11" x14ac:dyDescent="0.4">
      <c r="A10">
        <v>410</v>
      </c>
      <c r="B10" t="s">
        <v>83</v>
      </c>
      <c r="C10" t="s">
        <v>913</v>
      </c>
      <c r="D10">
        <v>491</v>
      </c>
      <c r="E10">
        <v>485</v>
      </c>
      <c r="F10" t="s">
        <v>548</v>
      </c>
      <c r="G10">
        <v>103.679035</v>
      </c>
      <c r="H10">
        <v>102.8399568</v>
      </c>
      <c r="I10">
        <v>104.4965983</v>
      </c>
      <c r="J10">
        <v>103.74716530000001</v>
      </c>
      <c r="K10">
        <v>103.3724488</v>
      </c>
    </row>
    <row r="11" spans="1:11" x14ac:dyDescent="0.4">
      <c r="A11">
        <v>416</v>
      </c>
      <c r="B11" t="s">
        <v>340</v>
      </c>
      <c r="C11" t="s">
        <v>918</v>
      </c>
      <c r="D11">
        <v>484</v>
      </c>
      <c r="E11">
        <v>475</v>
      </c>
      <c r="F11" t="s">
        <v>551</v>
      </c>
      <c r="G11">
        <v>101.22634499999999</v>
      </c>
      <c r="H11">
        <v>99.526673900000006</v>
      </c>
      <c r="I11">
        <v>100</v>
      </c>
      <c r="J11">
        <v>97.751700830000004</v>
      </c>
      <c r="K11">
        <v>102.24829920000001</v>
      </c>
    </row>
    <row r="12" spans="1:11" x14ac:dyDescent="0.4">
      <c r="A12">
        <v>411</v>
      </c>
      <c r="B12" t="s">
        <v>643</v>
      </c>
      <c r="C12" t="s">
        <v>955</v>
      </c>
      <c r="D12">
        <v>494</v>
      </c>
      <c r="E12">
        <v>483</v>
      </c>
      <c r="F12" t="s">
        <v>646</v>
      </c>
      <c r="G12">
        <v>103.679035</v>
      </c>
      <c r="H12">
        <v>105.2065875</v>
      </c>
      <c r="I12">
        <v>102.24829920000001</v>
      </c>
      <c r="J12">
        <v>105.24603140000001</v>
      </c>
      <c r="K12">
        <v>101.1241496</v>
      </c>
    </row>
    <row r="13" spans="1:11" x14ac:dyDescent="0.4">
      <c r="A13">
        <v>420</v>
      </c>
      <c r="B13" t="s">
        <v>643</v>
      </c>
      <c r="C13" t="s">
        <v>955</v>
      </c>
      <c r="D13">
        <v>472</v>
      </c>
      <c r="E13">
        <v>476</v>
      </c>
      <c r="F13" t="s">
        <v>644</v>
      </c>
      <c r="G13">
        <v>96.934137500000006</v>
      </c>
      <c r="H13">
        <v>98.106695439999996</v>
      </c>
      <c r="I13">
        <v>97.751700830000004</v>
      </c>
      <c r="J13">
        <v>97.002267779999997</v>
      </c>
      <c r="K13">
        <v>103.3724488</v>
      </c>
    </row>
    <row r="14" spans="1:11" x14ac:dyDescent="0.4">
      <c r="A14">
        <v>412</v>
      </c>
      <c r="B14" t="s">
        <v>748</v>
      </c>
      <c r="C14" t="s">
        <v>931</v>
      </c>
      <c r="D14">
        <v>487</v>
      </c>
      <c r="E14">
        <v>491</v>
      </c>
      <c r="F14" t="s">
        <v>749</v>
      </c>
      <c r="G14">
        <v>105.5185525</v>
      </c>
      <c r="H14">
        <v>100.47332609999999</v>
      </c>
      <c r="I14">
        <v>102.24829920000001</v>
      </c>
      <c r="J14">
        <v>105.9954644</v>
      </c>
      <c r="K14">
        <v>105.05867309999999</v>
      </c>
    </row>
    <row r="15" spans="1:11" x14ac:dyDescent="0.4">
      <c r="A15">
        <v>417</v>
      </c>
      <c r="B15" t="s">
        <v>865</v>
      </c>
      <c r="C15" t="s">
        <v>940</v>
      </c>
      <c r="D15">
        <v>488</v>
      </c>
      <c r="E15">
        <v>482</v>
      </c>
      <c r="F15" t="s">
        <v>867</v>
      </c>
      <c r="G15">
        <v>103.06586249999999</v>
      </c>
      <c r="H15">
        <v>99.526673900000006</v>
      </c>
      <c r="I15">
        <v>101.1241496</v>
      </c>
      <c r="J15">
        <v>100</v>
      </c>
      <c r="K15">
        <v>104.4965983</v>
      </c>
    </row>
    <row r="16" spans="1:11" x14ac:dyDescent="0.4">
      <c r="A16">
        <v>413</v>
      </c>
      <c r="B16" t="s">
        <v>977</v>
      </c>
      <c r="C16" t="s">
        <v>978</v>
      </c>
      <c r="D16">
        <v>496</v>
      </c>
      <c r="E16">
        <v>492</v>
      </c>
      <c r="F16" t="s">
        <v>980</v>
      </c>
      <c r="G16">
        <v>106.131725</v>
      </c>
      <c r="H16">
        <v>102.8399568</v>
      </c>
      <c r="I16">
        <v>105.6207479</v>
      </c>
      <c r="J16">
        <v>105.9954644</v>
      </c>
      <c r="K16">
        <v>105.6207479</v>
      </c>
    </row>
  </sheetData>
  <phoneticPr fontId="1"/>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4CD29-793D-4F42-A243-F65F1FEE75E2}">
  <dimension ref="A1:K8"/>
  <sheetViews>
    <sheetView topLeftCell="A2" workbookViewId="0"/>
  </sheetViews>
  <sheetFormatPr defaultRowHeight="16.5" x14ac:dyDescent="0.4"/>
  <cols>
    <col min="1" max="1" width="6.75" bestFit="1" customWidth="1"/>
    <col min="2" max="3" width="11.375" bestFit="1" customWidth="1"/>
    <col min="4" max="5" width="8.625" bestFit="1" customWidth="1"/>
    <col min="6" max="6" width="12.5" bestFit="1" customWidth="1"/>
    <col min="7" max="7" width="19.125" bestFit="1" customWidth="1"/>
    <col min="8" max="8" width="18.375" bestFit="1" customWidth="1"/>
    <col min="9" max="9" width="17.25" bestFit="1" customWidth="1"/>
    <col min="10" max="10" width="20.25" bestFit="1" customWidth="1"/>
    <col min="11" max="11" width="18.125" bestFit="1" customWidth="1"/>
  </cols>
  <sheetData>
    <row r="1" spans="1:11" x14ac:dyDescent="0.4">
      <c r="A1" t="s">
        <v>35</v>
      </c>
      <c r="B1" t="s">
        <v>33</v>
      </c>
      <c r="C1" t="s">
        <v>634</v>
      </c>
      <c r="D1" t="s">
        <v>48</v>
      </c>
      <c r="E1" t="s">
        <v>49</v>
      </c>
      <c r="F1" t="s">
        <v>346</v>
      </c>
      <c r="G1" t="s">
        <v>299</v>
      </c>
      <c r="H1" t="s">
        <v>300</v>
      </c>
      <c r="I1" t="s">
        <v>301</v>
      </c>
      <c r="J1" t="s">
        <v>302</v>
      </c>
      <c r="K1" t="s">
        <v>303</v>
      </c>
    </row>
    <row r="2" spans="1:11" x14ac:dyDescent="0.4">
      <c r="A2">
        <v>424</v>
      </c>
      <c r="B2" t="s">
        <v>32</v>
      </c>
      <c r="C2" t="s">
        <v>778</v>
      </c>
      <c r="D2">
        <v>482</v>
      </c>
      <c r="E2">
        <v>473</v>
      </c>
      <c r="F2" t="s">
        <v>816</v>
      </c>
      <c r="G2">
        <v>98.160482500000001</v>
      </c>
      <c r="H2">
        <v>100.9466523</v>
      </c>
      <c r="I2">
        <v>108.9931967</v>
      </c>
      <c r="J2">
        <v>99.250566939999999</v>
      </c>
      <c r="K2">
        <v>100</v>
      </c>
    </row>
    <row r="3" spans="1:11" x14ac:dyDescent="0.4">
      <c r="A3">
        <v>425</v>
      </c>
      <c r="B3" t="s">
        <v>32</v>
      </c>
      <c r="C3" t="s">
        <v>778</v>
      </c>
      <c r="D3">
        <v>465</v>
      </c>
      <c r="E3">
        <v>469</v>
      </c>
      <c r="F3" t="s">
        <v>821</v>
      </c>
      <c r="G3">
        <v>94.481447500000002</v>
      </c>
      <c r="H3">
        <v>97.160043160000001</v>
      </c>
      <c r="I3">
        <v>96.627551249999996</v>
      </c>
      <c r="J3">
        <v>96.252834719999996</v>
      </c>
      <c r="K3">
        <v>100</v>
      </c>
    </row>
    <row r="4" spans="1:11" x14ac:dyDescent="0.4">
      <c r="A4">
        <v>426</v>
      </c>
      <c r="B4" t="s">
        <v>32</v>
      </c>
      <c r="C4" t="s">
        <v>778</v>
      </c>
      <c r="D4">
        <v>471</v>
      </c>
      <c r="E4">
        <v>469</v>
      </c>
      <c r="F4" t="s">
        <v>824</v>
      </c>
      <c r="G4">
        <v>99.386827499999995</v>
      </c>
      <c r="H4">
        <v>98.106695439999996</v>
      </c>
      <c r="I4">
        <v>96.627551249999996</v>
      </c>
      <c r="J4">
        <v>94.004535559999994</v>
      </c>
      <c r="K4">
        <v>101.6862244</v>
      </c>
    </row>
    <row r="5" spans="1:11" x14ac:dyDescent="0.4">
      <c r="A5">
        <v>427</v>
      </c>
      <c r="B5" t="s">
        <v>32</v>
      </c>
      <c r="C5" t="s">
        <v>778</v>
      </c>
      <c r="D5">
        <v>462</v>
      </c>
      <c r="E5">
        <v>462</v>
      </c>
      <c r="F5" t="s">
        <v>829</v>
      </c>
      <c r="G5">
        <v>96.320965000000001</v>
      </c>
      <c r="H5">
        <v>94.320086320000001</v>
      </c>
      <c r="I5">
        <v>96.627551249999996</v>
      </c>
      <c r="J5">
        <v>93.255102500000007</v>
      </c>
      <c r="K5">
        <v>98.313775629999995</v>
      </c>
    </row>
    <row r="6" spans="1:11" x14ac:dyDescent="0.4">
      <c r="A6">
        <v>428</v>
      </c>
      <c r="B6" t="s">
        <v>32</v>
      </c>
      <c r="C6" t="s">
        <v>778</v>
      </c>
      <c r="D6">
        <v>464</v>
      </c>
      <c r="E6">
        <v>474</v>
      </c>
      <c r="F6" t="s">
        <v>832</v>
      </c>
      <c r="G6">
        <v>95.707792499999996</v>
      </c>
      <c r="H6">
        <v>96.213390880000006</v>
      </c>
      <c r="I6">
        <v>104.4965983</v>
      </c>
      <c r="J6">
        <v>105.9954644</v>
      </c>
      <c r="K6">
        <v>95.503401670000002</v>
      </c>
    </row>
    <row r="7" spans="1:11" x14ac:dyDescent="0.4">
      <c r="A7">
        <v>429</v>
      </c>
      <c r="B7" t="s">
        <v>32</v>
      </c>
      <c r="C7" t="s">
        <v>778</v>
      </c>
      <c r="D7">
        <v>469</v>
      </c>
      <c r="E7">
        <v>477</v>
      </c>
      <c r="F7" t="s">
        <v>836</v>
      </c>
      <c r="G7">
        <v>100.6131725</v>
      </c>
      <c r="H7">
        <v>95.740064739999994</v>
      </c>
      <c r="I7">
        <v>97.751700830000004</v>
      </c>
      <c r="J7">
        <v>100.7494331</v>
      </c>
      <c r="K7">
        <v>101.1241496</v>
      </c>
    </row>
    <row r="8" spans="1:11" x14ac:dyDescent="0.4">
      <c r="A8">
        <v>430</v>
      </c>
      <c r="B8" t="s">
        <v>32</v>
      </c>
      <c r="C8" t="s">
        <v>778</v>
      </c>
      <c r="D8">
        <v>470</v>
      </c>
      <c r="E8">
        <v>463</v>
      </c>
      <c r="F8" t="s">
        <v>843</v>
      </c>
      <c r="G8">
        <v>97.547309999999996</v>
      </c>
      <c r="H8">
        <v>95.266738599999996</v>
      </c>
      <c r="I8">
        <v>101.1241496</v>
      </c>
      <c r="J8">
        <v>94.004535559999994</v>
      </c>
      <c r="K8">
        <v>98.313775629999995</v>
      </c>
    </row>
  </sheetData>
  <phoneticPr fontId="1"/>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E141A-500F-4374-A426-BA0E39E911BF}">
  <dimension ref="A1:F54"/>
  <sheetViews>
    <sheetView topLeftCell="A16" workbookViewId="0">
      <selection activeCell="A55" sqref="A55"/>
    </sheetView>
  </sheetViews>
  <sheetFormatPr defaultRowHeight="16.5" x14ac:dyDescent="0.4"/>
  <cols>
    <col min="1" max="1" width="11.375" bestFit="1" customWidth="1"/>
    <col min="6" max="6" width="9.375" customWidth="1"/>
  </cols>
  <sheetData>
    <row r="1" spans="1:6" x14ac:dyDescent="0.4">
      <c r="A1" t="s">
        <v>610</v>
      </c>
      <c r="B1" t="s">
        <v>611</v>
      </c>
      <c r="F1" t="s">
        <v>660</v>
      </c>
    </row>
    <row r="2" spans="1:6" x14ac:dyDescent="0.4">
      <c r="A2" t="s">
        <v>612</v>
      </c>
      <c r="B2">
        <f t="shared" ref="B2:B49" si="0">ROW()-1</f>
        <v>1</v>
      </c>
      <c r="F2" t="str">
        <f ca="1">LEFT(F3,FIND("[",F3)-1)</f>
        <v>D:\clone\github\haikyuu_haidream_public\PlayersParams\</v>
      </c>
    </row>
    <row r="3" spans="1:6" x14ac:dyDescent="0.4">
      <c r="A3" t="s">
        <v>613</v>
      </c>
      <c r="B3">
        <f t="shared" si="0"/>
        <v>2</v>
      </c>
      <c r="F3" t="str" cm="1">
        <f t="array" aca="1" ref="F3" ca="1">CELL("filename",E1)</f>
        <v>D:\clone\github\haikyuu_haidream_public\PlayersParams\[ハイドリキャラ能力一覧Annex.xlsx]服装順</v>
      </c>
    </row>
    <row r="4" spans="1:6" x14ac:dyDescent="0.4">
      <c r="A4" t="s">
        <v>614</v>
      </c>
      <c r="B4">
        <f t="shared" si="0"/>
        <v>3</v>
      </c>
    </row>
    <row r="5" spans="1:6" x14ac:dyDescent="0.4">
      <c r="A5" t="s">
        <v>615</v>
      </c>
      <c r="B5">
        <f t="shared" si="0"/>
        <v>4</v>
      </c>
    </row>
    <row r="6" spans="1:6" x14ac:dyDescent="0.4">
      <c r="A6" t="s">
        <v>616</v>
      </c>
      <c r="B6">
        <f t="shared" si="0"/>
        <v>5</v>
      </c>
    </row>
    <row r="7" spans="1:6" x14ac:dyDescent="0.4">
      <c r="A7" t="s">
        <v>617</v>
      </c>
      <c r="B7">
        <f t="shared" si="0"/>
        <v>6</v>
      </c>
    </row>
    <row r="8" spans="1:6" x14ac:dyDescent="0.4">
      <c r="A8" t="s">
        <v>618</v>
      </c>
      <c r="B8">
        <f t="shared" si="0"/>
        <v>7</v>
      </c>
    </row>
    <row r="9" spans="1:6" x14ac:dyDescent="0.4">
      <c r="A9" t="s">
        <v>619</v>
      </c>
      <c r="B9">
        <f t="shared" si="0"/>
        <v>8</v>
      </c>
    </row>
    <row r="10" spans="1:6" x14ac:dyDescent="0.4">
      <c r="A10" t="s">
        <v>620</v>
      </c>
      <c r="B10">
        <f t="shared" si="0"/>
        <v>9</v>
      </c>
    </row>
    <row r="11" spans="1:6" x14ac:dyDescent="0.4">
      <c r="A11" t="s">
        <v>621</v>
      </c>
      <c r="B11">
        <f t="shared" si="0"/>
        <v>10</v>
      </c>
    </row>
    <row r="12" spans="1:6" x14ac:dyDescent="0.4">
      <c r="A12" t="s">
        <v>622</v>
      </c>
      <c r="B12">
        <f t="shared" si="0"/>
        <v>11</v>
      </c>
    </row>
    <row r="13" spans="1:6" x14ac:dyDescent="0.4">
      <c r="A13" t="s">
        <v>623</v>
      </c>
      <c r="B13">
        <f t="shared" si="0"/>
        <v>12</v>
      </c>
    </row>
    <row r="14" spans="1:6" x14ac:dyDescent="0.4">
      <c r="A14" t="s">
        <v>632</v>
      </c>
      <c r="B14">
        <f t="shared" si="0"/>
        <v>13</v>
      </c>
    </row>
    <row r="15" spans="1:6" x14ac:dyDescent="0.4">
      <c r="A15" t="s">
        <v>624</v>
      </c>
      <c r="B15">
        <f t="shared" si="0"/>
        <v>14</v>
      </c>
    </row>
    <row r="16" spans="1:6" x14ac:dyDescent="0.4">
      <c r="A16" t="s">
        <v>625</v>
      </c>
      <c r="B16">
        <f t="shared" si="0"/>
        <v>15</v>
      </c>
    </row>
    <row r="17" spans="1:2" x14ac:dyDescent="0.4">
      <c r="A17" t="s">
        <v>627</v>
      </c>
      <c r="B17">
        <f t="shared" si="0"/>
        <v>16</v>
      </c>
    </row>
    <row r="18" spans="1:2" x14ac:dyDescent="0.4">
      <c r="A18" t="s">
        <v>626</v>
      </c>
      <c r="B18">
        <f t="shared" si="0"/>
        <v>17</v>
      </c>
    </row>
    <row r="19" spans="1:2" x14ac:dyDescent="0.4">
      <c r="A19" t="s">
        <v>628</v>
      </c>
      <c r="B19">
        <f t="shared" si="0"/>
        <v>18</v>
      </c>
    </row>
    <row r="20" spans="1:2" x14ac:dyDescent="0.4">
      <c r="A20" t="s">
        <v>629</v>
      </c>
      <c r="B20">
        <f t="shared" si="0"/>
        <v>19</v>
      </c>
    </row>
    <row r="21" spans="1:2" x14ac:dyDescent="0.4">
      <c r="A21" t="s">
        <v>633</v>
      </c>
      <c r="B21">
        <f t="shared" si="0"/>
        <v>20</v>
      </c>
    </row>
    <row r="22" spans="1:2" x14ac:dyDescent="0.4">
      <c r="A22" t="s">
        <v>630</v>
      </c>
      <c r="B22">
        <f t="shared" si="0"/>
        <v>21</v>
      </c>
    </row>
    <row r="23" spans="1:2" x14ac:dyDescent="0.4">
      <c r="A23" t="s">
        <v>631</v>
      </c>
      <c r="B23">
        <f t="shared" si="0"/>
        <v>22</v>
      </c>
    </row>
    <row r="24" spans="1:2" x14ac:dyDescent="0.4">
      <c r="A24" t="s">
        <v>637</v>
      </c>
      <c r="B24">
        <f t="shared" si="0"/>
        <v>23</v>
      </c>
    </row>
    <row r="25" spans="1:2" x14ac:dyDescent="0.4">
      <c r="A25" t="s">
        <v>645</v>
      </c>
      <c r="B25">
        <f t="shared" si="0"/>
        <v>24</v>
      </c>
    </row>
    <row r="26" spans="1:2" x14ac:dyDescent="0.4">
      <c r="A26" t="s">
        <v>653</v>
      </c>
      <c r="B26">
        <f t="shared" si="0"/>
        <v>25</v>
      </c>
    </row>
    <row r="27" spans="1:2" x14ac:dyDescent="0.4">
      <c r="A27" t="s">
        <v>671</v>
      </c>
      <c r="B27">
        <f t="shared" si="0"/>
        <v>26</v>
      </c>
    </row>
    <row r="28" spans="1:2" x14ac:dyDescent="0.4">
      <c r="A28" t="s">
        <v>673</v>
      </c>
      <c r="B28">
        <f t="shared" si="0"/>
        <v>27</v>
      </c>
    </row>
    <row r="29" spans="1:2" x14ac:dyDescent="0.4">
      <c r="A29" t="s">
        <v>687</v>
      </c>
      <c r="B29">
        <f t="shared" si="0"/>
        <v>28</v>
      </c>
    </row>
    <row r="30" spans="1:2" x14ac:dyDescent="0.4">
      <c r="A30" t="s">
        <v>695</v>
      </c>
      <c r="B30">
        <f t="shared" si="0"/>
        <v>29</v>
      </c>
    </row>
    <row r="31" spans="1:2" x14ac:dyDescent="0.4">
      <c r="A31" t="s">
        <v>716</v>
      </c>
      <c r="B31">
        <f t="shared" si="0"/>
        <v>30</v>
      </c>
    </row>
    <row r="32" spans="1:2" x14ac:dyDescent="0.4">
      <c r="A32" t="s">
        <v>728</v>
      </c>
      <c r="B32">
        <f t="shared" si="0"/>
        <v>31</v>
      </c>
    </row>
    <row r="33" spans="1:2" x14ac:dyDescent="0.4">
      <c r="A33" t="s">
        <v>733</v>
      </c>
      <c r="B33">
        <f t="shared" si="0"/>
        <v>32</v>
      </c>
    </row>
    <row r="34" spans="1:2" x14ac:dyDescent="0.4">
      <c r="A34" t="s">
        <v>740</v>
      </c>
      <c r="B34">
        <f t="shared" si="0"/>
        <v>33</v>
      </c>
    </row>
    <row r="35" spans="1:2" x14ac:dyDescent="0.4">
      <c r="A35" t="s">
        <v>743</v>
      </c>
      <c r="B35">
        <f t="shared" si="0"/>
        <v>34</v>
      </c>
    </row>
    <row r="36" spans="1:2" x14ac:dyDescent="0.4">
      <c r="A36" t="s">
        <v>757</v>
      </c>
      <c r="B36">
        <f t="shared" si="0"/>
        <v>35</v>
      </c>
    </row>
    <row r="37" spans="1:2" x14ac:dyDescent="0.4">
      <c r="A37" t="s">
        <v>764</v>
      </c>
      <c r="B37">
        <f t="shared" si="0"/>
        <v>36</v>
      </c>
    </row>
    <row r="38" spans="1:2" x14ac:dyDescent="0.4">
      <c r="A38" t="s">
        <v>768</v>
      </c>
      <c r="B38">
        <f t="shared" si="0"/>
        <v>37</v>
      </c>
    </row>
    <row r="39" spans="1:2" x14ac:dyDescent="0.4">
      <c r="A39" t="s">
        <v>775</v>
      </c>
      <c r="B39">
        <f t="shared" si="0"/>
        <v>38</v>
      </c>
    </row>
    <row r="40" spans="1:2" x14ac:dyDescent="0.4">
      <c r="A40" t="s">
        <v>784</v>
      </c>
      <c r="B40">
        <f t="shared" si="0"/>
        <v>39</v>
      </c>
    </row>
    <row r="41" spans="1:2" x14ac:dyDescent="0.4">
      <c r="A41" t="s">
        <v>792</v>
      </c>
      <c r="B41">
        <f t="shared" si="0"/>
        <v>40</v>
      </c>
    </row>
    <row r="42" spans="1:2" x14ac:dyDescent="0.4">
      <c r="A42" t="s">
        <v>800</v>
      </c>
      <c r="B42">
        <f t="shared" si="0"/>
        <v>41</v>
      </c>
    </row>
    <row r="43" spans="1:2" x14ac:dyDescent="0.4">
      <c r="A43" t="s">
        <v>810</v>
      </c>
      <c r="B43">
        <f t="shared" si="0"/>
        <v>42</v>
      </c>
    </row>
    <row r="44" spans="1:2" x14ac:dyDescent="0.4">
      <c r="A44" t="s">
        <v>837</v>
      </c>
      <c r="B44">
        <f t="shared" si="0"/>
        <v>43</v>
      </c>
    </row>
    <row r="45" spans="1:2" x14ac:dyDescent="0.4">
      <c r="A45" t="s">
        <v>853</v>
      </c>
      <c r="B45">
        <f t="shared" si="0"/>
        <v>44</v>
      </c>
    </row>
    <row r="46" spans="1:2" x14ac:dyDescent="0.4">
      <c r="A46" t="s">
        <v>864</v>
      </c>
      <c r="B46">
        <f t="shared" si="0"/>
        <v>45</v>
      </c>
    </row>
    <row r="47" spans="1:2" x14ac:dyDescent="0.4">
      <c r="A47" t="s">
        <v>873</v>
      </c>
      <c r="B47">
        <f t="shared" si="0"/>
        <v>46</v>
      </c>
    </row>
    <row r="48" spans="1:2" x14ac:dyDescent="0.4">
      <c r="A48" t="s">
        <v>888</v>
      </c>
      <c r="B48">
        <f t="shared" si="0"/>
        <v>47</v>
      </c>
    </row>
    <row r="49" spans="1:2" x14ac:dyDescent="0.4">
      <c r="A49" t="s">
        <v>901</v>
      </c>
      <c r="B49">
        <f t="shared" si="0"/>
        <v>48</v>
      </c>
    </row>
    <row r="50" spans="1:2" x14ac:dyDescent="0.4">
      <c r="A50" t="s">
        <v>963</v>
      </c>
      <c r="B50">
        <f>ROW()-1</f>
        <v>49</v>
      </c>
    </row>
    <row r="51" spans="1:2" x14ac:dyDescent="0.4">
      <c r="A51" t="s">
        <v>971</v>
      </c>
      <c r="B51">
        <f>ROW()-1</f>
        <v>50</v>
      </c>
    </row>
    <row r="52" spans="1:2" x14ac:dyDescent="0.4">
      <c r="A52" t="s">
        <v>972</v>
      </c>
      <c r="B52">
        <f>ROW()-1</f>
        <v>51</v>
      </c>
    </row>
    <row r="53" spans="1:2" x14ac:dyDescent="0.4">
      <c r="A53" t="s">
        <v>981</v>
      </c>
      <c r="B53">
        <f>ROW()-1</f>
        <v>52</v>
      </c>
    </row>
    <row r="54" spans="1:2" x14ac:dyDescent="0.4">
      <c r="A54" t="s">
        <v>982</v>
      </c>
      <c r="B54">
        <f>ROW()-1</f>
        <v>53</v>
      </c>
    </row>
  </sheetData>
  <phoneticPr fontId="1"/>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gňTMRX0�0�0Q0�0�0�0�0�0�0ؚ!h�0�0�0�0�0ň�P&�}T$P�0�0�0�0�0�0�0�0�0�0�0�0�0-�3�x^K��0�0�0�0�0�0�0�0�0�0�0�0�0�0�0�0�0�0;e�d�R�[�P�R(u�00L0j0
</file>

<file path=customXml/item3.xml>��
</file>

<file path=customXml/item4.xml>��
</file>

<file path=customXml/item5.xml>��
</file>

<file path=customXml/item6.xml>��
</file>

<file path=customXml/item7.xml>��
</file>

<file path=customXml/item8.xml>���0�0�0�0/-N.Y$P�0�0�0�0/-N.Y$P�0�0�0/-N.Y$P�0�0�0/-N.Y$P�0�0�0�0�0�0/-N.Y$P�0�0�0�0�0�0/-N.Y$P-�3�/-N.Y$P-�3�/-N.Y$Px^K�/-N.Y$Px^K�/-N.Y$P�0�0�0�0/-N.Y$P�0�0�0�0/-N.Y$P�0�0�0�0/-N.Y$P�0�0�0�0/-N.Y$P�0�0�0�0/-N.Y$P�0�0�0�0/-N.Y$P�0�0�0�0/-N.Y$P�0�0�0�0/-N.Y$P�0�0/-N.Y$P�0�0/-N.Y$P
</file>

<file path=customXml/item9.xml>��
</file>

<file path=customXml/item10.xml>��
</file>

<file path=customXml/item11.xml>��
</file>

<file path=customXml/item12.xml>��
</file>

<file path=customXml/item13.xml>��T� / �0�0�0�0T� / �0�0�0�0_T� / �0�0�0�0$P�0�0�0�0/-N.Y$P�0�0�0�0/-N.Y$P_�0�0�0�0/-N.Y$P$P�0�0�0/-N.Y$P�0�0�0/-N.Y$P_�0�0�0/-N.Y$P$P�0�0�0�0�0�0/-N.Y$P�0�0�0�0�0�0/-N.Y$P_�0�0�0�0�0�0/-N.Y$P$P-�3�/-N.Y$P-�3�/-N.Y$P_-�3�/-N.Y$P$Px^K�/-N.Y$Px^K�/-N.Y$P_x^K�/-N.Y$P$P�0�0�0�0/-N.Y$P�0�0�0�0/-N.Y$P_�0�0�0�0/-N.Y$P$P�0�0�0�0/-N.Y$P�0�0�0�0/-N.Y$P_�0�0�0�0/-N.Y$P$P�0�0�0�0/-N.Y$P�0�0�0�0/-N.Y$P_�0�0�0�0/-N.Y$P$P�0�0�0�0/-N.Y$P�0�0�0�0/-N.Y$P_�0�0�0�0/-N.Y$P$P�0�0/-N.Y$P�0�0/-N.Y$P_�0�0/-N.Y$P$PT�/-N.Y$PT�/-N.Y$P_T�/-N.Y$P$PgňTMRX0�0�0Q0�0�0�0�0�0�0ؚ!h�0�0�0�0�0ň�P&�}T$P�0�0�0�0�0�0�0�0�0�0�0�0�0-�3�x^K��0�0�0�0�0�0�0�0�0�0�0�0�0�0�0�0�0�0;e�d�R�[�P�R(u�00L0j0T� / �0�0�0�0�0�0�0�0T� / �0�0�0�0�0�0�0�0T� / �0�0�0�0�0�0�0�0T� / �0�0�0�0T� / �0�0�0�0_T� / �0�0�0�0$P�0�0�0�0/-N.Y$P�0�0�0�0/-N.Y$P_�0�0�0�0/-N.Y$P$P�0�0�0/-N.Y$P�0�0�0/-N.Y$P_�0�0�0/-N.Y$P$P�0�0�0�0�0�0/-N.Y$P�0�0�0�0�0�0/-N.Y$P_�0�0�0�0�0�0/-N.Y$P$P-�3�/-N.Y$P-�3�/-N.Y$P_-�3�/-N.Y$P$Px^K�/-N.Y$Px^K�/-N.Y$P_x^K�/-N.Y$P$P�0�0�0�0/-N.Y$P�0�0�0�0/-N.Y$P_�0�0�0�0/-N.Y$P$P�0�0�0�0/-N.Y$P�0�0�0�0/-N.Y$P_�0�0�0�0/-N.Y$P$P�0�0�0�0/-N.Y$P�0�0�0�0/-N.Y$P_�0�0�0�0/-N.Y$P$P�0�0�0�0/-N.Y$P�0�0�0�0/-N.Y$P_�0�0�0�0/-N.Y$P$P�0�0/-N.Y$P�0�0/-N.Y$P_�0�0/-N.Y$P$PT�/-N.Y$PT�/-N.Y$P_T�/-N.Y$P$PgňTMRX0�0�0Q0�0�0�0�0�0�0ؚ!h�0�0�0�0�0ň�P&�}T$P�0�0�0�0�0�0�0�0�0�0�0�0�0-�3�x^K��0�0�0�0�0�0�0�0�0�0�0�0�0�0�0�0�0�0;e�d�R�[�P�R(u�00L0j0T� / �0�0�0�0�0�0�0�0T� / �0�0�0�0�0�0�0�0T� / �0�0�0�0�0�0�0�0
</file>

<file path=customXml/item14.xml>��
</file>

<file path=customXml/item15.xml>��
</file>

<file path=customXml/item16.xml>��gňTMRX0�0�0Q0�0�0�0�0�0�0ؚ!h�0�0�0�0�0ň�P&�}T$P�0�0�0�0�0�0�0�0�0�0�0�0�0-�3�x^K��0�0�0�0�0�0�0�0�0�0�0�0�0�0�0�0�0�0;e�d�R�[�P�R(u�00L0j0gňTMRX0�0�0Q0�0�0�0�0�0�0ؚ!h�0�0�0�0�0ň�P&�}T$P�0�0�0�0�0�0�0�0�0�0�0�0�0-�3�x^K��0�0�0�0�0�0�0�0�0�0�0�0�0�0�0�0�0�0;e�d�R�[�P�R(u�00L0j0
</file>

<file path=customXml/item17.xml>��
</file>

<file path=customXml/item18.xml>��
</file>

<file path=customXml/itemProps1.xml><?xml version="1.0" encoding="utf-8"?>
<ds:datastoreItem xmlns:ds="http://schemas.openxmlformats.org/officeDocument/2006/customXml" ds:itemID="{AC51DD1D-1211-4E2D-90A5-0109B387DAEE}">
  <ds:schemaRefs/>
</ds:datastoreItem>
</file>

<file path=customXml/itemProps2.xml><?xml version="1.0" encoding="utf-8"?>
<ds:datastoreItem xmlns:ds="http://schemas.openxmlformats.org/officeDocument/2006/customXml" ds:itemID="{EC7D5D9C-0B92-4696-943E-8893B63E7CB3}">
  <ds:schemaRefs/>
</ds:datastoreItem>
</file>

<file path=customXml/itemProps3.xml><?xml version="1.0" encoding="utf-8"?>
<ds:datastoreItem xmlns:ds="http://schemas.openxmlformats.org/officeDocument/2006/customXml" ds:itemID="{C9F78E39-6FCB-4FB3-9C33-8D9C5AE476EC}">
  <ds:schemaRefs/>
</ds:datastoreItem>
</file>

<file path=customXml/itemProps4.xml><?xml version="1.0" encoding="utf-8"?>
<ds:datastoreItem xmlns:ds="http://schemas.openxmlformats.org/officeDocument/2006/customXml" ds:itemID="{E043C1CF-E2C0-4769-A574-C1840E073849}">
  <ds:schemaRefs/>
</ds:datastoreItem>
</file>

<file path=customXml/itemProps5.xml><?xml version="1.0" encoding="utf-8"?>
<ds:datastoreItem xmlns:ds="http://schemas.openxmlformats.org/officeDocument/2006/customXml" ds:itemID="{C130C622-97EE-4147-A24A-C7B128752380}">
  <ds:schemaRefs/>
</ds:datastoreItem>
</file>

<file path=customXml/itemProps6.xml><?xml version="1.0" encoding="utf-8"?>
<ds:datastoreItem xmlns:ds="http://schemas.openxmlformats.org/officeDocument/2006/customXml" ds:itemID="{C775D1AB-FADE-4FA1-A5BE-9827D036B199}">
  <ds:schemaRefs/>
</ds:datastoreItem>
</file>

<file path=customXml/itemProps7.xml><?xml version="1.0" encoding="utf-8"?>
<ds:datastoreItem xmlns:ds="http://schemas.openxmlformats.org/officeDocument/2006/customXml" ds:itemID="{F7AE73F0-08F0-4C0F-BBB0-6CCE2CA1C4FA}">
  <ds:schemaRefs/>
</ds:datastoreItem>
</file>

<file path=customXml/itemProps8.xml><?xml version="1.0" encoding="utf-8"?>
<ds:datastoreItem xmlns:ds="http://schemas.openxmlformats.org/officeDocument/2006/customXml" ds:itemID="{B550ABCD-146E-4F6C-83EC-DB3FC67D5CB8}">
  <ds:schemaRefs/>
</ds:datastoreItem>
</file>

<file path=customXml/itemProps9.xml><?xml version="1.0" encoding="utf-8"?>
<ds:datastoreItem xmlns:ds="http://schemas.openxmlformats.org/officeDocument/2006/customXml" ds:itemID="{A2B8BF37-D655-4E0F-BF51-2F97CE4AA003}">
  <ds:schemaRefs/>
</ds:datastoreItem>
</file>

<file path=customXml/itemProps10.xml><?xml version="1.0" encoding="utf-8"?>
<ds:datastoreItem xmlns:ds="http://schemas.openxmlformats.org/officeDocument/2006/customXml" ds:itemID="{0DB2E222-346C-4E42-9312-6366B95538BC}">
  <ds:schemaRefs/>
</ds:datastoreItem>
</file>

<file path=customXml/itemProps11.xml><?xml version="1.0" encoding="utf-8"?>
<ds:datastoreItem xmlns:ds="http://schemas.openxmlformats.org/officeDocument/2006/customXml" ds:itemID="{E124CBD0-7668-4297-96A3-D246F9F138F9}">
  <ds:schemaRefs/>
</ds:datastoreItem>
</file>

<file path=customXml/itemProps12.xml><?xml version="1.0" encoding="utf-8"?>
<ds:datastoreItem xmlns:ds="http://schemas.openxmlformats.org/officeDocument/2006/customXml" ds:itemID="{A9DC5B5A-3CC1-4DF6-AB40-1DB436A81C06}">
  <ds:schemaRefs/>
</ds:datastoreItem>
</file>

<file path=customXml/itemProps13.xml><?xml version="1.0" encoding="utf-8"?>
<ds:datastoreItem xmlns:ds="http://schemas.openxmlformats.org/officeDocument/2006/customXml" ds:itemID="{CED7C10E-1B1E-4923-9659-93085BA989C9}">
  <ds:schemaRefs/>
</ds:datastoreItem>
</file>

<file path=customXml/itemProps14.xml><?xml version="1.0" encoding="utf-8"?>
<ds:datastoreItem xmlns:ds="http://schemas.openxmlformats.org/officeDocument/2006/customXml" ds:itemID="{0879918B-4F15-400A-AB16-9A6E4E19C159}">
  <ds:schemaRefs/>
</ds:datastoreItem>
</file>

<file path=customXml/itemProps15.xml><?xml version="1.0" encoding="utf-8"?>
<ds:datastoreItem xmlns:ds="http://schemas.openxmlformats.org/officeDocument/2006/customXml" ds:itemID="{64237227-DB40-4580-9587-573607F045EE}">
  <ds:schemaRefs/>
</ds:datastoreItem>
</file>

<file path=customXml/itemProps16.xml><?xml version="1.0" encoding="utf-8"?>
<ds:datastoreItem xmlns:ds="http://schemas.openxmlformats.org/officeDocument/2006/customXml" ds:itemID="{4BB7E46F-F955-4B01-ABDC-2EFC1C6BED2A}">
  <ds:schemaRefs/>
</ds:datastoreItem>
</file>

<file path=customXml/itemProps17.xml><?xml version="1.0" encoding="utf-8"?>
<ds:datastoreItem xmlns:ds="http://schemas.openxmlformats.org/officeDocument/2006/customXml" ds:itemID="{4259795F-81ED-4BF4-BD57-F460D4E38299}">
  <ds:schemaRefs/>
</ds:datastoreItem>
</file>

<file path=customXml/itemProps18.xml><?xml version="1.0" encoding="utf-8"?>
<ds:datastoreItem xmlns:ds="http://schemas.openxmlformats.org/officeDocument/2006/customXml" ds:itemID="{2A16705D-FABB-422C-9CC6-9B96792E247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20</vt:i4>
      </vt:variant>
    </vt:vector>
  </HeadingPairs>
  <TitlesOfParts>
    <vt:vector size="45" baseType="lpstr">
      <vt:lpstr>Stat散布図</vt:lpstr>
      <vt:lpstr>PivotStat</vt:lpstr>
      <vt:lpstr>ChtStat</vt:lpstr>
      <vt:lpstr>Growth</vt:lpstr>
      <vt:lpstr>Q_Stat</vt:lpstr>
      <vt:lpstr>烏野</vt:lpstr>
      <vt:lpstr>音駒</vt:lpstr>
      <vt:lpstr>伊達工</vt:lpstr>
      <vt:lpstr>青城</vt:lpstr>
      <vt:lpstr>常波</vt:lpstr>
      <vt:lpstr>扇南</vt:lpstr>
      <vt:lpstr>角川</vt:lpstr>
      <vt:lpstr>条善寺</vt:lpstr>
      <vt:lpstr>和久南</vt:lpstr>
      <vt:lpstr>白鳥沢</vt:lpstr>
      <vt:lpstr>生川</vt:lpstr>
      <vt:lpstr>森然</vt:lpstr>
      <vt:lpstr>稲荷崎</vt:lpstr>
      <vt:lpstr>梟谷</vt:lpstr>
      <vt:lpstr>椿原</vt:lpstr>
      <vt:lpstr>鴎台</vt:lpstr>
      <vt:lpstr>井闥山</vt:lpstr>
      <vt:lpstr>戸美</vt:lpstr>
      <vt:lpstr>早流川</vt:lpstr>
      <vt:lpstr>服装順</vt:lpstr>
      <vt:lpstr>伊達工へ</vt:lpstr>
      <vt:lpstr>井闥山へ</vt:lpstr>
      <vt:lpstr>稲荷崎へ</vt:lpstr>
      <vt:lpstr>烏野へ</vt:lpstr>
      <vt:lpstr>鴎台へ</vt:lpstr>
      <vt:lpstr>音駒へ</vt:lpstr>
      <vt:lpstr>角川へ</vt:lpstr>
      <vt:lpstr>戸美へ</vt:lpstr>
      <vt:lpstr>常波へ</vt:lpstr>
      <vt:lpstr>条善寺へ</vt:lpstr>
      <vt:lpstr>森然へ</vt:lpstr>
      <vt:lpstr>生川へ</vt:lpstr>
      <vt:lpstr>青城へ</vt:lpstr>
      <vt:lpstr>設定用へ</vt:lpstr>
      <vt:lpstr>扇南へ</vt:lpstr>
      <vt:lpstr>早流川へ</vt:lpstr>
      <vt:lpstr>椿原へ</vt:lpstr>
      <vt:lpstr>白鳥沢へ</vt:lpstr>
      <vt:lpstr>和久南へ</vt:lpstr>
      <vt:lpstr>梟谷へ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ハイドリキャラ能力一覧 図表</dc:title>
  <dc:creator/>
  <cp:lastModifiedBy/>
  <dcterms:created xsi:type="dcterms:W3CDTF">2023-12-06T10:51:52Z</dcterms:created>
  <dcterms:modified xsi:type="dcterms:W3CDTF">2026-09-11T14:02:24Z</dcterms:modified>
</cp:coreProperties>
</file>